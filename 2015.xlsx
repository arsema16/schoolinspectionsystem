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240" yWindow="60" windowWidth="15120" windowHeight="7530"/>
  </bookViews>
  <sheets>
    <sheet name="Roster 9A" sheetId="1" r:id="rId1"/>
    <sheet name="9A Sem 1" sheetId="5" r:id="rId2"/>
    <sheet name="9A Sem 2" sheetId="6" r:id="rId3"/>
    <sheet name="9A Sem avr" sheetId="4" r:id="rId4"/>
    <sheet name="Roster 9B" sheetId="7" r:id="rId5"/>
    <sheet name="9B Sem 1" sheetId="8" r:id="rId6"/>
    <sheet name="9B Sem 2" sheetId="9" r:id="rId7"/>
    <sheet name="9B Sem avr" sheetId="10" r:id="rId8"/>
    <sheet name="Roster 10A" sheetId="11" r:id="rId9"/>
    <sheet name="10A Sem 1" sheetId="12" r:id="rId10"/>
    <sheet name="10A Sem 2" sheetId="13" r:id="rId11"/>
    <sheet name="10A Sem avr" sheetId="14" r:id="rId12"/>
    <sheet name="Roster 10B" sheetId="15" r:id="rId13"/>
    <sheet name="10B Sem 1" sheetId="16" r:id="rId14"/>
    <sheet name="10B Sem 2" sheetId="17" r:id="rId15"/>
    <sheet name="10B Sem avr" sheetId="18" r:id="rId16"/>
    <sheet name="Roster 11A (NS)" sheetId="25" r:id="rId17"/>
    <sheet name="11A (N S) Sem1 " sheetId="20" r:id="rId18"/>
    <sheet name="11A (N S) Sem2" sheetId="48" r:id="rId19"/>
    <sheet name="11A (N S) Avr" sheetId="49" r:id="rId20"/>
    <sheet name="Roster 11B (NS)" sheetId="87" r:id="rId21"/>
    <sheet name="11B (N S) Sem1" sheetId="88" r:id="rId22"/>
    <sheet name="11B (N S) Sem2" sheetId="89" r:id="rId23"/>
    <sheet name="11B (N S) Avr" sheetId="90" r:id="rId24"/>
    <sheet name="Roster 11C" sheetId="82" r:id="rId25"/>
    <sheet name="11C (SS)Sem 1" sheetId="83" r:id="rId26"/>
    <sheet name="11C (SS)Sem 2" sheetId="84" r:id="rId27"/>
    <sheet name="11C Sem avr (SS)" sheetId="85" r:id="rId28"/>
    <sheet name="Roster 12A " sheetId="74" r:id="rId29"/>
    <sheet name="12A Sem 1" sheetId="75" r:id="rId30"/>
    <sheet name="12A (NS)Sem 2" sheetId="76" r:id="rId31"/>
    <sheet name="12A Sem avr (NS)" sheetId="77" r:id="rId32"/>
    <sheet name="Roster 12B" sheetId="78" r:id="rId33"/>
    <sheet name="12B Sem 1" sheetId="79" r:id="rId34"/>
    <sheet name="12B (NS)Sem 2" sheetId="80" r:id="rId35"/>
    <sheet name="12B Sem avr (NS) " sheetId="81" r:id="rId36"/>
  </sheets>
  <definedNames>
    <definedName name="_xlnm.Print_Area" localSheetId="16">'Roster 11A (NS)'!$A$1:$T$87</definedName>
    <definedName name="_xlnm.Print_Area" localSheetId="20">'Roster 11B (NS)'!$A$1:$T$93</definedName>
    <definedName name="_xlnm.Print_Area" localSheetId="24">'Roster 11C'!$A$1:$T$110</definedName>
    <definedName name="_xlnm.Print_Area" localSheetId="28">'Roster 12A '!$A$1:$U$140</definedName>
    <definedName name="_xlnm.Print_Area" localSheetId="32">'Roster 12B'!$A$1:$U$110</definedName>
  </definedNames>
  <calcPr calcId="144525"/>
</workbook>
</file>

<file path=xl/calcChain.xml><?xml version="1.0" encoding="utf-8"?>
<calcChain xmlns="http://schemas.openxmlformats.org/spreadsheetml/2006/main">
  <c r="P5" i="76" l="1"/>
  <c r="P6" i="76"/>
  <c r="P7" i="76"/>
  <c r="P8" i="76"/>
  <c r="P9" i="76"/>
  <c r="P10" i="76"/>
  <c r="P11" i="76"/>
  <c r="P12" i="76"/>
  <c r="P13" i="76"/>
  <c r="P14" i="76"/>
  <c r="P15" i="76"/>
  <c r="P16" i="76"/>
  <c r="P17" i="76"/>
  <c r="P18" i="76"/>
  <c r="P19" i="76"/>
  <c r="P20" i="76"/>
  <c r="P21" i="76"/>
  <c r="P22" i="76"/>
  <c r="P23" i="76"/>
  <c r="P24" i="76"/>
  <c r="P25" i="76"/>
  <c r="P26" i="76"/>
  <c r="P27" i="76"/>
  <c r="P28" i="76"/>
  <c r="P29" i="76"/>
  <c r="P30" i="76"/>
  <c r="P31" i="76"/>
  <c r="P32" i="76"/>
  <c r="P33" i="76"/>
  <c r="P34" i="76"/>
  <c r="P35" i="76"/>
  <c r="P36" i="76"/>
  <c r="P37" i="76"/>
  <c r="P38" i="76"/>
  <c r="P39" i="76"/>
  <c r="P40" i="76"/>
  <c r="P41" i="76"/>
  <c r="P42" i="76"/>
  <c r="P43" i="76"/>
  <c r="P44" i="76"/>
  <c r="P45" i="76"/>
  <c r="P46" i="76"/>
  <c r="P47" i="76"/>
  <c r="P48" i="76"/>
  <c r="P4" i="76"/>
  <c r="O5" i="76"/>
  <c r="O6" i="76"/>
  <c r="O7" i="76"/>
  <c r="O8" i="76"/>
  <c r="O9" i="76"/>
  <c r="O10" i="76"/>
  <c r="O11" i="76"/>
  <c r="O12" i="76"/>
  <c r="O13" i="76"/>
  <c r="O14" i="76"/>
  <c r="O15" i="76"/>
  <c r="O16" i="76"/>
  <c r="O17" i="76"/>
  <c r="O18" i="76"/>
  <c r="O19" i="76"/>
  <c r="O20" i="76"/>
  <c r="O21" i="76"/>
  <c r="O22" i="76"/>
  <c r="O23" i="76"/>
  <c r="O24" i="76"/>
  <c r="O25" i="76"/>
  <c r="O26" i="76"/>
  <c r="O27" i="76"/>
  <c r="O28" i="76"/>
  <c r="O29" i="76"/>
  <c r="O30" i="76"/>
  <c r="O31" i="76"/>
  <c r="O32" i="76"/>
  <c r="O33" i="76"/>
  <c r="O34" i="76"/>
  <c r="O35" i="76"/>
  <c r="O36" i="76"/>
  <c r="O37" i="76"/>
  <c r="O38" i="76"/>
  <c r="O39" i="76"/>
  <c r="O40" i="76"/>
  <c r="O41" i="76"/>
  <c r="O42" i="76"/>
  <c r="O43" i="76"/>
  <c r="O44" i="76"/>
  <c r="O45" i="76"/>
  <c r="O46" i="76"/>
  <c r="O47" i="76"/>
  <c r="O48" i="76"/>
  <c r="O4" i="76"/>
  <c r="P5" i="80"/>
  <c r="Q5" i="80" s="1"/>
  <c r="P6" i="80"/>
  <c r="P7" i="80"/>
  <c r="Q7" i="80" s="1"/>
  <c r="P8" i="80"/>
  <c r="Q34" i="80" s="1"/>
  <c r="P9" i="80"/>
  <c r="P10" i="80"/>
  <c r="P11" i="80"/>
  <c r="Q11" i="80" s="1"/>
  <c r="P12" i="80"/>
  <c r="Q12" i="80" s="1"/>
  <c r="P13" i="80"/>
  <c r="Q13" i="80" s="1"/>
  <c r="P14" i="80"/>
  <c r="P15" i="80"/>
  <c r="Q15" i="80" s="1"/>
  <c r="P16" i="80"/>
  <c r="Q16" i="80" s="1"/>
  <c r="P17" i="80"/>
  <c r="P18" i="80"/>
  <c r="P19" i="80"/>
  <c r="Q19" i="80" s="1"/>
  <c r="P20" i="80"/>
  <c r="Q20" i="80" s="1"/>
  <c r="P21" i="80"/>
  <c r="Q21" i="80" s="1"/>
  <c r="P22" i="80"/>
  <c r="P23" i="80"/>
  <c r="Q23" i="80" s="1"/>
  <c r="P24" i="80"/>
  <c r="Q10" i="80" s="1"/>
  <c r="P26" i="80"/>
  <c r="P27" i="80"/>
  <c r="P28" i="80"/>
  <c r="Q28" i="80" s="1"/>
  <c r="P29" i="80"/>
  <c r="Q29" i="80" s="1"/>
  <c r="P30" i="80"/>
  <c r="Q30" i="80" s="1"/>
  <c r="P31" i="80"/>
  <c r="P32" i="80"/>
  <c r="Q32" i="80" s="1"/>
  <c r="P33" i="80"/>
  <c r="Q33" i="80" s="1"/>
  <c r="P34" i="80"/>
  <c r="P35" i="80"/>
  <c r="P36" i="80"/>
  <c r="Q36" i="80" s="1"/>
  <c r="P37" i="80"/>
  <c r="Q37" i="80" s="1"/>
  <c r="P38" i="80"/>
  <c r="Q38" i="80" s="1"/>
  <c r="P4" i="80"/>
  <c r="O5" i="80"/>
  <c r="O6" i="80"/>
  <c r="O7" i="80"/>
  <c r="O8" i="80"/>
  <c r="O9" i="80"/>
  <c r="O10" i="80"/>
  <c r="O11" i="80"/>
  <c r="O12" i="80"/>
  <c r="O13" i="80"/>
  <c r="O14" i="80"/>
  <c r="O15" i="80"/>
  <c r="O16" i="80"/>
  <c r="O17" i="80"/>
  <c r="O18" i="80"/>
  <c r="O19" i="80"/>
  <c r="O20" i="80"/>
  <c r="O21" i="80"/>
  <c r="O22" i="80"/>
  <c r="O23" i="80"/>
  <c r="O24" i="80"/>
  <c r="O26" i="80"/>
  <c r="O27" i="80"/>
  <c r="O28" i="80"/>
  <c r="O29" i="80"/>
  <c r="O30" i="80"/>
  <c r="O31" i="80"/>
  <c r="O32" i="80"/>
  <c r="O33" i="80"/>
  <c r="O34" i="80"/>
  <c r="O35" i="80"/>
  <c r="O36" i="80"/>
  <c r="O37" i="80"/>
  <c r="O38" i="80"/>
  <c r="O4" i="80"/>
  <c r="P5" i="89"/>
  <c r="P6" i="89"/>
  <c r="P7" i="89"/>
  <c r="P8" i="89"/>
  <c r="P10" i="89"/>
  <c r="P11" i="89"/>
  <c r="P12" i="89"/>
  <c r="P13" i="89"/>
  <c r="P14" i="89"/>
  <c r="P15" i="89"/>
  <c r="P16" i="89"/>
  <c r="P17" i="89"/>
  <c r="P18" i="89"/>
  <c r="P19" i="89"/>
  <c r="P20" i="89"/>
  <c r="P21" i="89"/>
  <c r="P22" i="89"/>
  <c r="P23" i="89"/>
  <c r="P24" i="89"/>
  <c r="P25" i="89"/>
  <c r="P26" i="89"/>
  <c r="P27" i="89"/>
  <c r="P28" i="89"/>
  <c r="P29" i="89"/>
  <c r="P30" i="89"/>
  <c r="P31" i="89"/>
  <c r="P32" i="89"/>
  <c r="P33" i="89"/>
  <c r="P4" i="89"/>
  <c r="O5" i="89"/>
  <c r="O6" i="89"/>
  <c r="O7" i="89"/>
  <c r="O8" i="89"/>
  <c r="O9" i="89"/>
  <c r="O10" i="89"/>
  <c r="O11" i="89"/>
  <c r="O12" i="89"/>
  <c r="O13" i="89"/>
  <c r="O14" i="89"/>
  <c r="O15" i="89"/>
  <c r="O16" i="89"/>
  <c r="O17" i="89"/>
  <c r="O18" i="89"/>
  <c r="O19" i="89"/>
  <c r="O20" i="89"/>
  <c r="O21" i="89"/>
  <c r="O22" i="89"/>
  <c r="O23" i="89"/>
  <c r="O24" i="89"/>
  <c r="O25" i="89"/>
  <c r="O26" i="89"/>
  <c r="O27" i="89"/>
  <c r="O28" i="89"/>
  <c r="O29" i="89"/>
  <c r="O30" i="89"/>
  <c r="O31" i="89"/>
  <c r="O32" i="89"/>
  <c r="O33" i="89"/>
  <c r="O4" i="89"/>
  <c r="P5" i="48"/>
  <c r="P6" i="48"/>
  <c r="P7" i="48"/>
  <c r="P8" i="48"/>
  <c r="P9" i="48"/>
  <c r="P10" i="48"/>
  <c r="P11" i="48"/>
  <c r="P12" i="48"/>
  <c r="P13" i="48"/>
  <c r="P14" i="48"/>
  <c r="P15" i="48"/>
  <c r="P16" i="48"/>
  <c r="P17" i="48"/>
  <c r="P18" i="48"/>
  <c r="P19" i="48"/>
  <c r="P20" i="48"/>
  <c r="P21" i="48"/>
  <c r="P22" i="48"/>
  <c r="P23" i="48"/>
  <c r="P24" i="48"/>
  <c r="P25" i="48"/>
  <c r="P26" i="48"/>
  <c r="P27" i="48"/>
  <c r="P28" i="48"/>
  <c r="P29" i="48"/>
  <c r="P30" i="48"/>
  <c r="P31" i="48"/>
  <c r="P4" i="48"/>
  <c r="O5" i="48"/>
  <c r="O6" i="48"/>
  <c r="O7" i="48"/>
  <c r="O8" i="48"/>
  <c r="O9" i="48"/>
  <c r="O10" i="48"/>
  <c r="O11" i="48"/>
  <c r="O12" i="48"/>
  <c r="O13" i="48"/>
  <c r="O14" i="48"/>
  <c r="O15" i="48"/>
  <c r="O16" i="48"/>
  <c r="O17" i="48"/>
  <c r="O18" i="48"/>
  <c r="O19" i="48"/>
  <c r="O20" i="48"/>
  <c r="O21" i="48"/>
  <c r="O22" i="48"/>
  <c r="O23" i="48"/>
  <c r="O24" i="48"/>
  <c r="O25" i="48"/>
  <c r="O26" i="48"/>
  <c r="O27" i="48"/>
  <c r="O28" i="48"/>
  <c r="O29" i="48"/>
  <c r="O30" i="48"/>
  <c r="O31" i="48"/>
  <c r="O4" i="48"/>
  <c r="P5" i="84"/>
  <c r="P6" i="84"/>
  <c r="P7" i="84"/>
  <c r="P8" i="84"/>
  <c r="P9" i="84"/>
  <c r="P10" i="84"/>
  <c r="P11" i="84"/>
  <c r="P12" i="84"/>
  <c r="P13" i="84"/>
  <c r="P14" i="84"/>
  <c r="P15" i="84"/>
  <c r="P16" i="84"/>
  <c r="P17" i="84"/>
  <c r="P18" i="84"/>
  <c r="P19" i="84"/>
  <c r="P20" i="84"/>
  <c r="P21" i="84"/>
  <c r="P22" i="84"/>
  <c r="P23" i="84"/>
  <c r="P24" i="84"/>
  <c r="P25" i="84"/>
  <c r="P26" i="84"/>
  <c r="P27" i="84"/>
  <c r="P28" i="84"/>
  <c r="P29" i="84"/>
  <c r="P30" i="84"/>
  <c r="P31" i="84"/>
  <c r="P32" i="84"/>
  <c r="P33" i="84"/>
  <c r="P4" i="84"/>
  <c r="O5" i="84"/>
  <c r="O6" i="84"/>
  <c r="O7" i="84"/>
  <c r="O8" i="84"/>
  <c r="O9" i="84"/>
  <c r="O10" i="84"/>
  <c r="O11" i="84"/>
  <c r="O12" i="84"/>
  <c r="O13" i="84"/>
  <c r="O14" i="84"/>
  <c r="O15" i="84"/>
  <c r="O16" i="84"/>
  <c r="O17" i="84"/>
  <c r="O18" i="84"/>
  <c r="O19" i="84"/>
  <c r="O20" i="84"/>
  <c r="O21" i="84"/>
  <c r="O22" i="84"/>
  <c r="O23" i="84"/>
  <c r="O24" i="84"/>
  <c r="O25" i="84"/>
  <c r="O26" i="84"/>
  <c r="O27" i="84"/>
  <c r="O28" i="84"/>
  <c r="O29" i="84"/>
  <c r="O30" i="84"/>
  <c r="O31" i="84"/>
  <c r="O32" i="84"/>
  <c r="O33" i="84"/>
  <c r="O4" i="84"/>
  <c r="Q5" i="6"/>
  <c r="Q6" i="6"/>
  <c r="Q7" i="6"/>
  <c r="Q8" i="6"/>
  <c r="Q9" i="6"/>
  <c r="Q10" i="6"/>
  <c r="Q11" i="6"/>
  <c r="Q12" i="6"/>
  <c r="Q13" i="6"/>
  <c r="Q14" i="6"/>
  <c r="Q15" i="6"/>
  <c r="Q16" i="6"/>
  <c r="Q17" i="6"/>
  <c r="Q18" i="6"/>
  <c r="Q19" i="6"/>
  <c r="Q20" i="6"/>
  <c r="Q21" i="6"/>
  <c r="Q22" i="6"/>
  <c r="Q23" i="6"/>
  <c r="Q24" i="6"/>
  <c r="Q25" i="6"/>
  <c r="Q26" i="6"/>
  <c r="Q27" i="6"/>
  <c r="Q28" i="6"/>
  <c r="Q29" i="6"/>
  <c r="Q30" i="6"/>
  <c r="Q31" i="6"/>
  <c r="Q32" i="6"/>
  <c r="Q33" i="6"/>
  <c r="Q34" i="6"/>
  <c r="Q36" i="6"/>
  <c r="Q37" i="6"/>
  <c r="Q39" i="6"/>
  <c r="Q40" i="6"/>
  <c r="Q41" i="6"/>
  <c r="Q42" i="6"/>
  <c r="Q44" i="6"/>
  <c r="Q46" i="6"/>
  <c r="Q47" i="6"/>
  <c r="Q48" i="6"/>
  <c r="Q49" i="6"/>
  <c r="Q50" i="6"/>
  <c r="Q51" i="6"/>
  <c r="Q52" i="6"/>
  <c r="Q53" i="6"/>
  <c r="Q54" i="6"/>
  <c r="Q55" i="6"/>
  <c r="Q4" i="6"/>
  <c r="P5" i="6"/>
  <c r="P6" i="6"/>
  <c r="P7" i="6"/>
  <c r="P8" i="6"/>
  <c r="P9" i="6"/>
  <c r="P10" i="6"/>
  <c r="P11" i="6"/>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4" i="6"/>
  <c r="Q5" i="13"/>
  <c r="Q6" i="13"/>
  <c r="Q7" i="13"/>
  <c r="Q8" i="13"/>
  <c r="Q9" i="13"/>
  <c r="Q10" i="13"/>
  <c r="Q11" i="13"/>
  <c r="Q12" i="13"/>
  <c r="Q13" i="13"/>
  <c r="Q15" i="13"/>
  <c r="Q16" i="13"/>
  <c r="Q17" i="13"/>
  <c r="Q18" i="13"/>
  <c r="Q19" i="13"/>
  <c r="Q20" i="13"/>
  <c r="Q21" i="13"/>
  <c r="Q22" i="13"/>
  <c r="Q23" i="13"/>
  <c r="Q25" i="13"/>
  <c r="Q26" i="13"/>
  <c r="Q27" i="13"/>
  <c r="Q28" i="13"/>
  <c r="Q29" i="13"/>
  <c r="Q30" i="13"/>
  <c r="Q31" i="13"/>
  <c r="Q32" i="13"/>
  <c r="Q33" i="13"/>
  <c r="Q34" i="13"/>
  <c r="Q35" i="13"/>
  <c r="Q36" i="13"/>
  <c r="Q37" i="13"/>
  <c r="Q38" i="13"/>
  <c r="Q39" i="13"/>
  <c r="Q40" i="13"/>
  <c r="Q41" i="13"/>
  <c r="Q42" i="13"/>
  <c r="Q43" i="13"/>
  <c r="Q44" i="13"/>
  <c r="Q45" i="13"/>
  <c r="Q46" i="13"/>
  <c r="Q47" i="13"/>
  <c r="Q48" i="13"/>
  <c r="Q49" i="13"/>
  <c r="Q50" i="13"/>
  <c r="Q51" i="13"/>
  <c r="Q52" i="13"/>
  <c r="Q53" i="13"/>
  <c r="Q4" i="13"/>
  <c r="P5" i="13"/>
  <c r="P6" i="13"/>
  <c r="P7" i="13"/>
  <c r="P8" i="13"/>
  <c r="P9" i="13"/>
  <c r="P10" i="13"/>
  <c r="P11" i="13"/>
  <c r="P12" i="13"/>
  <c r="P13" i="13"/>
  <c r="P14" i="13"/>
  <c r="P15" i="13"/>
  <c r="P16" i="13"/>
  <c r="P17" i="13"/>
  <c r="P18" i="13"/>
  <c r="P19" i="13"/>
  <c r="P20" i="13"/>
  <c r="P21" i="13"/>
  <c r="P22" i="13"/>
  <c r="P23" i="13"/>
  <c r="P24" i="13"/>
  <c r="P25" i="13"/>
  <c r="P26" i="13"/>
  <c r="P27" i="13"/>
  <c r="P28" i="13"/>
  <c r="P29" i="13"/>
  <c r="P30" i="13"/>
  <c r="P31" i="13"/>
  <c r="P32" i="13"/>
  <c r="P33" i="13"/>
  <c r="P34" i="13"/>
  <c r="P35" i="13"/>
  <c r="P36" i="13"/>
  <c r="P37" i="13"/>
  <c r="P38" i="13"/>
  <c r="P39" i="13"/>
  <c r="P40" i="13"/>
  <c r="P41" i="13"/>
  <c r="P42" i="13"/>
  <c r="P43" i="13"/>
  <c r="P44" i="13"/>
  <c r="P45" i="13"/>
  <c r="P46" i="13"/>
  <c r="P47" i="13"/>
  <c r="P48" i="13"/>
  <c r="P49" i="13"/>
  <c r="P50" i="13"/>
  <c r="P51" i="13"/>
  <c r="P52" i="13"/>
  <c r="P53" i="13"/>
  <c r="P4" i="13"/>
  <c r="Q5" i="17"/>
  <c r="Q6" i="17"/>
  <c r="Q7" i="17"/>
  <c r="Q8" i="17"/>
  <c r="Q9" i="17"/>
  <c r="Q10" i="17"/>
  <c r="Q11" i="17"/>
  <c r="Q12" i="17"/>
  <c r="Q13" i="17"/>
  <c r="Q14" i="17"/>
  <c r="Q15" i="17"/>
  <c r="Q16" i="17"/>
  <c r="Q17" i="17"/>
  <c r="Q18" i="17"/>
  <c r="Q19" i="17"/>
  <c r="Q20" i="17"/>
  <c r="Q21" i="17"/>
  <c r="Q22" i="17"/>
  <c r="Q23" i="17"/>
  <c r="Q24" i="17"/>
  <c r="Q25" i="17"/>
  <c r="Q26" i="17"/>
  <c r="Q27" i="17"/>
  <c r="Q28" i="17"/>
  <c r="Q29" i="17"/>
  <c r="Q30" i="17"/>
  <c r="Q31" i="17"/>
  <c r="Q32" i="17"/>
  <c r="Q33" i="17"/>
  <c r="Q34" i="17"/>
  <c r="Q35" i="17"/>
  <c r="Q36" i="17"/>
  <c r="Q37" i="17"/>
  <c r="Q38" i="17"/>
  <c r="Q39" i="17"/>
  <c r="Q40" i="17"/>
  <c r="Q41" i="17"/>
  <c r="Q42" i="17"/>
  <c r="Q43" i="17"/>
  <c r="Q44" i="17"/>
  <c r="Q46" i="17"/>
  <c r="Q47" i="17"/>
  <c r="Q48" i="17"/>
  <c r="Q49" i="17"/>
  <c r="Q50" i="17"/>
  <c r="Q51" i="17"/>
  <c r="Q52" i="17"/>
  <c r="Q53" i="17"/>
  <c r="Q54" i="17"/>
  <c r="Q55" i="17"/>
  <c r="Q56" i="17"/>
  <c r="Q57" i="17"/>
  <c r="Q58" i="17"/>
  <c r="Q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4" i="17"/>
  <c r="Q5" i="9"/>
  <c r="Q6" i="9"/>
  <c r="Q7" i="9"/>
  <c r="Q8" i="9"/>
  <c r="Q9" i="9"/>
  <c r="Q10" i="9"/>
  <c r="Q11" i="9"/>
  <c r="Q12" i="9"/>
  <c r="Q13" i="9"/>
  <c r="Q14" i="9"/>
  <c r="Q15" i="9"/>
  <c r="Q16" i="9"/>
  <c r="Q17" i="9"/>
  <c r="Q18" i="9"/>
  <c r="Q19" i="9"/>
  <c r="Q20" i="9"/>
  <c r="Q21" i="9"/>
  <c r="Q22" i="9"/>
  <c r="Q23" i="9"/>
  <c r="Q24" i="9"/>
  <c r="Q25" i="9"/>
  <c r="Q26" i="9"/>
  <c r="Q27" i="9"/>
  <c r="Q28" i="9"/>
  <c r="Q29" i="9"/>
  <c r="Q30" i="9"/>
  <c r="Q32" i="9"/>
  <c r="Q33" i="9"/>
  <c r="Q34" i="9"/>
  <c r="Q35" i="9"/>
  <c r="Q36" i="9"/>
  <c r="Q37" i="9"/>
  <c r="Q38" i="9"/>
  <c r="Q39" i="9"/>
  <c r="Q40" i="9"/>
  <c r="Q41" i="9"/>
  <c r="Q42" i="9"/>
  <c r="Q43" i="9"/>
  <c r="Q44" i="9"/>
  <c r="Q45" i="9"/>
  <c r="Q46" i="9"/>
  <c r="Q47" i="9"/>
  <c r="Q48" i="9"/>
  <c r="Q49" i="9"/>
  <c r="Q50" i="9"/>
  <c r="Q51" i="9"/>
  <c r="Q52" i="9"/>
  <c r="Q53" i="9"/>
  <c r="Q54" i="9"/>
  <c r="Q55" i="9"/>
  <c r="Q4" i="9"/>
  <c r="P5" i="9"/>
  <c r="P6" i="9"/>
  <c r="P7" i="9"/>
  <c r="P8" i="9"/>
  <c r="P9" i="9"/>
  <c r="P10" i="9"/>
  <c r="P11" i="9"/>
  <c r="P12" i="9"/>
  <c r="P13" i="9"/>
  <c r="P14" i="9"/>
  <c r="P15" i="9"/>
  <c r="P16" i="9"/>
  <c r="P17" i="9"/>
  <c r="P18" i="9"/>
  <c r="P19" i="9"/>
  <c r="P20" i="9"/>
  <c r="P21" i="9"/>
  <c r="P22" i="9"/>
  <c r="P23" i="9"/>
  <c r="P24" i="9"/>
  <c r="P25" i="9"/>
  <c r="P26" i="9"/>
  <c r="P27" i="9"/>
  <c r="P28" i="9"/>
  <c r="P29" i="9"/>
  <c r="P30" i="9"/>
  <c r="P31" i="9"/>
  <c r="P32" i="9"/>
  <c r="P33" i="9"/>
  <c r="P34" i="9"/>
  <c r="P35" i="9"/>
  <c r="P36" i="9"/>
  <c r="P37" i="9"/>
  <c r="P38" i="9"/>
  <c r="P39" i="9"/>
  <c r="P40" i="9"/>
  <c r="P41" i="9"/>
  <c r="P42" i="9"/>
  <c r="P43" i="9"/>
  <c r="P44" i="9"/>
  <c r="P45" i="9"/>
  <c r="P46" i="9"/>
  <c r="P47" i="9"/>
  <c r="P48" i="9"/>
  <c r="P49" i="9"/>
  <c r="P50" i="9"/>
  <c r="P51" i="9"/>
  <c r="P52" i="9"/>
  <c r="P53" i="9"/>
  <c r="P54" i="9"/>
  <c r="P55" i="9"/>
  <c r="P4" i="9"/>
  <c r="Q5" i="5"/>
  <c r="Q6" i="5"/>
  <c r="Q7" i="5"/>
  <c r="Q8" i="5"/>
  <c r="Q9" i="5"/>
  <c r="Q10" i="5"/>
  <c r="Q11" i="5"/>
  <c r="Q12" i="5"/>
  <c r="Q13" i="5"/>
  <c r="Q14" i="5"/>
  <c r="Q15" i="5"/>
  <c r="Q16" i="5"/>
  <c r="Q17" i="5"/>
  <c r="Q18" i="5"/>
  <c r="Q19" i="5"/>
  <c r="Q20" i="5"/>
  <c r="Q21" i="5"/>
  <c r="Q22" i="5"/>
  <c r="Q23" i="5"/>
  <c r="Q24" i="5"/>
  <c r="Q25" i="5"/>
  <c r="Q26" i="5"/>
  <c r="Q27" i="5"/>
  <c r="Q28" i="5"/>
  <c r="Q29" i="5"/>
  <c r="Q30" i="5"/>
  <c r="Q31" i="5"/>
  <c r="Q32" i="5"/>
  <c r="Q33" i="5"/>
  <c r="Q34" i="5"/>
  <c r="Q36" i="5"/>
  <c r="Q37" i="5"/>
  <c r="Q38" i="5"/>
  <c r="Q39" i="5"/>
  <c r="Q40" i="5"/>
  <c r="Q41" i="5"/>
  <c r="Q42" i="5"/>
  <c r="Q44" i="5"/>
  <c r="Q45" i="5"/>
  <c r="Q46" i="5"/>
  <c r="Q47" i="5"/>
  <c r="Q48" i="5"/>
  <c r="Q49" i="5"/>
  <c r="Q50" i="5"/>
  <c r="Q51" i="5"/>
  <c r="Q52" i="5"/>
  <c r="Q53" i="5"/>
  <c r="Q54" i="5"/>
  <c r="Q55" i="5"/>
  <c r="Q4" i="5"/>
  <c r="P5" i="5"/>
  <c r="P6" i="5"/>
  <c r="P7" i="5"/>
  <c r="P8" i="5"/>
  <c r="P9" i="5"/>
  <c r="P10" i="5"/>
  <c r="P11" i="5"/>
  <c r="P12" i="5"/>
  <c r="P13" i="5"/>
  <c r="P14" i="5"/>
  <c r="P15" i="5"/>
  <c r="P16" i="5"/>
  <c r="P17" i="5"/>
  <c r="P18" i="5"/>
  <c r="P19" i="5"/>
  <c r="P20" i="5"/>
  <c r="P21" i="5"/>
  <c r="P22" i="5"/>
  <c r="P23" i="5"/>
  <c r="P24" i="5"/>
  <c r="P25" i="5"/>
  <c r="P26" i="5"/>
  <c r="P27" i="5"/>
  <c r="P28" i="5"/>
  <c r="P29" i="5"/>
  <c r="P30" i="5"/>
  <c r="P31" i="5"/>
  <c r="P32" i="5"/>
  <c r="P33" i="5"/>
  <c r="P34" i="5"/>
  <c r="P35" i="5"/>
  <c r="P36" i="5"/>
  <c r="P37" i="5"/>
  <c r="P38" i="5"/>
  <c r="P39" i="5"/>
  <c r="P40" i="5"/>
  <c r="P41" i="5"/>
  <c r="P42" i="5"/>
  <c r="P43" i="5"/>
  <c r="P44" i="5"/>
  <c r="P45" i="5"/>
  <c r="P46" i="5"/>
  <c r="P47" i="5"/>
  <c r="P48" i="5"/>
  <c r="P49" i="5"/>
  <c r="P50" i="5"/>
  <c r="P51" i="5"/>
  <c r="P52" i="5"/>
  <c r="P53" i="5"/>
  <c r="P54" i="5"/>
  <c r="P55" i="5"/>
  <c r="P4" i="5"/>
  <c r="Q5" i="8"/>
  <c r="Q6" i="8"/>
  <c r="Q7" i="8"/>
  <c r="Q8" i="8"/>
  <c r="Q9" i="8"/>
  <c r="Q10" i="8"/>
  <c r="Q11" i="8"/>
  <c r="Q12" i="8"/>
  <c r="Q13" i="8"/>
  <c r="Q14" i="8"/>
  <c r="Q15" i="8"/>
  <c r="Q16" i="8"/>
  <c r="Q17" i="8"/>
  <c r="Q18" i="8"/>
  <c r="Q19" i="8"/>
  <c r="Q20" i="8"/>
  <c r="Q21" i="8"/>
  <c r="Q22" i="8"/>
  <c r="Q23" i="8"/>
  <c r="Q24" i="8"/>
  <c r="Q25" i="8"/>
  <c r="Q26" i="8"/>
  <c r="Q27" i="8"/>
  <c r="Q28" i="8"/>
  <c r="Q29" i="8"/>
  <c r="Q30" i="8"/>
  <c r="Q32" i="8"/>
  <c r="Q33" i="8"/>
  <c r="Q34" i="8"/>
  <c r="Q35" i="8"/>
  <c r="Q36" i="8"/>
  <c r="Q37" i="8"/>
  <c r="Q38" i="8"/>
  <c r="Q39" i="8"/>
  <c r="Q40" i="8"/>
  <c r="Q41" i="8"/>
  <c r="Q42" i="8"/>
  <c r="Q43" i="8"/>
  <c r="Q44" i="8"/>
  <c r="Q45" i="8"/>
  <c r="Q46" i="8"/>
  <c r="Q47" i="8"/>
  <c r="Q48" i="8"/>
  <c r="Q49" i="8"/>
  <c r="Q50" i="8"/>
  <c r="Q51" i="8"/>
  <c r="Q52" i="8"/>
  <c r="Q53" i="8"/>
  <c r="Q54" i="8"/>
  <c r="Q55" i="8"/>
  <c r="Q4" i="8"/>
  <c r="P5" i="8"/>
  <c r="P6" i="8"/>
  <c r="P7" i="8"/>
  <c r="P8" i="8"/>
  <c r="P9" i="8"/>
  <c r="P10" i="8"/>
  <c r="P11" i="8"/>
  <c r="P12" i="8"/>
  <c r="P13" i="8"/>
  <c r="P14" i="8"/>
  <c r="P15" i="8"/>
  <c r="P16" i="8"/>
  <c r="P17" i="8"/>
  <c r="P18" i="8"/>
  <c r="P19" i="8"/>
  <c r="P20" i="8"/>
  <c r="P21" i="8"/>
  <c r="P22" i="8"/>
  <c r="P23" i="8"/>
  <c r="P24" i="8"/>
  <c r="P25" i="8"/>
  <c r="P26" i="8"/>
  <c r="P27" i="8"/>
  <c r="P28" i="8"/>
  <c r="P29" i="8"/>
  <c r="P30" i="8"/>
  <c r="P31" i="8"/>
  <c r="P32" i="8"/>
  <c r="P33" i="8"/>
  <c r="P34" i="8"/>
  <c r="P35" i="8"/>
  <c r="P36" i="8"/>
  <c r="P37" i="8"/>
  <c r="P38" i="8"/>
  <c r="P39" i="8"/>
  <c r="P40" i="8"/>
  <c r="P41" i="8"/>
  <c r="P42" i="8"/>
  <c r="P43" i="8"/>
  <c r="P44" i="8"/>
  <c r="P45" i="8"/>
  <c r="P46" i="8"/>
  <c r="P47" i="8"/>
  <c r="P48" i="8"/>
  <c r="P49" i="8"/>
  <c r="P50" i="8"/>
  <c r="P51" i="8"/>
  <c r="P52" i="8"/>
  <c r="P53" i="8"/>
  <c r="P54" i="8"/>
  <c r="P55" i="8"/>
  <c r="P4" i="8"/>
  <c r="Q5" i="12"/>
  <c r="Q6" i="12"/>
  <c r="Q7" i="12"/>
  <c r="Q8" i="12"/>
  <c r="Q9" i="12"/>
  <c r="Q10" i="12"/>
  <c r="Q11" i="12"/>
  <c r="Q12" i="12"/>
  <c r="Q13" i="12"/>
  <c r="Q15" i="12"/>
  <c r="Q16" i="12"/>
  <c r="Q17" i="12"/>
  <c r="Q18" i="12"/>
  <c r="Q19" i="12"/>
  <c r="Q20" i="12"/>
  <c r="Q21" i="12"/>
  <c r="Q22" i="12"/>
  <c r="Q23" i="12"/>
  <c r="Q24" i="12"/>
  <c r="Q25" i="12"/>
  <c r="Q26" i="12"/>
  <c r="Q27" i="12"/>
  <c r="Q28" i="12"/>
  <c r="Q29" i="12"/>
  <c r="Q30" i="12"/>
  <c r="Q31" i="12"/>
  <c r="Q32" i="12"/>
  <c r="Q33" i="12"/>
  <c r="Q34" i="12"/>
  <c r="Q35" i="12"/>
  <c r="Q36" i="12"/>
  <c r="Q37" i="12"/>
  <c r="Q38" i="12"/>
  <c r="Q39" i="12"/>
  <c r="Q40" i="12"/>
  <c r="Q41" i="12"/>
  <c r="Q42" i="12"/>
  <c r="Q43" i="12"/>
  <c r="Q44" i="12"/>
  <c r="Q45" i="12"/>
  <c r="Q46" i="12"/>
  <c r="Q47" i="12"/>
  <c r="Q48" i="12"/>
  <c r="Q49" i="12"/>
  <c r="Q50" i="12"/>
  <c r="Q51" i="12"/>
  <c r="Q52" i="12"/>
  <c r="Q53" i="12"/>
  <c r="Q4" i="12"/>
  <c r="P5" i="12"/>
  <c r="P6" i="12"/>
  <c r="P7" i="12"/>
  <c r="P8" i="12"/>
  <c r="P9" i="12"/>
  <c r="P10" i="12"/>
  <c r="P11" i="12"/>
  <c r="P12" i="12"/>
  <c r="P13" i="12"/>
  <c r="P14" i="12"/>
  <c r="P15" i="12"/>
  <c r="P16" i="12"/>
  <c r="P17" i="12"/>
  <c r="P18" i="12"/>
  <c r="P19" i="12"/>
  <c r="P20" i="12"/>
  <c r="P21" i="12"/>
  <c r="P22" i="12"/>
  <c r="P23" i="12"/>
  <c r="P24" i="12"/>
  <c r="P25" i="12"/>
  <c r="P26" i="12"/>
  <c r="P27" i="12"/>
  <c r="P28" i="12"/>
  <c r="P29" i="12"/>
  <c r="P30" i="12"/>
  <c r="P31" i="12"/>
  <c r="P32" i="12"/>
  <c r="P33" i="12"/>
  <c r="P34" i="12"/>
  <c r="P35" i="12"/>
  <c r="P36" i="12"/>
  <c r="P37" i="12"/>
  <c r="P38" i="12"/>
  <c r="P39" i="12"/>
  <c r="P40" i="12"/>
  <c r="P41" i="12"/>
  <c r="P42" i="12"/>
  <c r="P43" i="12"/>
  <c r="P44" i="12"/>
  <c r="P45" i="12"/>
  <c r="P46" i="12"/>
  <c r="P47" i="12"/>
  <c r="P48" i="12"/>
  <c r="P49" i="12"/>
  <c r="P50" i="12"/>
  <c r="P51" i="12"/>
  <c r="P52" i="12"/>
  <c r="P53" i="12"/>
  <c r="P4" i="12"/>
  <c r="Q5" i="16"/>
  <c r="Q6" i="16"/>
  <c r="Q7" i="16"/>
  <c r="Q8" i="16"/>
  <c r="Q9" i="16"/>
  <c r="Q10" i="16"/>
  <c r="Q11" i="16"/>
  <c r="Q12" i="16"/>
  <c r="Q13" i="16"/>
  <c r="Q14" i="16"/>
  <c r="Q15" i="16"/>
  <c r="Q16" i="16"/>
  <c r="Q17" i="16"/>
  <c r="Q18" i="16"/>
  <c r="Q19" i="16"/>
  <c r="Q20" i="16"/>
  <c r="Q21" i="16"/>
  <c r="Q22" i="16"/>
  <c r="Q23" i="16"/>
  <c r="Q24" i="16"/>
  <c r="Q25" i="16"/>
  <c r="Q26" i="16"/>
  <c r="Q27" i="16"/>
  <c r="Q28" i="16"/>
  <c r="Q29" i="16"/>
  <c r="Q30" i="16"/>
  <c r="Q31" i="16"/>
  <c r="Q32" i="16"/>
  <c r="Q33" i="16"/>
  <c r="Q34" i="16"/>
  <c r="Q35" i="16"/>
  <c r="Q36" i="16"/>
  <c r="Q37" i="16"/>
  <c r="Q38" i="16"/>
  <c r="Q39" i="16"/>
  <c r="Q40" i="16"/>
  <c r="Q41" i="16"/>
  <c r="Q42" i="16"/>
  <c r="Q43" i="16"/>
  <c r="Q44" i="16"/>
  <c r="Q46" i="16"/>
  <c r="Q47" i="16"/>
  <c r="Q48" i="16"/>
  <c r="Q49" i="16"/>
  <c r="Q50" i="16"/>
  <c r="Q51" i="16"/>
  <c r="Q52" i="16"/>
  <c r="Q53" i="16"/>
  <c r="Q54" i="16"/>
  <c r="Q55" i="16"/>
  <c r="Q56" i="16"/>
  <c r="Q57" i="16"/>
  <c r="Q58" i="16"/>
  <c r="Q4" i="16"/>
  <c r="P5" i="16"/>
  <c r="P6" i="16"/>
  <c r="P7" i="16"/>
  <c r="P8" i="16"/>
  <c r="P9" i="16"/>
  <c r="P10" i="16"/>
  <c r="P11" i="16"/>
  <c r="P12" i="16"/>
  <c r="P13" i="16"/>
  <c r="P14" i="16"/>
  <c r="P15" i="16"/>
  <c r="P16" i="16"/>
  <c r="P17" i="16"/>
  <c r="P18" i="16"/>
  <c r="P19" i="16"/>
  <c r="P20" i="16"/>
  <c r="P21" i="16"/>
  <c r="P22" i="16"/>
  <c r="P23" i="16"/>
  <c r="P24" i="16"/>
  <c r="P25" i="16"/>
  <c r="P26" i="16"/>
  <c r="P27" i="16"/>
  <c r="P28" i="16"/>
  <c r="P29" i="16"/>
  <c r="P30" i="16"/>
  <c r="P31" i="16"/>
  <c r="P32" i="16"/>
  <c r="P33" i="16"/>
  <c r="P34" i="16"/>
  <c r="P35" i="16"/>
  <c r="P36" i="16"/>
  <c r="P37" i="16"/>
  <c r="P38" i="16"/>
  <c r="P39" i="16"/>
  <c r="P40" i="16"/>
  <c r="P41" i="16"/>
  <c r="P42" i="16"/>
  <c r="P43" i="16"/>
  <c r="P44" i="16"/>
  <c r="P45" i="16"/>
  <c r="P46" i="16"/>
  <c r="P47" i="16"/>
  <c r="P48" i="16"/>
  <c r="P49" i="16"/>
  <c r="P50" i="16"/>
  <c r="P51" i="16"/>
  <c r="P52" i="16"/>
  <c r="P53" i="16"/>
  <c r="P54" i="16"/>
  <c r="P55" i="16"/>
  <c r="P56" i="16"/>
  <c r="P57" i="16"/>
  <c r="P58" i="16"/>
  <c r="P4" i="16"/>
  <c r="P5" i="83"/>
  <c r="P6" i="83"/>
  <c r="P7" i="83"/>
  <c r="P8" i="83"/>
  <c r="P9" i="83"/>
  <c r="P10" i="83"/>
  <c r="P11" i="83"/>
  <c r="P12" i="83"/>
  <c r="P13" i="83"/>
  <c r="P14" i="83"/>
  <c r="P15" i="83"/>
  <c r="P16" i="83"/>
  <c r="P17" i="83"/>
  <c r="P18" i="83"/>
  <c r="P19" i="83"/>
  <c r="P20" i="83"/>
  <c r="P21" i="83"/>
  <c r="P22" i="83"/>
  <c r="P23" i="83"/>
  <c r="P24" i="83"/>
  <c r="P25" i="83"/>
  <c r="P26" i="83"/>
  <c r="P27" i="83"/>
  <c r="P28" i="83"/>
  <c r="P29" i="83"/>
  <c r="P30" i="83"/>
  <c r="P31" i="83"/>
  <c r="P32" i="83"/>
  <c r="P33" i="83"/>
  <c r="P4" i="83"/>
  <c r="O5" i="83"/>
  <c r="O6" i="83"/>
  <c r="O7" i="83"/>
  <c r="O8" i="83"/>
  <c r="O9" i="83"/>
  <c r="O10" i="83"/>
  <c r="O11" i="83"/>
  <c r="O12" i="83"/>
  <c r="O13" i="83"/>
  <c r="O14" i="83"/>
  <c r="O15" i="83"/>
  <c r="O16" i="83"/>
  <c r="O17" i="83"/>
  <c r="O18" i="83"/>
  <c r="O19" i="83"/>
  <c r="O20" i="83"/>
  <c r="O21" i="83"/>
  <c r="O22" i="83"/>
  <c r="O23" i="83"/>
  <c r="O24" i="83"/>
  <c r="O25" i="83"/>
  <c r="O26" i="83"/>
  <c r="O27" i="83"/>
  <c r="O28" i="83"/>
  <c r="O29" i="83"/>
  <c r="O30" i="83"/>
  <c r="O31" i="83"/>
  <c r="O32" i="83"/>
  <c r="O33" i="83"/>
  <c r="O4" i="83"/>
  <c r="P5" i="88"/>
  <c r="P6" i="88"/>
  <c r="P7" i="88"/>
  <c r="P8" i="88"/>
  <c r="P10" i="88"/>
  <c r="P11" i="88"/>
  <c r="P12" i="88"/>
  <c r="P13" i="88"/>
  <c r="P14" i="88"/>
  <c r="P15" i="88"/>
  <c r="P16" i="88"/>
  <c r="P17" i="88"/>
  <c r="P18" i="88"/>
  <c r="P19" i="88"/>
  <c r="P20" i="88"/>
  <c r="P21" i="88"/>
  <c r="P22" i="88"/>
  <c r="P23" i="88"/>
  <c r="P24" i="88"/>
  <c r="P25" i="88"/>
  <c r="P26" i="88"/>
  <c r="P27" i="88"/>
  <c r="P28" i="88"/>
  <c r="P29" i="88"/>
  <c r="P30" i="88"/>
  <c r="P31" i="88"/>
  <c r="P32" i="88"/>
  <c r="P33" i="88"/>
  <c r="P4" i="88"/>
  <c r="Q35" i="80" l="1"/>
  <c r="Q9" i="80"/>
  <c r="Q24" i="80"/>
  <c r="Q8" i="80"/>
  <c r="Q17" i="80"/>
  <c r="Q6" i="76"/>
  <c r="Q4" i="80"/>
  <c r="Q31" i="80"/>
  <c r="Q22" i="80"/>
  <c r="Q14" i="80"/>
  <c r="Q6" i="80"/>
  <c r="Q27" i="80"/>
  <c r="Q26" i="80"/>
  <c r="R6" i="13"/>
  <c r="Q18" i="80"/>
  <c r="Q13" i="76"/>
  <c r="Q7" i="76"/>
  <c r="Q37" i="76"/>
  <c r="Q21" i="76"/>
  <c r="Q5" i="76"/>
  <c r="Q9" i="76"/>
  <c r="Q45" i="76"/>
  <c r="Q29" i="76"/>
  <c r="Q4" i="76"/>
  <c r="Q41" i="76"/>
  <c r="Q33" i="76"/>
  <c r="Q25" i="76"/>
  <c r="Q17" i="76"/>
  <c r="Q47" i="76"/>
  <c r="Q43" i="76"/>
  <c r="Q39" i="76"/>
  <c r="Q35" i="76"/>
  <c r="Q31" i="76"/>
  <c r="Q27" i="76"/>
  <c r="Q23" i="76"/>
  <c r="Q19" i="76"/>
  <c r="Q15" i="76"/>
  <c r="Q11" i="76"/>
  <c r="Q48" i="76"/>
  <c r="Q46" i="76"/>
  <c r="Q44" i="76"/>
  <c r="Q42" i="76"/>
  <c r="Q40" i="76"/>
  <c r="Q38" i="76"/>
  <c r="Q36" i="76"/>
  <c r="Q34" i="76"/>
  <c r="Q32" i="76"/>
  <c r="Q30" i="76"/>
  <c r="Q28" i="76"/>
  <c r="Q26" i="76"/>
  <c r="Q24" i="76"/>
  <c r="Q22" i="76"/>
  <c r="Q20" i="76"/>
  <c r="Q18" i="76"/>
  <c r="Q16" i="76"/>
  <c r="Q14" i="76"/>
  <c r="Q12" i="76"/>
  <c r="Q10" i="76"/>
  <c r="Q8" i="76"/>
  <c r="R6" i="9"/>
  <c r="R6" i="17"/>
  <c r="R6" i="6"/>
  <c r="Q6" i="84"/>
  <c r="Q6" i="48"/>
  <c r="Q6" i="89"/>
  <c r="Q4" i="89"/>
  <c r="Q32" i="89"/>
  <c r="Q30" i="89"/>
  <c r="Q28" i="89"/>
  <c r="Q26" i="89"/>
  <c r="Q24" i="89"/>
  <c r="Q22" i="89"/>
  <c r="Q20" i="89"/>
  <c r="Q18" i="89"/>
  <c r="Q16" i="89"/>
  <c r="Q14" i="89"/>
  <c r="Q12" i="89"/>
  <c r="Q10" i="89"/>
  <c r="Q7" i="89"/>
  <c r="Q5" i="89"/>
  <c r="Q33" i="89"/>
  <c r="Q31" i="89"/>
  <c r="Q29" i="89"/>
  <c r="Q27" i="89"/>
  <c r="Q25" i="89"/>
  <c r="Q23" i="89"/>
  <c r="Q21" i="89"/>
  <c r="Q19" i="89"/>
  <c r="Q17" i="89"/>
  <c r="Q15" i="89"/>
  <c r="Q13" i="89"/>
  <c r="Q11" i="89"/>
  <c r="Q8" i="89"/>
  <c r="Q31" i="48"/>
  <c r="Q29" i="48"/>
  <c r="Q27" i="48"/>
  <c r="Q25" i="48"/>
  <c r="Q23" i="48"/>
  <c r="Q21" i="48"/>
  <c r="Q19" i="48"/>
  <c r="Q17" i="48"/>
  <c r="Q15" i="48"/>
  <c r="Q13" i="48"/>
  <c r="Q11" i="48"/>
  <c r="Q9" i="48"/>
  <c r="Q7" i="48"/>
  <c r="Q5" i="48"/>
  <c r="Q4" i="48"/>
  <c r="Q30" i="48"/>
  <c r="Q28" i="48"/>
  <c r="Q26" i="48"/>
  <c r="Q24" i="48"/>
  <c r="Q22" i="48"/>
  <c r="Q20" i="48"/>
  <c r="Q18" i="48"/>
  <c r="Q16" i="48"/>
  <c r="Q14" i="48"/>
  <c r="Q12" i="48"/>
  <c r="Q10" i="48"/>
  <c r="Q8" i="48"/>
  <c r="Q33" i="84"/>
  <c r="Q31" i="84"/>
  <c r="Q29" i="84"/>
  <c r="Q27" i="84"/>
  <c r="Q25" i="84"/>
  <c r="Q23" i="84"/>
  <c r="Q21" i="84"/>
  <c r="Q19" i="84"/>
  <c r="Q17" i="84"/>
  <c r="Q15" i="84"/>
  <c r="Q13" i="84"/>
  <c r="Q11" i="84"/>
  <c r="Q9" i="84"/>
  <c r="Q7" i="84"/>
  <c r="Q5" i="84"/>
  <c r="Q4" i="84"/>
  <c r="Q32" i="84"/>
  <c r="Q30" i="84"/>
  <c r="Q28" i="84"/>
  <c r="Q26" i="84"/>
  <c r="Q24" i="84"/>
  <c r="Q22" i="84"/>
  <c r="Q20" i="84"/>
  <c r="Q18" i="84"/>
  <c r="Q16" i="84"/>
  <c r="Q14" i="84"/>
  <c r="Q12" i="84"/>
  <c r="Q10" i="84"/>
  <c r="Q8" i="84"/>
  <c r="R55" i="6"/>
  <c r="R53" i="6"/>
  <c r="R51" i="6"/>
  <c r="R49" i="6"/>
  <c r="R47" i="6"/>
  <c r="R44" i="6"/>
  <c r="R41" i="6"/>
  <c r="R39" i="6"/>
  <c r="R36" i="6"/>
  <c r="R33" i="6"/>
  <c r="R31" i="6"/>
  <c r="R29" i="6"/>
  <c r="R27" i="6"/>
  <c r="R25" i="6"/>
  <c r="R23" i="6"/>
  <c r="R21" i="6"/>
  <c r="R19" i="6"/>
  <c r="R17" i="6"/>
  <c r="R15" i="6"/>
  <c r="R13" i="6"/>
  <c r="R11" i="6"/>
  <c r="R9" i="6"/>
  <c r="R7" i="6"/>
  <c r="R5" i="6"/>
  <c r="R4" i="6"/>
  <c r="R54" i="6"/>
  <c r="R52" i="6"/>
  <c r="R50" i="6"/>
  <c r="R48" i="6"/>
  <c r="R46" i="6"/>
  <c r="R42" i="6"/>
  <c r="R40" i="6"/>
  <c r="R37" i="6"/>
  <c r="R34" i="6"/>
  <c r="R32" i="6"/>
  <c r="R30" i="6"/>
  <c r="R28" i="6"/>
  <c r="R26" i="6"/>
  <c r="R24" i="6"/>
  <c r="R22" i="6"/>
  <c r="R20" i="6"/>
  <c r="R18" i="6"/>
  <c r="R16" i="6"/>
  <c r="R14" i="6"/>
  <c r="R12" i="6"/>
  <c r="R10" i="6"/>
  <c r="R8" i="6"/>
  <c r="R58" i="17"/>
  <c r="R56" i="17"/>
  <c r="R54" i="17"/>
  <c r="R52" i="17"/>
  <c r="R50" i="17"/>
  <c r="R48" i="17"/>
  <c r="R46" i="17"/>
  <c r="R43" i="17"/>
  <c r="R41" i="17"/>
  <c r="R39" i="17"/>
  <c r="R37" i="17"/>
  <c r="R35" i="17"/>
  <c r="R33" i="17"/>
  <c r="R31" i="17"/>
  <c r="R29" i="17"/>
  <c r="R27" i="17"/>
  <c r="R25" i="17"/>
  <c r="R23" i="17"/>
  <c r="R21" i="17"/>
  <c r="R19" i="17"/>
  <c r="R17" i="17"/>
  <c r="R15" i="17"/>
  <c r="R13" i="17"/>
  <c r="R11" i="17"/>
  <c r="R9" i="17"/>
  <c r="R7" i="17"/>
  <c r="R5" i="17"/>
  <c r="R4" i="17"/>
  <c r="R57" i="17"/>
  <c r="R55" i="17"/>
  <c r="R53" i="17"/>
  <c r="R51" i="17"/>
  <c r="R49" i="17"/>
  <c r="R47" i="17"/>
  <c r="R44" i="17"/>
  <c r="R42" i="17"/>
  <c r="R40" i="17"/>
  <c r="R38" i="17"/>
  <c r="R36" i="17"/>
  <c r="R34" i="17"/>
  <c r="R32" i="17"/>
  <c r="R30" i="17"/>
  <c r="R28" i="17"/>
  <c r="R26" i="17"/>
  <c r="R24" i="17"/>
  <c r="R22" i="17"/>
  <c r="R20" i="17"/>
  <c r="R18" i="17"/>
  <c r="R16" i="17"/>
  <c r="R14" i="17"/>
  <c r="R12" i="17"/>
  <c r="R10" i="17"/>
  <c r="R8" i="17"/>
  <c r="R52" i="13"/>
  <c r="R50" i="13"/>
  <c r="R48" i="13"/>
  <c r="R46" i="13"/>
  <c r="R44" i="13"/>
  <c r="R42" i="13"/>
  <c r="R40" i="13"/>
  <c r="R38" i="13"/>
  <c r="R36" i="13"/>
  <c r="R34" i="13"/>
  <c r="R32" i="13"/>
  <c r="R30" i="13"/>
  <c r="R28" i="13"/>
  <c r="R26" i="13"/>
  <c r="R24" i="13"/>
  <c r="R22" i="13"/>
  <c r="R20" i="13"/>
  <c r="R18" i="13"/>
  <c r="R16" i="13"/>
  <c r="R13" i="13"/>
  <c r="R11" i="13"/>
  <c r="R9" i="13"/>
  <c r="R7" i="13"/>
  <c r="R5" i="13"/>
  <c r="R4" i="13"/>
  <c r="R53" i="13"/>
  <c r="R51" i="13"/>
  <c r="R49" i="13"/>
  <c r="R47" i="13"/>
  <c r="R45" i="13"/>
  <c r="R43" i="13"/>
  <c r="R41" i="13"/>
  <c r="R39" i="13"/>
  <c r="R37" i="13"/>
  <c r="R35" i="13"/>
  <c r="R33" i="13"/>
  <c r="R31" i="13"/>
  <c r="R29" i="13"/>
  <c r="R27" i="13"/>
  <c r="R25" i="13"/>
  <c r="R23" i="13"/>
  <c r="R21" i="13"/>
  <c r="R19" i="13"/>
  <c r="R17" i="13"/>
  <c r="R15" i="13"/>
  <c r="R12" i="13"/>
  <c r="R10" i="13"/>
  <c r="R8" i="13"/>
  <c r="R4" i="9"/>
  <c r="R54" i="9"/>
  <c r="R52" i="9"/>
  <c r="R50" i="9"/>
  <c r="R48" i="9"/>
  <c r="R46" i="9"/>
  <c r="R44" i="9"/>
  <c r="R42" i="9"/>
  <c r="R40" i="9"/>
  <c r="R38" i="9"/>
  <c r="R36" i="9"/>
  <c r="R34" i="9"/>
  <c r="R32" i="9"/>
  <c r="R29" i="9"/>
  <c r="R27" i="9"/>
  <c r="R25" i="9"/>
  <c r="R23" i="9"/>
  <c r="R21" i="9"/>
  <c r="R19" i="9"/>
  <c r="R17" i="9"/>
  <c r="R15" i="9"/>
  <c r="R13" i="9"/>
  <c r="R11" i="9"/>
  <c r="R9" i="9"/>
  <c r="R7" i="9"/>
  <c r="R5" i="9"/>
  <c r="R55" i="9"/>
  <c r="R53" i="9"/>
  <c r="R51" i="9"/>
  <c r="R49" i="9"/>
  <c r="R47" i="9"/>
  <c r="R45" i="9"/>
  <c r="R43" i="9"/>
  <c r="R41" i="9"/>
  <c r="R39" i="9"/>
  <c r="R37" i="9"/>
  <c r="R35" i="9"/>
  <c r="R33" i="9"/>
  <c r="R30" i="9"/>
  <c r="R28" i="9"/>
  <c r="R26" i="9"/>
  <c r="R24" i="9"/>
  <c r="R22" i="9"/>
  <c r="R20" i="9"/>
  <c r="R18" i="9"/>
  <c r="R16" i="9"/>
  <c r="R14" i="9"/>
  <c r="R12" i="9"/>
  <c r="R10" i="9"/>
  <c r="R8" i="9"/>
  <c r="Q4" i="83"/>
  <c r="Q32" i="83"/>
  <c r="Q30" i="83"/>
  <c r="Q28" i="83"/>
  <c r="Q26" i="83"/>
  <c r="Q24" i="83"/>
  <c r="Q22" i="83"/>
  <c r="Q20" i="83"/>
  <c r="Q18" i="83"/>
  <c r="Q16" i="83"/>
  <c r="Q14" i="83"/>
  <c r="Q12" i="83"/>
  <c r="Q10" i="83"/>
  <c r="Q8" i="83"/>
  <c r="Q6" i="83"/>
  <c r="Q33" i="83"/>
  <c r="Q31" i="83"/>
  <c r="Q29" i="83"/>
  <c r="Q27" i="83"/>
  <c r="Q25" i="83"/>
  <c r="Q23" i="83"/>
  <c r="Q21" i="83"/>
  <c r="Q19" i="83"/>
  <c r="Q17" i="83"/>
  <c r="Q15" i="83"/>
  <c r="Q13" i="83"/>
  <c r="Q11" i="83"/>
  <c r="Q9" i="83"/>
  <c r="Q7" i="83"/>
  <c r="Q5" i="83"/>
  <c r="Q6" i="88"/>
  <c r="R5" i="12"/>
  <c r="R6" i="5"/>
  <c r="R6" i="8"/>
  <c r="R5" i="16"/>
  <c r="R4" i="16"/>
  <c r="R57" i="16"/>
  <c r="R55" i="16"/>
  <c r="R53" i="16"/>
  <c r="R51" i="16"/>
  <c r="R49" i="16"/>
  <c r="R47" i="16"/>
  <c r="R44" i="16"/>
  <c r="R42" i="16"/>
  <c r="R40" i="16"/>
  <c r="R38" i="16"/>
  <c r="R36" i="16"/>
  <c r="R34" i="16"/>
  <c r="R32" i="16"/>
  <c r="R30" i="16"/>
  <c r="R28" i="16"/>
  <c r="R26" i="16"/>
  <c r="R24" i="16"/>
  <c r="R22" i="16"/>
  <c r="R20" i="16"/>
  <c r="R18" i="16"/>
  <c r="R16" i="16"/>
  <c r="R14" i="16"/>
  <c r="R12" i="16"/>
  <c r="R10" i="16"/>
  <c r="R8" i="16"/>
  <c r="R6" i="16"/>
  <c r="R58" i="16"/>
  <c r="R56" i="16"/>
  <c r="R54" i="16"/>
  <c r="R52" i="16"/>
  <c r="R50" i="16"/>
  <c r="R48" i="16"/>
  <c r="R46" i="16"/>
  <c r="R43" i="16"/>
  <c r="R41" i="16"/>
  <c r="R39" i="16"/>
  <c r="R37" i="16"/>
  <c r="R35" i="16"/>
  <c r="R33" i="16"/>
  <c r="R31" i="16"/>
  <c r="R29" i="16"/>
  <c r="R27" i="16"/>
  <c r="R25" i="16"/>
  <c r="R23" i="16"/>
  <c r="R21" i="16"/>
  <c r="R19" i="16"/>
  <c r="R17" i="16"/>
  <c r="R15" i="16"/>
  <c r="R13" i="16"/>
  <c r="R11" i="16"/>
  <c r="R9" i="16"/>
  <c r="R7" i="16"/>
  <c r="R53" i="12"/>
  <c r="R51" i="12"/>
  <c r="R49" i="12"/>
  <c r="R47" i="12"/>
  <c r="R45" i="12"/>
  <c r="R43" i="12"/>
  <c r="R41" i="12"/>
  <c r="R39" i="12"/>
  <c r="R37" i="12"/>
  <c r="R35" i="12"/>
  <c r="R33" i="12"/>
  <c r="R31" i="12"/>
  <c r="R29" i="12"/>
  <c r="R27" i="12"/>
  <c r="R25" i="12"/>
  <c r="R23" i="12"/>
  <c r="R21" i="12"/>
  <c r="R19" i="12"/>
  <c r="R17" i="12"/>
  <c r="R15" i="12"/>
  <c r="R12" i="12"/>
  <c r="R10" i="12"/>
  <c r="R8" i="12"/>
  <c r="R6" i="12"/>
  <c r="R4" i="12"/>
  <c r="R52" i="12"/>
  <c r="R50" i="12"/>
  <c r="R48" i="12"/>
  <c r="R46" i="12"/>
  <c r="R44" i="12"/>
  <c r="R42" i="12"/>
  <c r="R40" i="12"/>
  <c r="R38" i="12"/>
  <c r="R36" i="12"/>
  <c r="R34" i="12"/>
  <c r="R32" i="12"/>
  <c r="R30" i="12"/>
  <c r="R28" i="12"/>
  <c r="R26" i="12"/>
  <c r="R24" i="12"/>
  <c r="R22" i="12"/>
  <c r="R20" i="12"/>
  <c r="R18" i="12"/>
  <c r="R16" i="12"/>
  <c r="R13" i="12"/>
  <c r="R11" i="12"/>
  <c r="R9" i="12"/>
  <c r="R7" i="12"/>
  <c r="R4" i="8"/>
  <c r="R54" i="8"/>
  <c r="R52" i="8"/>
  <c r="R50" i="8"/>
  <c r="R48" i="8"/>
  <c r="R46" i="8"/>
  <c r="R44" i="8"/>
  <c r="R42" i="8"/>
  <c r="R40" i="8"/>
  <c r="R38" i="8"/>
  <c r="R36" i="8"/>
  <c r="R34" i="8"/>
  <c r="R32" i="8"/>
  <c r="R29" i="8"/>
  <c r="R27" i="8"/>
  <c r="R25" i="8"/>
  <c r="R23" i="8"/>
  <c r="R21" i="8"/>
  <c r="R19" i="8"/>
  <c r="R17" i="8"/>
  <c r="R15" i="8"/>
  <c r="R13" i="8"/>
  <c r="R11" i="8"/>
  <c r="R9" i="8"/>
  <c r="R7" i="8"/>
  <c r="R5" i="8"/>
  <c r="R55" i="8"/>
  <c r="R53" i="8"/>
  <c r="R51" i="8"/>
  <c r="R49" i="8"/>
  <c r="R47" i="8"/>
  <c r="R45" i="8"/>
  <c r="R43" i="8"/>
  <c r="R41" i="8"/>
  <c r="R39" i="8"/>
  <c r="R37" i="8"/>
  <c r="R35" i="8"/>
  <c r="R33" i="8"/>
  <c r="R30" i="8"/>
  <c r="R28" i="8"/>
  <c r="R26" i="8"/>
  <c r="R24" i="8"/>
  <c r="R22" i="8"/>
  <c r="R20" i="8"/>
  <c r="R18" i="8"/>
  <c r="R16" i="8"/>
  <c r="R14" i="8"/>
  <c r="R12" i="8"/>
  <c r="R10" i="8"/>
  <c r="R8" i="8"/>
  <c r="R55" i="5"/>
  <c r="R53" i="5"/>
  <c r="R51" i="5"/>
  <c r="R49" i="5"/>
  <c r="R47" i="5"/>
  <c r="R45" i="5"/>
  <c r="R42" i="5"/>
  <c r="R40" i="5"/>
  <c r="R38" i="5"/>
  <c r="R36" i="5"/>
  <c r="R33" i="5"/>
  <c r="R31" i="5"/>
  <c r="R29" i="5"/>
  <c r="R27" i="5"/>
  <c r="R25" i="5"/>
  <c r="R23" i="5"/>
  <c r="R21" i="5"/>
  <c r="R19" i="5"/>
  <c r="R17" i="5"/>
  <c r="R15" i="5"/>
  <c r="R13" i="5"/>
  <c r="R11" i="5"/>
  <c r="R9" i="5"/>
  <c r="R7" i="5"/>
  <c r="R5" i="5"/>
  <c r="R4" i="5"/>
  <c r="R54" i="5"/>
  <c r="R52" i="5"/>
  <c r="R50" i="5"/>
  <c r="R48" i="5"/>
  <c r="R46" i="5"/>
  <c r="R44" i="5"/>
  <c r="R41" i="5"/>
  <c r="R39" i="5"/>
  <c r="R37" i="5"/>
  <c r="R34" i="5"/>
  <c r="R32" i="5"/>
  <c r="R30" i="5"/>
  <c r="R28" i="5"/>
  <c r="R26" i="5"/>
  <c r="R24" i="5"/>
  <c r="R22" i="5"/>
  <c r="R20" i="5"/>
  <c r="R18" i="5"/>
  <c r="R16" i="5"/>
  <c r="R14" i="5"/>
  <c r="R12" i="5"/>
  <c r="R10" i="5"/>
  <c r="R8" i="5"/>
  <c r="Q4" i="88"/>
  <c r="Q32" i="88"/>
  <c r="Q30" i="88"/>
  <c r="Q28" i="88"/>
  <c r="Q26" i="88"/>
  <c r="Q24" i="88"/>
  <c r="Q22" i="88"/>
  <c r="Q20" i="88"/>
  <c r="Q18" i="88"/>
  <c r="Q16" i="88"/>
  <c r="Q14" i="88"/>
  <c r="Q12" i="88"/>
  <c r="Q10" i="88"/>
  <c r="Q7" i="88"/>
  <c r="Q5" i="88"/>
  <c r="Q33" i="88"/>
  <c r="Q31" i="88"/>
  <c r="Q29" i="88"/>
  <c r="Q27" i="88"/>
  <c r="Q25" i="88"/>
  <c r="Q23" i="88"/>
  <c r="Q21" i="88"/>
  <c r="Q19" i="88"/>
  <c r="Q17" i="88"/>
  <c r="Q15" i="88"/>
  <c r="Q13" i="88"/>
  <c r="Q11" i="88"/>
  <c r="Q8" i="88"/>
  <c r="O5" i="88"/>
  <c r="O6" i="88"/>
  <c r="O7" i="88"/>
  <c r="O8" i="88"/>
  <c r="O10" i="88"/>
  <c r="O11" i="88"/>
  <c r="O12" i="88"/>
  <c r="O13" i="88"/>
  <c r="O14" i="88"/>
  <c r="O15" i="88"/>
  <c r="O16" i="88"/>
  <c r="O17" i="88"/>
  <c r="O18" i="88"/>
  <c r="O19" i="88"/>
  <c r="O20" i="88"/>
  <c r="O21" i="88"/>
  <c r="O22" i="88"/>
  <c r="O23" i="88"/>
  <c r="O24" i="88"/>
  <c r="O25" i="88"/>
  <c r="O26" i="88"/>
  <c r="O27" i="88"/>
  <c r="O28" i="88"/>
  <c r="O29" i="88"/>
  <c r="O30" i="88"/>
  <c r="O31" i="88"/>
  <c r="O32" i="88"/>
  <c r="O33" i="88"/>
  <c r="O4" i="88"/>
  <c r="P5" i="20"/>
  <c r="P6" i="20"/>
  <c r="P7" i="20"/>
  <c r="P8" i="20"/>
  <c r="P9" i="20"/>
  <c r="P10" i="20"/>
  <c r="P11" i="20"/>
  <c r="P12" i="20"/>
  <c r="P13" i="20"/>
  <c r="P14" i="20"/>
  <c r="P15" i="20"/>
  <c r="P16" i="20"/>
  <c r="P17" i="20"/>
  <c r="P18" i="20"/>
  <c r="P19" i="20"/>
  <c r="P20" i="20"/>
  <c r="P21" i="20"/>
  <c r="P22" i="20"/>
  <c r="P23" i="20"/>
  <c r="P24" i="20"/>
  <c r="P25" i="20"/>
  <c r="P26" i="20"/>
  <c r="P27" i="20"/>
  <c r="P28" i="20"/>
  <c r="P29" i="20"/>
  <c r="P30" i="20"/>
  <c r="P31" i="20"/>
  <c r="P4" i="20"/>
  <c r="O5" i="20"/>
  <c r="O6" i="20"/>
  <c r="O7" i="20"/>
  <c r="O8" i="20"/>
  <c r="O9" i="20"/>
  <c r="O10" i="20"/>
  <c r="O11" i="20"/>
  <c r="O12" i="20"/>
  <c r="O13" i="20"/>
  <c r="O14" i="20"/>
  <c r="O15" i="20"/>
  <c r="O16" i="20"/>
  <c r="O17" i="20"/>
  <c r="O18" i="20"/>
  <c r="O19" i="20"/>
  <c r="O20" i="20"/>
  <c r="O21" i="20"/>
  <c r="O22" i="20"/>
  <c r="O23" i="20"/>
  <c r="O24" i="20"/>
  <c r="O25" i="20"/>
  <c r="O26" i="20"/>
  <c r="O27" i="20"/>
  <c r="O28" i="20"/>
  <c r="O29" i="20"/>
  <c r="O30" i="20"/>
  <c r="O31" i="20"/>
  <c r="O4" i="20"/>
  <c r="P5" i="79"/>
  <c r="P6" i="79"/>
  <c r="P7" i="79"/>
  <c r="P8" i="79"/>
  <c r="P9" i="79"/>
  <c r="P10" i="79"/>
  <c r="P11" i="79"/>
  <c r="P12" i="79"/>
  <c r="P13" i="79"/>
  <c r="P14" i="79"/>
  <c r="P15" i="79"/>
  <c r="P16" i="79"/>
  <c r="P17" i="79"/>
  <c r="P18" i="79"/>
  <c r="P19" i="79"/>
  <c r="P20" i="79"/>
  <c r="P21" i="79"/>
  <c r="P22" i="79"/>
  <c r="P23" i="79"/>
  <c r="P24" i="79"/>
  <c r="P26" i="79"/>
  <c r="P27" i="79"/>
  <c r="P28" i="79"/>
  <c r="P29" i="79"/>
  <c r="P30" i="79"/>
  <c r="P31" i="79"/>
  <c r="P32" i="79"/>
  <c r="P33" i="79"/>
  <c r="P34" i="79"/>
  <c r="P35" i="79"/>
  <c r="P36" i="79"/>
  <c r="P37" i="79"/>
  <c r="P38" i="79"/>
  <c r="P4" i="79"/>
  <c r="O5" i="79"/>
  <c r="O6" i="79"/>
  <c r="O7" i="79"/>
  <c r="O8" i="79"/>
  <c r="O9" i="79"/>
  <c r="O10" i="79"/>
  <c r="O11" i="79"/>
  <c r="O12" i="79"/>
  <c r="O13" i="79"/>
  <c r="O14" i="79"/>
  <c r="O15" i="79"/>
  <c r="O16" i="79"/>
  <c r="O17" i="79"/>
  <c r="O18" i="79"/>
  <c r="O19" i="79"/>
  <c r="O20" i="79"/>
  <c r="O21" i="79"/>
  <c r="O22" i="79"/>
  <c r="O23" i="79"/>
  <c r="O24" i="79"/>
  <c r="O25" i="79"/>
  <c r="O26" i="79"/>
  <c r="O27" i="79"/>
  <c r="O28" i="79"/>
  <c r="O29" i="79"/>
  <c r="O30" i="79"/>
  <c r="O31" i="79"/>
  <c r="O32" i="79"/>
  <c r="O33" i="79"/>
  <c r="O34" i="79"/>
  <c r="O35" i="79"/>
  <c r="O36" i="79"/>
  <c r="O37" i="79"/>
  <c r="O38" i="79"/>
  <c r="O4" i="79"/>
  <c r="P5" i="75"/>
  <c r="P6" i="75"/>
  <c r="P7" i="75"/>
  <c r="P8" i="75"/>
  <c r="P9" i="75"/>
  <c r="P10" i="75"/>
  <c r="P11" i="75"/>
  <c r="P12" i="75"/>
  <c r="P13" i="75"/>
  <c r="P14" i="75"/>
  <c r="P15" i="75"/>
  <c r="P16" i="75"/>
  <c r="P17" i="75"/>
  <c r="P18" i="75"/>
  <c r="P19" i="75"/>
  <c r="P20" i="75"/>
  <c r="P21" i="75"/>
  <c r="P22" i="75"/>
  <c r="P23" i="75"/>
  <c r="P24" i="75"/>
  <c r="P25" i="75"/>
  <c r="P26" i="75"/>
  <c r="P27" i="75"/>
  <c r="P28" i="75"/>
  <c r="P29" i="75"/>
  <c r="P30" i="75"/>
  <c r="P31" i="75"/>
  <c r="P32" i="75"/>
  <c r="P33" i="75"/>
  <c r="P34" i="75"/>
  <c r="P35" i="75"/>
  <c r="P36" i="75"/>
  <c r="P37" i="75"/>
  <c r="P38" i="75"/>
  <c r="P39" i="75"/>
  <c r="P40" i="75"/>
  <c r="P41" i="75"/>
  <c r="P42" i="75"/>
  <c r="P43" i="75"/>
  <c r="P44" i="75"/>
  <c r="P45" i="75"/>
  <c r="P46" i="75"/>
  <c r="P47" i="75"/>
  <c r="P48" i="75"/>
  <c r="P4" i="75"/>
  <c r="O4" i="75"/>
  <c r="O5" i="75"/>
  <c r="O6" i="75"/>
  <c r="O7" i="75"/>
  <c r="O8" i="75"/>
  <c r="O9" i="75"/>
  <c r="O10" i="75"/>
  <c r="O11" i="75"/>
  <c r="O12" i="75"/>
  <c r="O13" i="75"/>
  <c r="O14" i="75"/>
  <c r="O15" i="75"/>
  <c r="O16" i="75"/>
  <c r="O17" i="75"/>
  <c r="O18" i="75"/>
  <c r="O19" i="75"/>
  <c r="O20" i="75"/>
  <c r="O21" i="75"/>
  <c r="O22" i="75"/>
  <c r="O23" i="75"/>
  <c r="O24" i="75"/>
  <c r="O25" i="75"/>
  <c r="O26" i="75"/>
  <c r="O27" i="75"/>
  <c r="O28" i="75"/>
  <c r="O29" i="75"/>
  <c r="O30" i="75"/>
  <c r="O31" i="75"/>
  <c r="O32" i="75"/>
  <c r="O33" i="75"/>
  <c r="O34" i="75"/>
  <c r="O35" i="75"/>
  <c r="O36" i="75"/>
  <c r="O37" i="75"/>
  <c r="O38" i="75"/>
  <c r="O39" i="75"/>
  <c r="O40" i="75"/>
  <c r="O41" i="75"/>
  <c r="O42" i="75"/>
  <c r="O43" i="75"/>
  <c r="O44" i="75"/>
  <c r="O45" i="75"/>
  <c r="O46" i="75"/>
  <c r="O47" i="75"/>
  <c r="O48" i="75"/>
  <c r="Q5" i="79" l="1"/>
  <c r="Q4" i="79"/>
  <c r="Q37" i="79"/>
  <c r="Q35" i="79"/>
  <c r="Q33" i="79"/>
  <c r="Q31" i="79"/>
  <c r="Q29" i="79"/>
  <c r="Q27" i="79"/>
  <c r="Q24" i="79"/>
  <c r="Q22" i="79"/>
  <c r="Q20" i="79"/>
  <c r="Q18" i="79"/>
  <c r="Q16" i="79"/>
  <c r="Q14" i="79"/>
  <c r="Q12" i="79"/>
  <c r="Q10" i="79"/>
  <c r="Q8" i="79"/>
  <c r="Q6" i="79"/>
  <c r="Q38" i="79"/>
  <c r="Q36" i="79"/>
  <c r="Q34" i="79"/>
  <c r="Q32" i="79"/>
  <c r="Q30" i="79"/>
  <c r="Q28" i="79"/>
  <c r="Q26" i="79"/>
  <c r="Q23" i="79"/>
  <c r="Q21" i="79"/>
  <c r="Q19" i="79"/>
  <c r="Q17" i="79"/>
  <c r="Q15" i="79"/>
  <c r="Q13" i="79"/>
  <c r="Q11" i="79"/>
  <c r="Q9" i="79"/>
  <c r="Q7" i="79"/>
  <c r="Q5" i="75"/>
  <c r="Q6" i="20"/>
  <c r="Q31" i="20"/>
  <c r="Q29" i="20"/>
  <c r="Q27" i="20"/>
  <c r="Q25" i="20"/>
  <c r="Q23" i="20"/>
  <c r="Q21" i="20"/>
  <c r="Q19" i="20"/>
  <c r="Q17" i="20"/>
  <c r="Q15" i="20"/>
  <c r="Q13" i="20"/>
  <c r="Q11" i="20"/>
  <c r="Q9" i="20"/>
  <c r="Q7" i="20"/>
  <c r="Q5" i="20"/>
  <c r="Q4" i="20"/>
  <c r="Q30" i="20"/>
  <c r="Q28" i="20"/>
  <c r="Q26" i="20"/>
  <c r="Q24" i="20"/>
  <c r="Q22" i="20"/>
  <c r="Q20" i="20"/>
  <c r="Q18" i="20"/>
  <c r="Q16" i="20"/>
  <c r="Q14" i="20"/>
  <c r="Q12" i="20"/>
  <c r="Q10" i="20"/>
  <c r="Q8" i="20"/>
  <c r="Q48" i="75"/>
  <c r="Q46" i="75"/>
  <c r="Q44" i="75"/>
  <c r="Q42" i="75"/>
  <c r="Q40" i="75"/>
  <c r="Q38" i="75"/>
  <c r="Q36" i="75"/>
  <c r="Q34" i="75"/>
  <c r="Q32" i="75"/>
  <c r="Q30" i="75"/>
  <c r="Q28" i="75"/>
  <c r="Q26" i="75"/>
  <c r="Q24" i="75"/>
  <c r="Q22" i="75"/>
  <c r="Q20" i="75"/>
  <c r="Q18" i="75"/>
  <c r="Q16" i="75"/>
  <c r="Q14" i="75"/>
  <c r="Q12" i="75"/>
  <c r="Q10" i="75"/>
  <c r="Q8" i="75"/>
  <c r="Q6" i="75"/>
  <c r="Q4" i="75"/>
  <c r="Q47" i="75"/>
  <c r="Q45" i="75"/>
  <c r="Q43" i="75"/>
  <c r="Q41" i="75"/>
  <c r="Q39" i="75"/>
  <c r="Q37" i="75"/>
  <c r="Q35" i="75"/>
  <c r="Q33" i="75"/>
  <c r="Q31" i="75"/>
  <c r="Q29" i="75"/>
  <c r="Q27" i="75"/>
  <c r="Q25" i="75"/>
  <c r="Q23" i="75"/>
  <c r="Q21" i="75"/>
  <c r="Q19" i="75"/>
  <c r="Q17" i="75"/>
  <c r="Q15" i="75"/>
  <c r="Q13" i="75"/>
  <c r="Q11" i="75"/>
  <c r="Q9" i="75"/>
  <c r="Q7" i="75"/>
  <c r="R170" i="82"/>
  <c r="R167" i="82"/>
  <c r="R164" i="82"/>
  <c r="R161" i="82"/>
  <c r="R158" i="82"/>
  <c r="R155" i="82"/>
  <c r="R152" i="82"/>
  <c r="R149" i="82"/>
  <c r="R146" i="82"/>
  <c r="R143" i="82"/>
  <c r="R140" i="82"/>
  <c r="R137" i="82"/>
  <c r="R134" i="82"/>
  <c r="R131" i="82"/>
  <c r="R128" i="82"/>
  <c r="R125" i="82"/>
  <c r="R122" i="82"/>
  <c r="R119" i="82"/>
  <c r="R116" i="82"/>
  <c r="R113" i="82"/>
  <c r="R110" i="82"/>
  <c r="R107" i="82"/>
  <c r="R104" i="82"/>
  <c r="R101" i="82"/>
  <c r="R98" i="82"/>
  <c r="S13" i="82"/>
  <c r="T13" i="82"/>
  <c r="S12" i="82"/>
  <c r="S14" i="82" s="1"/>
  <c r="T12" i="82"/>
  <c r="T14" i="82" s="1"/>
  <c r="S10" i="82"/>
  <c r="T10" i="82"/>
  <c r="S7" i="82"/>
  <c r="T7" i="82"/>
  <c r="S169" i="82"/>
  <c r="T169" i="82"/>
  <c r="S168" i="82"/>
  <c r="S170" i="82" s="1"/>
  <c r="T168" i="82"/>
  <c r="T170" i="82" s="1"/>
  <c r="S166" i="82"/>
  <c r="T166" i="82"/>
  <c r="S165" i="82"/>
  <c r="S167" i="82" s="1"/>
  <c r="T165" i="82"/>
  <c r="T167" i="82" s="1"/>
  <c r="S163" i="82"/>
  <c r="T163" i="82"/>
  <c r="S162" i="82"/>
  <c r="S164" i="82" s="1"/>
  <c r="T162" i="82"/>
  <c r="T164" i="82" s="1"/>
  <c r="S160" i="82"/>
  <c r="T160" i="82"/>
  <c r="S159" i="82"/>
  <c r="S161" i="82" s="1"/>
  <c r="T159" i="82"/>
  <c r="T161" i="82" s="1"/>
  <c r="S157" i="82"/>
  <c r="T157" i="82"/>
  <c r="S156" i="82"/>
  <c r="S158" i="82" s="1"/>
  <c r="T156" i="82"/>
  <c r="T158" i="82" s="1"/>
  <c r="S154" i="82"/>
  <c r="T154" i="82"/>
  <c r="S153" i="82"/>
  <c r="S155" i="82" s="1"/>
  <c r="T153" i="82"/>
  <c r="T155" i="82" s="1"/>
  <c r="S151" i="82"/>
  <c r="T151" i="82"/>
  <c r="S150" i="82"/>
  <c r="S152" i="82" s="1"/>
  <c r="T150" i="82"/>
  <c r="T152" i="82" s="1"/>
  <c r="S148" i="82"/>
  <c r="T148" i="82"/>
  <c r="S147" i="82"/>
  <c r="S149" i="82" s="1"/>
  <c r="T147" i="82"/>
  <c r="T149" i="82" s="1"/>
  <c r="S145" i="82"/>
  <c r="T145" i="82"/>
  <c r="S144" i="82"/>
  <c r="S146" i="82" s="1"/>
  <c r="T144" i="82"/>
  <c r="T146" i="82" s="1"/>
  <c r="S142" i="82"/>
  <c r="T142" i="82"/>
  <c r="S141" i="82"/>
  <c r="S143" i="82" s="1"/>
  <c r="T141" i="82"/>
  <c r="T143" i="82" s="1"/>
  <c r="S139" i="82"/>
  <c r="T139" i="82"/>
  <c r="S138" i="82"/>
  <c r="S140" i="82" s="1"/>
  <c r="T138" i="82"/>
  <c r="T140" i="82" s="1"/>
  <c r="S136" i="82"/>
  <c r="T136" i="82"/>
  <c r="S135" i="82"/>
  <c r="S137" i="82" s="1"/>
  <c r="T135" i="82"/>
  <c r="T137" i="82" s="1"/>
  <c r="S133" i="82"/>
  <c r="T133" i="82"/>
  <c r="S132" i="82"/>
  <c r="S134" i="82" s="1"/>
  <c r="T132" i="82"/>
  <c r="T134" i="82" s="1"/>
  <c r="S130" i="82"/>
  <c r="T130" i="82"/>
  <c r="S129" i="82"/>
  <c r="S131" i="82" s="1"/>
  <c r="T129" i="82"/>
  <c r="T131" i="82" s="1"/>
  <c r="S127" i="82"/>
  <c r="T127" i="82"/>
  <c r="S126" i="82"/>
  <c r="S128" i="82" s="1"/>
  <c r="T126" i="82"/>
  <c r="T128" i="82" s="1"/>
  <c r="S124" i="82"/>
  <c r="T124" i="82"/>
  <c r="S123" i="82"/>
  <c r="S125" i="82" s="1"/>
  <c r="T123" i="82"/>
  <c r="T125" i="82" s="1"/>
  <c r="S121" i="82"/>
  <c r="T121" i="82"/>
  <c r="S120" i="82"/>
  <c r="S122" i="82" s="1"/>
  <c r="T120" i="82"/>
  <c r="T122" i="82" s="1"/>
  <c r="S118" i="82"/>
  <c r="T118" i="82"/>
  <c r="S117" i="82"/>
  <c r="S119" i="82" s="1"/>
  <c r="T117" i="82"/>
  <c r="T119" i="82" s="1"/>
  <c r="S115" i="82"/>
  <c r="T115" i="82"/>
  <c r="S114" i="82"/>
  <c r="S116" i="82" s="1"/>
  <c r="T114" i="82"/>
  <c r="T116" i="82" s="1"/>
  <c r="S112" i="82"/>
  <c r="T112" i="82"/>
  <c r="S111" i="82"/>
  <c r="S113" i="82" s="1"/>
  <c r="T111" i="82"/>
  <c r="T113" i="82" s="1"/>
  <c r="S109" i="82"/>
  <c r="T109" i="82"/>
  <c r="S108" i="82"/>
  <c r="S110" i="82" s="1"/>
  <c r="T108" i="82"/>
  <c r="T110" i="82" s="1"/>
  <c r="S106" i="82"/>
  <c r="T106" i="82"/>
  <c r="S105" i="82"/>
  <c r="S107" i="82" s="1"/>
  <c r="T105" i="82"/>
  <c r="T107" i="82" s="1"/>
  <c r="S103" i="82"/>
  <c r="T103" i="82"/>
  <c r="S102" i="82"/>
  <c r="S104" i="82" s="1"/>
  <c r="T102" i="82"/>
  <c r="T104" i="82" s="1"/>
  <c r="S100" i="82"/>
  <c r="T100" i="82"/>
  <c r="S99" i="82"/>
  <c r="S101" i="82" s="1"/>
  <c r="T99" i="82"/>
  <c r="T101" i="82" s="1"/>
  <c r="S97" i="82"/>
  <c r="T97" i="82"/>
  <c r="S96" i="82"/>
  <c r="S98" i="82" s="1"/>
  <c r="T96" i="82"/>
  <c r="T98" i="82" s="1"/>
  <c r="S94" i="82"/>
  <c r="T94" i="82"/>
  <c r="S93" i="82"/>
  <c r="S95" i="82" s="1"/>
  <c r="T93" i="82"/>
  <c r="T95" i="82" s="1"/>
  <c r="S91" i="82"/>
  <c r="T91" i="82"/>
  <c r="S90" i="82"/>
  <c r="S92" i="82" s="1"/>
  <c r="T90" i="82"/>
  <c r="T92" i="82" s="1"/>
  <c r="S88" i="82"/>
  <c r="T88" i="82"/>
  <c r="S87" i="82"/>
  <c r="S89" i="82" s="1"/>
  <c r="T87" i="82"/>
  <c r="T89" i="82" s="1"/>
  <c r="S85" i="82"/>
  <c r="T85" i="82"/>
  <c r="S84" i="82"/>
  <c r="S86" i="82" s="1"/>
  <c r="T84" i="82"/>
  <c r="T86" i="82" s="1"/>
  <c r="S82" i="82"/>
  <c r="T82" i="82"/>
  <c r="S81" i="82"/>
  <c r="S83" i="82" s="1"/>
  <c r="T81" i="82"/>
  <c r="T83" i="82" s="1"/>
  <c r="S79" i="82"/>
  <c r="T79" i="82"/>
  <c r="S78" i="82"/>
  <c r="S80" i="82" s="1"/>
  <c r="T78" i="82"/>
  <c r="T80" i="82" s="1"/>
  <c r="S76" i="82"/>
  <c r="T76" i="82"/>
  <c r="S75" i="82"/>
  <c r="S77" i="82" s="1"/>
  <c r="T75" i="82"/>
  <c r="T77" i="82" s="1"/>
  <c r="S73" i="82"/>
  <c r="T73" i="82"/>
  <c r="S72" i="82"/>
  <c r="S74" i="82" s="1"/>
  <c r="T72" i="82"/>
  <c r="T74" i="82" s="1"/>
  <c r="S70" i="82"/>
  <c r="T70" i="82"/>
  <c r="S69" i="82"/>
  <c r="S71" i="82" s="1"/>
  <c r="T69" i="82"/>
  <c r="T71" i="82" s="1"/>
  <c r="S67" i="82"/>
  <c r="T67" i="82"/>
  <c r="S66" i="82"/>
  <c r="S68" i="82" s="1"/>
  <c r="T66" i="82"/>
  <c r="T68" i="82" s="1"/>
  <c r="S64" i="82"/>
  <c r="T64" i="82"/>
  <c r="S63" i="82"/>
  <c r="S65" i="82" s="1"/>
  <c r="T63" i="82"/>
  <c r="T65" i="82" s="1"/>
  <c r="S61" i="82"/>
  <c r="T61" i="82"/>
  <c r="S60" i="82"/>
  <c r="S62" i="82" s="1"/>
  <c r="T60" i="82"/>
  <c r="T62" i="82" s="1"/>
  <c r="S58" i="82"/>
  <c r="T58" i="82"/>
  <c r="S57" i="82"/>
  <c r="S59" i="82" s="1"/>
  <c r="T57" i="82"/>
  <c r="T59" i="82" s="1"/>
  <c r="S55" i="82"/>
  <c r="T55" i="82"/>
  <c r="S54" i="82"/>
  <c r="S56" i="82" s="1"/>
  <c r="T54" i="82"/>
  <c r="T56" i="82" s="1"/>
  <c r="S52" i="82"/>
  <c r="T52" i="82"/>
  <c r="S51" i="82"/>
  <c r="S53" i="82" s="1"/>
  <c r="T51" i="82"/>
  <c r="T53" i="82" s="1"/>
  <c r="S49" i="82"/>
  <c r="T49" i="82"/>
  <c r="S48" i="82"/>
  <c r="S50" i="82" s="1"/>
  <c r="T48" i="82"/>
  <c r="T50" i="82" s="1"/>
  <c r="S46" i="82"/>
  <c r="T46" i="82"/>
  <c r="S45" i="82"/>
  <c r="S47" i="82" s="1"/>
  <c r="T45" i="82"/>
  <c r="T47" i="82" s="1"/>
  <c r="S43" i="82"/>
  <c r="T43" i="82"/>
  <c r="S42" i="82"/>
  <c r="S44" i="82" s="1"/>
  <c r="T42" i="82"/>
  <c r="T44" i="82" s="1"/>
  <c r="S40" i="82"/>
  <c r="T40" i="82"/>
  <c r="S39" i="82"/>
  <c r="S41" i="82" s="1"/>
  <c r="T39" i="82"/>
  <c r="T41" i="82" s="1"/>
  <c r="S37" i="82"/>
  <c r="T37" i="82"/>
  <c r="S36" i="82"/>
  <c r="S38" i="82" s="1"/>
  <c r="T36" i="82"/>
  <c r="T38" i="82" s="1"/>
  <c r="S34" i="82"/>
  <c r="T34" i="82"/>
  <c r="S33" i="82"/>
  <c r="S35" i="82" s="1"/>
  <c r="T33" i="82"/>
  <c r="T35" i="82" s="1"/>
  <c r="S31" i="82"/>
  <c r="T31" i="82"/>
  <c r="S30" i="82"/>
  <c r="S32" i="82" s="1"/>
  <c r="T30" i="82"/>
  <c r="T32" i="82" s="1"/>
  <c r="S28" i="82"/>
  <c r="T28" i="82"/>
  <c r="S27" i="82"/>
  <c r="S29" i="82" s="1"/>
  <c r="T27" i="82"/>
  <c r="T29" i="82" s="1"/>
  <c r="S25" i="82"/>
  <c r="T25" i="82"/>
  <c r="S24" i="82"/>
  <c r="S26" i="82" s="1"/>
  <c r="T24" i="82"/>
  <c r="T26" i="82" s="1"/>
  <c r="S22" i="82"/>
  <c r="T22" i="82"/>
  <c r="S21" i="82"/>
  <c r="S23" i="82" s="1"/>
  <c r="T21" i="82"/>
  <c r="T23" i="82" s="1"/>
  <c r="S19" i="82"/>
  <c r="T19" i="82"/>
  <c r="S18" i="82"/>
  <c r="S20" i="82" s="1"/>
  <c r="T18" i="82"/>
  <c r="T20" i="82" s="1"/>
  <c r="S16" i="82"/>
  <c r="T16" i="82"/>
  <c r="S15" i="82"/>
  <c r="S17" i="82" s="1"/>
  <c r="T15" i="82"/>
  <c r="T17" i="82" s="1"/>
  <c r="S9" i="82"/>
  <c r="S11" i="82" s="1"/>
  <c r="T9" i="82"/>
  <c r="T11" i="82" s="1"/>
  <c r="S6" i="82"/>
  <c r="S8" i="82" s="1"/>
  <c r="T6" i="82"/>
  <c r="T8" i="82" s="1"/>
  <c r="S92" i="87"/>
  <c r="T92" i="87"/>
  <c r="S89" i="87"/>
  <c r="T89" i="87"/>
  <c r="S86" i="87"/>
  <c r="T86" i="87"/>
  <c r="S83" i="87"/>
  <c r="T83" i="87"/>
  <c r="S80" i="87"/>
  <c r="T80" i="87"/>
  <c r="S77" i="87"/>
  <c r="T77" i="87"/>
  <c r="S74" i="87"/>
  <c r="T74" i="87"/>
  <c r="S71" i="87"/>
  <c r="T71" i="87"/>
  <c r="S68" i="87"/>
  <c r="T68" i="87"/>
  <c r="S65" i="87"/>
  <c r="T65" i="87"/>
  <c r="S62" i="87"/>
  <c r="T62" i="87"/>
  <c r="S59" i="87"/>
  <c r="T59" i="87"/>
  <c r="S56" i="87"/>
  <c r="T56" i="87"/>
  <c r="S53" i="87"/>
  <c r="T53" i="87"/>
  <c r="S50" i="87"/>
  <c r="T50" i="87"/>
  <c r="S47" i="87"/>
  <c r="T47" i="87"/>
  <c r="S44" i="87"/>
  <c r="T44" i="87"/>
  <c r="S41" i="87"/>
  <c r="T41" i="87"/>
  <c r="S38" i="87"/>
  <c r="T38" i="87"/>
  <c r="S35" i="87"/>
  <c r="T35" i="87"/>
  <c r="S32" i="87"/>
  <c r="T32" i="87"/>
  <c r="S29" i="87"/>
  <c r="T29" i="87"/>
  <c r="S26" i="87"/>
  <c r="T26" i="87"/>
  <c r="S23" i="87"/>
  <c r="T23" i="87"/>
  <c r="S20" i="87"/>
  <c r="T20" i="87"/>
  <c r="S17" i="87"/>
  <c r="T17" i="87"/>
  <c r="S14" i="87"/>
  <c r="T14" i="87"/>
  <c r="S11" i="87"/>
  <c r="T11" i="87"/>
  <c r="S8" i="87"/>
  <c r="T8" i="87"/>
  <c r="S5" i="87"/>
  <c r="T5" i="87"/>
  <c r="S91" i="87"/>
  <c r="T91" i="87"/>
  <c r="T93" i="87" s="1"/>
  <c r="S88" i="87"/>
  <c r="S90" i="87" s="1"/>
  <c r="T88" i="87"/>
  <c r="S85" i="87"/>
  <c r="T85" i="87"/>
  <c r="T87" i="87" s="1"/>
  <c r="S82" i="87"/>
  <c r="S84" i="87" s="1"/>
  <c r="T82" i="87"/>
  <c r="S79" i="87"/>
  <c r="T79" i="87"/>
  <c r="T81" i="87" s="1"/>
  <c r="S76" i="87"/>
  <c r="S78" i="87" s="1"/>
  <c r="T76" i="87"/>
  <c r="S73" i="87"/>
  <c r="T73" i="87"/>
  <c r="T75" i="87" s="1"/>
  <c r="S70" i="87"/>
  <c r="S72" i="87" s="1"/>
  <c r="T70" i="87"/>
  <c r="S67" i="87"/>
  <c r="T67" i="87"/>
  <c r="T69" i="87" s="1"/>
  <c r="S64" i="87"/>
  <c r="S66" i="87" s="1"/>
  <c r="T64" i="87"/>
  <c r="S61" i="87"/>
  <c r="T61" i="87"/>
  <c r="T63" i="87" s="1"/>
  <c r="S58" i="87"/>
  <c r="S60" i="87" s="1"/>
  <c r="T58" i="87"/>
  <c r="S55" i="87"/>
  <c r="T55" i="87"/>
  <c r="T57" i="87" s="1"/>
  <c r="S52" i="87"/>
  <c r="S54" i="87" s="1"/>
  <c r="T52" i="87"/>
  <c r="S49" i="87"/>
  <c r="T49" i="87"/>
  <c r="T51" i="87" s="1"/>
  <c r="S46" i="87"/>
  <c r="S48" i="87" s="1"/>
  <c r="T46" i="87"/>
  <c r="S43" i="87"/>
  <c r="T43" i="87"/>
  <c r="T45" i="87" s="1"/>
  <c r="S40" i="87"/>
  <c r="S42" i="87" s="1"/>
  <c r="T40" i="87"/>
  <c r="S37" i="87"/>
  <c r="T37" i="87"/>
  <c r="T39" i="87" s="1"/>
  <c r="S34" i="87"/>
  <c r="S36" i="87" s="1"/>
  <c r="T34" i="87"/>
  <c r="S31" i="87"/>
  <c r="T31" i="87"/>
  <c r="T33" i="87" s="1"/>
  <c r="S28" i="87"/>
  <c r="S30" i="87" s="1"/>
  <c r="T28" i="87"/>
  <c r="S25" i="87"/>
  <c r="T25" i="87"/>
  <c r="T27" i="87" s="1"/>
  <c r="S22" i="87"/>
  <c r="S24" i="87" s="1"/>
  <c r="T22" i="87"/>
  <c r="S19" i="87"/>
  <c r="T19" i="87"/>
  <c r="T21" i="87" s="1"/>
  <c r="S16" i="87"/>
  <c r="S18" i="87" s="1"/>
  <c r="T16" i="87"/>
  <c r="S13" i="87"/>
  <c r="T13" i="87"/>
  <c r="T15" i="87" s="1"/>
  <c r="S10" i="87"/>
  <c r="S12" i="87" s="1"/>
  <c r="T10" i="87"/>
  <c r="S7" i="87"/>
  <c r="T7" i="87"/>
  <c r="T9" i="87" s="1"/>
  <c r="S4" i="87"/>
  <c r="S6" i="87" s="1"/>
  <c r="T4" i="87"/>
  <c r="S86" i="25"/>
  <c r="T86" i="25"/>
  <c r="S83" i="25"/>
  <c r="T83" i="25"/>
  <c r="S80" i="25"/>
  <c r="T80" i="25"/>
  <c r="S77" i="25"/>
  <c r="T77" i="25"/>
  <c r="S74" i="25"/>
  <c r="T74" i="25"/>
  <c r="S71" i="25"/>
  <c r="T71" i="25"/>
  <c r="S68" i="25"/>
  <c r="T68" i="25"/>
  <c r="S65" i="25"/>
  <c r="T65" i="25"/>
  <c r="S62" i="25"/>
  <c r="T62" i="25"/>
  <c r="S59" i="25"/>
  <c r="T59" i="25"/>
  <c r="S56" i="25"/>
  <c r="T56" i="25"/>
  <c r="S53" i="25"/>
  <c r="T53" i="25"/>
  <c r="S50" i="25"/>
  <c r="T50" i="25"/>
  <c r="S47" i="25"/>
  <c r="T47" i="25"/>
  <c r="S44" i="25"/>
  <c r="T44" i="25"/>
  <c r="S41" i="25"/>
  <c r="T41" i="25"/>
  <c r="S38" i="25"/>
  <c r="T38" i="25"/>
  <c r="S35" i="25"/>
  <c r="T35" i="25"/>
  <c r="S32" i="25"/>
  <c r="T32" i="25"/>
  <c r="S29" i="25"/>
  <c r="T29" i="25"/>
  <c r="S26" i="25"/>
  <c r="T26" i="25"/>
  <c r="S23" i="25"/>
  <c r="T23" i="25"/>
  <c r="S20" i="25"/>
  <c r="T20" i="25"/>
  <c r="S17" i="25"/>
  <c r="T17" i="25"/>
  <c r="S14" i="25"/>
  <c r="T14" i="25"/>
  <c r="S11" i="25"/>
  <c r="T11" i="25"/>
  <c r="S8" i="25"/>
  <c r="T8" i="25"/>
  <c r="S5" i="25"/>
  <c r="T5" i="25"/>
  <c r="S85" i="25"/>
  <c r="S87" i="25" s="1"/>
  <c r="T85" i="25"/>
  <c r="S82" i="25"/>
  <c r="S84" i="25" s="1"/>
  <c r="T82" i="25"/>
  <c r="T84" i="25" s="1"/>
  <c r="S79" i="25"/>
  <c r="S81" i="25" s="1"/>
  <c r="T79" i="25"/>
  <c r="S76" i="25"/>
  <c r="S78" i="25" s="1"/>
  <c r="T76" i="25"/>
  <c r="T78" i="25" s="1"/>
  <c r="S73" i="25"/>
  <c r="S75" i="25" s="1"/>
  <c r="T73" i="25"/>
  <c r="S70" i="25"/>
  <c r="S72" i="25" s="1"/>
  <c r="T70" i="25"/>
  <c r="T72" i="25" s="1"/>
  <c r="S67" i="25"/>
  <c r="S69" i="25" s="1"/>
  <c r="T67" i="25"/>
  <c r="S21" i="87" l="1"/>
  <c r="S33" i="87"/>
  <c r="S45" i="87"/>
  <c r="S57" i="87"/>
  <c r="S69" i="87"/>
  <c r="S93" i="87"/>
  <c r="T12" i="87"/>
  <c r="T24" i="87"/>
  <c r="T36" i="87"/>
  <c r="T48" i="87"/>
  <c r="T60" i="87"/>
  <c r="T72" i="87"/>
  <c r="T84" i="87"/>
  <c r="T6" i="87"/>
  <c r="T18" i="87"/>
  <c r="T30" i="87"/>
  <c r="T42" i="87"/>
  <c r="T54" i="87"/>
  <c r="T66" i="87"/>
  <c r="T78" i="87"/>
  <c r="T90" i="87"/>
  <c r="S9" i="87"/>
  <c r="S81" i="87"/>
  <c r="T81" i="25"/>
  <c r="T69" i="25"/>
  <c r="T75" i="25"/>
  <c r="T87" i="25"/>
  <c r="S15" i="87"/>
  <c r="S27" i="87"/>
  <c r="S39" i="87"/>
  <c r="S51" i="87"/>
  <c r="S63" i="87"/>
  <c r="S75" i="87"/>
  <c r="S87" i="87"/>
  <c r="S64" i="25"/>
  <c r="S66" i="25" s="1"/>
  <c r="T64" i="25"/>
  <c r="T66" i="25" s="1"/>
  <c r="S61" i="25"/>
  <c r="S63" i="25" s="1"/>
  <c r="T61" i="25"/>
  <c r="T63" i="25" s="1"/>
  <c r="S58" i="25"/>
  <c r="S60" i="25" s="1"/>
  <c r="T58" i="25"/>
  <c r="T60" i="25" s="1"/>
  <c r="S55" i="25"/>
  <c r="S57" i="25" s="1"/>
  <c r="T55" i="25"/>
  <c r="T57" i="25" s="1"/>
  <c r="S52" i="25"/>
  <c r="S54" i="25" s="1"/>
  <c r="T52" i="25"/>
  <c r="T54" i="25" s="1"/>
  <c r="S49" i="25"/>
  <c r="S51" i="25" s="1"/>
  <c r="T49" i="25"/>
  <c r="T51" i="25" s="1"/>
  <c r="S46" i="25"/>
  <c r="S48" i="25" s="1"/>
  <c r="T46" i="25"/>
  <c r="T48" i="25" s="1"/>
  <c r="S43" i="25"/>
  <c r="S45" i="25" s="1"/>
  <c r="T43" i="25"/>
  <c r="T45" i="25" s="1"/>
  <c r="S40" i="25"/>
  <c r="S42" i="25" s="1"/>
  <c r="T40" i="25"/>
  <c r="T42" i="25" s="1"/>
  <c r="S37" i="25"/>
  <c r="S39" i="25" s="1"/>
  <c r="T37" i="25"/>
  <c r="T39" i="25" s="1"/>
  <c r="S34" i="25"/>
  <c r="S36" i="25" s="1"/>
  <c r="T34" i="25"/>
  <c r="T36" i="25" s="1"/>
  <c r="S31" i="25"/>
  <c r="S33" i="25" s="1"/>
  <c r="T31" i="25"/>
  <c r="T33" i="25" s="1"/>
  <c r="S28" i="25"/>
  <c r="S30" i="25" s="1"/>
  <c r="T28" i="25"/>
  <c r="T30" i="25" s="1"/>
  <c r="S25" i="25"/>
  <c r="S27" i="25" s="1"/>
  <c r="T25" i="25"/>
  <c r="T27" i="25" s="1"/>
  <c r="S22" i="25"/>
  <c r="S24" i="25" s="1"/>
  <c r="T22" i="25"/>
  <c r="T24" i="25" s="1"/>
  <c r="S19" i="25"/>
  <c r="S21" i="25" s="1"/>
  <c r="T19" i="25"/>
  <c r="T21" i="25" s="1"/>
  <c r="S16" i="25"/>
  <c r="S18" i="25" s="1"/>
  <c r="T16" i="25"/>
  <c r="T18" i="25" s="1"/>
  <c r="S13" i="25"/>
  <c r="S15" i="25" s="1"/>
  <c r="T13" i="25"/>
  <c r="T15" i="25" s="1"/>
  <c r="S10" i="25"/>
  <c r="S12" i="25" s="1"/>
  <c r="T10" i="25"/>
  <c r="T12" i="25" s="1"/>
  <c r="S7" i="25"/>
  <c r="S9" i="25" s="1"/>
  <c r="T7" i="25"/>
  <c r="T9" i="25" s="1"/>
  <c r="S4" i="25"/>
  <c r="S6" i="25" s="1"/>
  <c r="T4" i="25"/>
  <c r="T6" i="25" s="1"/>
  <c r="S109" i="78"/>
  <c r="T109" i="78"/>
  <c r="S106" i="78"/>
  <c r="T106" i="78"/>
  <c r="S103" i="78"/>
  <c r="T103" i="78"/>
  <c r="S100" i="78"/>
  <c r="T100" i="78"/>
  <c r="S97" i="78"/>
  <c r="T97" i="78"/>
  <c r="S94" i="78"/>
  <c r="T94" i="78"/>
  <c r="S91" i="78"/>
  <c r="T91" i="78"/>
  <c r="S88" i="78"/>
  <c r="T88" i="78"/>
  <c r="S85" i="78"/>
  <c r="T85" i="78"/>
  <c r="S82" i="78"/>
  <c r="T82" i="78"/>
  <c r="S79" i="78"/>
  <c r="T79" i="78"/>
  <c r="S76" i="78"/>
  <c r="T76" i="78"/>
  <c r="S73" i="78"/>
  <c r="T73" i="78"/>
  <c r="S70" i="78"/>
  <c r="T70" i="78"/>
  <c r="S67" i="78"/>
  <c r="T67" i="78"/>
  <c r="S64" i="78"/>
  <c r="T64" i="78"/>
  <c r="S61" i="78"/>
  <c r="T61" i="78"/>
  <c r="S58" i="78"/>
  <c r="T58" i="78"/>
  <c r="S55" i="78"/>
  <c r="T55" i="78"/>
  <c r="S52" i="78"/>
  <c r="T52" i="78"/>
  <c r="S49" i="78"/>
  <c r="T49" i="78"/>
  <c r="S46" i="78"/>
  <c r="T46" i="78"/>
  <c r="S43" i="78"/>
  <c r="T43" i="78"/>
  <c r="S40" i="78"/>
  <c r="T40" i="78"/>
  <c r="S37" i="78"/>
  <c r="T37" i="78"/>
  <c r="S34" i="78"/>
  <c r="T34" i="78"/>
  <c r="S31" i="78"/>
  <c r="T31" i="78"/>
  <c r="S28" i="78"/>
  <c r="T28" i="78"/>
  <c r="S25" i="78"/>
  <c r="T25" i="78"/>
  <c r="S22" i="78"/>
  <c r="T22" i="78"/>
  <c r="S19" i="78"/>
  <c r="T19" i="78"/>
  <c r="S16" i="78"/>
  <c r="T16" i="78"/>
  <c r="S13" i="78"/>
  <c r="T13" i="78"/>
  <c r="S10" i="78"/>
  <c r="T10" i="78"/>
  <c r="S7" i="78"/>
  <c r="T7" i="78"/>
  <c r="S108" i="78"/>
  <c r="S110" i="78" s="1"/>
  <c r="T108" i="78"/>
  <c r="T110" i="78" s="1"/>
  <c r="S105" i="78"/>
  <c r="S107" i="78" s="1"/>
  <c r="T105" i="78"/>
  <c r="T107" i="78" s="1"/>
  <c r="S102" i="78"/>
  <c r="T102" i="78"/>
  <c r="T104" i="78" s="1"/>
  <c r="S99" i="78"/>
  <c r="S101" i="78" s="1"/>
  <c r="T99" i="78"/>
  <c r="T101" i="78" s="1"/>
  <c r="S96" i="78"/>
  <c r="S98" i="78" s="1"/>
  <c r="T96" i="78"/>
  <c r="T98" i="78" s="1"/>
  <c r="S93" i="78"/>
  <c r="S95" i="78" s="1"/>
  <c r="T93" i="78"/>
  <c r="T95" i="78" s="1"/>
  <c r="S90" i="78"/>
  <c r="T90" i="78"/>
  <c r="T92" i="78" s="1"/>
  <c r="S87" i="78"/>
  <c r="S89" i="78" s="1"/>
  <c r="T87" i="78"/>
  <c r="T89" i="78" s="1"/>
  <c r="S84" i="78"/>
  <c r="S86" i="78" s="1"/>
  <c r="T84" i="78"/>
  <c r="T86" i="78" s="1"/>
  <c r="S81" i="78"/>
  <c r="S83" i="78" s="1"/>
  <c r="T81" i="78"/>
  <c r="T83" i="78" s="1"/>
  <c r="S78" i="78"/>
  <c r="T78" i="78"/>
  <c r="T80" i="78" s="1"/>
  <c r="S75" i="78"/>
  <c r="S77" i="78" s="1"/>
  <c r="T75" i="78"/>
  <c r="T77" i="78" s="1"/>
  <c r="S72" i="78"/>
  <c r="S74" i="78" s="1"/>
  <c r="T72" i="78"/>
  <c r="T74" i="78" s="1"/>
  <c r="S69" i="78"/>
  <c r="S71" i="78" s="1"/>
  <c r="T69" i="78"/>
  <c r="T71" i="78" s="1"/>
  <c r="S66" i="78"/>
  <c r="T66" i="78"/>
  <c r="T68" i="78" s="1"/>
  <c r="S63" i="78"/>
  <c r="S65" i="78" s="1"/>
  <c r="T63" i="78"/>
  <c r="T65" i="78" s="1"/>
  <c r="S60" i="78"/>
  <c r="S62" i="78" s="1"/>
  <c r="T60" i="78"/>
  <c r="T62" i="78" s="1"/>
  <c r="S57" i="78"/>
  <c r="S59" i="78" s="1"/>
  <c r="T57" i="78"/>
  <c r="T59" i="78" s="1"/>
  <c r="S54" i="78"/>
  <c r="T54" i="78"/>
  <c r="T56" i="78" s="1"/>
  <c r="S51" i="78"/>
  <c r="S53" i="78" s="1"/>
  <c r="T51" i="78"/>
  <c r="T53" i="78" s="1"/>
  <c r="S48" i="78"/>
  <c r="S50" i="78" s="1"/>
  <c r="T48" i="78"/>
  <c r="T50" i="78" s="1"/>
  <c r="S45" i="78"/>
  <c r="S47" i="78" s="1"/>
  <c r="T45" i="78"/>
  <c r="T47" i="78" s="1"/>
  <c r="S42" i="78"/>
  <c r="T42" i="78"/>
  <c r="T44" i="78" s="1"/>
  <c r="S39" i="78"/>
  <c r="S41" i="78" s="1"/>
  <c r="T39" i="78"/>
  <c r="T41" i="78" s="1"/>
  <c r="S36" i="78"/>
  <c r="S38" i="78" s="1"/>
  <c r="T36" i="78"/>
  <c r="T38" i="78" s="1"/>
  <c r="S33" i="78"/>
  <c r="S35" i="78" s="1"/>
  <c r="T33" i="78"/>
  <c r="T35" i="78" s="1"/>
  <c r="S30" i="78"/>
  <c r="T30" i="78"/>
  <c r="T32" i="78" s="1"/>
  <c r="S27" i="78"/>
  <c r="S29" i="78" s="1"/>
  <c r="T27" i="78"/>
  <c r="T29" i="78" s="1"/>
  <c r="S24" i="78"/>
  <c r="S26" i="78" s="1"/>
  <c r="T24" i="78"/>
  <c r="T26" i="78" s="1"/>
  <c r="S21" i="78"/>
  <c r="S23" i="78" s="1"/>
  <c r="T21" i="78"/>
  <c r="T23" i="78" s="1"/>
  <c r="S18" i="78"/>
  <c r="T18" i="78"/>
  <c r="T20" i="78" s="1"/>
  <c r="S15" i="78"/>
  <c r="S17" i="78" s="1"/>
  <c r="T15" i="78"/>
  <c r="T17" i="78" s="1"/>
  <c r="S12" i="78"/>
  <c r="S14" i="78" s="1"/>
  <c r="T12" i="78"/>
  <c r="T14" i="78" s="1"/>
  <c r="S9" i="78"/>
  <c r="S11" i="78" s="1"/>
  <c r="T9" i="78"/>
  <c r="T11" i="78" s="1"/>
  <c r="S6" i="78"/>
  <c r="T6" i="78"/>
  <c r="T8" i="78" s="1"/>
  <c r="Q6" i="78"/>
  <c r="R6" i="78"/>
  <c r="R170" i="74"/>
  <c r="R167" i="74"/>
  <c r="R164" i="74"/>
  <c r="R158" i="74"/>
  <c r="R155" i="74"/>
  <c r="R152" i="74"/>
  <c r="R149" i="74"/>
  <c r="R146" i="74"/>
  <c r="R143" i="74"/>
  <c r="S169" i="74"/>
  <c r="T169" i="74"/>
  <c r="S166" i="74"/>
  <c r="T166" i="74"/>
  <c r="S163" i="74"/>
  <c r="T163" i="74"/>
  <c r="S160" i="74"/>
  <c r="T160" i="74"/>
  <c r="S157" i="74"/>
  <c r="T157" i="74"/>
  <c r="S154" i="74"/>
  <c r="T154" i="74"/>
  <c r="S151" i="74"/>
  <c r="T151" i="74"/>
  <c r="S148" i="74"/>
  <c r="T148" i="74"/>
  <c r="S145" i="74"/>
  <c r="T145" i="74"/>
  <c r="S142" i="74"/>
  <c r="T142" i="74"/>
  <c r="S139" i="74"/>
  <c r="T139" i="74"/>
  <c r="S136" i="74"/>
  <c r="T136" i="74"/>
  <c r="S133" i="74"/>
  <c r="T133" i="74"/>
  <c r="S130" i="74"/>
  <c r="T130" i="74"/>
  <c r="S127" i="74"/>
  <c r="T127" i="74"/>
  <c r="S124" i="74"/>
  <c r="T124" i="74"/>
  <c r="S121" i="74"/>
  <c r="T121" i="74"/>
  <c r="S118" i="74"/>
  <c r="T118" i="74"/>
  <c r="S115" i="74"/>
  <c r="T115" i="74"/>
  <c r="S112" i="74"/>
  <c r="T112" i="74"/>
  <c r="S109" i="74"/>
  <c r="T109" i="74"/>
  <c r="S106" i="74"/>
  <c r="T106" i="74"/>
  <c r="S103" i="74"/>
  <c r="T103" i="74"/>
  <c r="S100" i="74"/>
  <c r="T100" i="74"/>
  <c r="S97" i="74"/>
  <c r="T97" i="74"/>
  <c r="S168" i="74"/>
  <c r="S170" i="74" s="1"/>
  <c r="T168" i="74"/>
  <c r="T170" i="74" s="1"/>
  <c r="S165" i="74"/>
  <c r="S167" i="74" s="1"/>
  <c r="T165" i="74"/>
  <c r="T167" i="74" s="1"/>
  <c r="S162" i="74"/>
  <c r="S164" i="74" s="1"/>
  <c r="T162" i="74"/>
  <c r="S159" i="74"/>
  <c r="S161" i="74" s="1"/>
  <c r="T159" i="74"/>
  <c r="T161" i="74" s="1"/>
  <c r="S156" i="74"/>
  <c r="S158" i="74" s="1"/>
  <c r="T156" i="74"/>
  <c r="T158" i="74" s="1"/>
  <c r="S153" i="74"/>
  <c r="S155" i="74" s="1"/>
  <c r="T153" i="74"/>
  <c r="T155" i="74" s="1"/>
  <c r="S150" i="74"/>
  <c r="S152" i="74" s="1"/>
  <c r="T150" i="74"/>
  <c r="S147" i="74"/>
  <c r="S149" i="74" s="1"/>
  <c r="T147" i="74"/>
  <c r="T149" i="74" s="1"/>
  <c r="S144" i="74"/>
  <c r="S146" i="74" s="1"/>
  <c r="T144" i="74"/>
  <c r="T146" i="74" s="1"/>
  <c r="S141" i="74"/>
  <c r="S143" i="74" s="1"/>
  <c r="T141" i="74"/>
  <c r="T143" i="74" s="1"/>
  <c r="S138" i="74"/>
  <c r="S140" i="74" s="1"/>
  <c r="T138" i="74"/>
  <c r="S135" i="74"/>
  <c r="S137" i="74" s="1"/>
  <c r="T135" i="74"/>
  <c r="T137" i="74" s="1"/>
  <c r="S132" i="74"/>
  <c r="S134" i="74" s="1"/>
  <c r="T132" i="74"/>
  <c r="T134" i="74" s="1"/>
  <c r="S129" i="74"/>
  <c r="S131" i="74" s="1"/>
  <c r="T129" i="74"/>
  <c r="T131" i="74" s="1"/>
  <c r="S126" i="74"/>
  <c r="S128" i="74" s="1"/>
  <c r="T126" i="74"/>
  <c r="S123" i="74"/>
  <c r="S125" i="74" s="1"/>
  <c r="T123" i="74"/>
  <c r="T125" i="74" s="1"/>
  <c r="S120" i="74"/>
  <c r="S122" i="74" s="1"/>
  <c r="T120" i="74"/>
  <c r="T122" i="74" s="1"/>
  <c r="S117" i="74"/>
  <c r="S119" i="74" s="1"/>
  <c r="T117" i="74"/>
  <c r="T119" i="74" s="1"/>
  <c r="S114" i="74"/>
  <c r="S116" i="74" s="1"/>
  <c r="T114" i="74"/>
  <c r="S111" i="74"/>
  <c r="S113" i="74" s="1"/>
  <c r="T111" i="74"/>
  <c r="T113" i="74" s="1"/>
  <c r="S108" i="74"/>
  <c r="S110" i="74" s="1"/>
  <c r="T108" i="74"/>
  <c r="T110" i="74" s="1"/>
  <c r="S105" i="74"/>
  <c r="S107" i="74" s="1"/>
  <c r="T105" i="74"/>
  <c r="T107" i="74" s="1"/>
  <c r="S102" i="74"/>
  <c r="S104" i="74" s="1"/>
  <c r="T102" i="74"/>
  <c r="S99" i="74"/>
  <c r="S101" i="74" s="1"/>
  <c r="T99" i="74"/>
  <c r="T101" i="74" s="1"/>
  <c r="S96" i="74"/>
  <c r="S98" i="74" s="1"/>
  <c r="T96" i="74"/>
  <c r="T98" i="74" s="1"/>
  <c r="T169" i="11"/>
  <c r="U169" i="11"/>
  <c r="T168" i="11"/>
  <c r="T170" i="11" s="1"/>
  <c r="U168" i="11"/>
  <c r="T166" i="11"/>
  <c r="U166" i="11"/>
  <c r="T165" i="11"/>
  <c r="T167" i="11" s="1"/>
  <c r="U165" i="11"/>
  <c r="U167" i="11" s="1"/>
  <c r="T163" i="11"/>
  <c r="U163" i="11"/>
  <c r="T162" i="11"/>
  <c r="T164" i="11" s="1"/>
  <c r="U162" i="11"/>
  <c r="T160" i="11"/>
  <c r="U160" i="11"/>
  <c r="T159" i="11"/>
  <c r="T161" i="11" s="1"/>
  <c r="U159" i="11"/>
  <c r="U161" i="11" s="1"/>
  <c r="T157" i="11"/>
  <c r="U157" i="11"/>
  <c r="T156" i="11"/>
  <c r="T158" i="11" s="1"/>
  <c r="U156" i="11"/>
  <c r="S8" i="78" l="1"/>
  <c r="S20" i="78"/>
  <c r="S32" i="78"/>
  <c r="S44" i="78"/>
  <c r="S56" i="78"/>
  <c r="S68" i="78"/>
  <c r="S80" i="78"/>
  <c r="S92" i="78"/>
  <c r="S104" i="78"/>
  <c r="U158" i="11"/>
  <c r="U164" i="11"/>
  <c r="U170" i="11"/>
  <c r="T104" i="74"/>
  <c r="T116" i="74"/>
  <c r="T128" i="74"/>
  <c r="T140" i="74"/>
  <c r="T152" i="74"/>
  <c r="T164" i="74"/>
  <c r="K63" i="15"/>
  <c r="O142" i="15"/>
  <c r="O139" i="15"/>
  <c r="T169" i="15"/>
  <c r="U169" i="15"/>
  <c r="T168" i="15"/>
  <c r="T170" i="15" s="1"/>
  <c r="U168" i="15"/>
  <c r="T166" i="15"/>
  <c r="U166" i="15"/>
  <c r="T165" i="15"/>
  <c r="U165" i="15"/>
  <c r="T163" i="15"/>
  <c r="U163" i="15"/>
  <c r="T162" i="15"/>
  <c r="T164" i="15" s="1"/>
  <c r="U162" i="15"/>
  <c r="T160" i="15"/>
  <c r="U160" i="15"/>
  <c r="T159" i="15"/>
  <c r="U159" i="15"/>
  <c r="T157" i="15"/>
  <c r="U157" i="15"/>
  <c r="T151" i="15"/>
  <c r="U151" i="15"/>
  <c r="T150" i="15"/>
  <c r="T152" i="15" s="1"/>
  <c r="U150" i="15"/>
  <c r="U152" i="15" s="1"/>
  <c r="T148" i="15"/>
  <c r="U148" i="15"/>
  <c r="T147" i="15"/>
  <c r="T149" i="15" s="1"/>
  <c r="U147" i="15"/>
  <c r="U149" i="15" s="1"/>
  <c r="T145" i="15"/>
  <c r="U145" i="15"/>
  <c r="T144" i="15"/>
  <c r="T146" i="15" s="1"/>
  <c r="U144" i="15"/>
  <c r="U146" i="15" s="1"/>
  <c r="T142" i="15"/>
  <c r="U142" i="15"/>
  <c r="T141" i="15"/>
  <c r="T143" i="15" s="1"/>
  <c r="U141" i="15"/>
  <c r="U143" i="15" s="1"/>
  <c r="T139" i="15"/>
  <c r="U139" i="15"/>
  <c r="T138" i="15"/>
  <c r="T140" i="15" s="1"/>
  <c r="U138" i="15"/>
  <c r="U140" i="15" s="1"/>
  <c r="U136" i="15"/>
  <c r="T136" i="15"/>
  <c r="T135" i="15"/>
  <c r="U135" i="15"/>
  <c r="U137" i="15" s="1"/>
  <c r="T133" i="15"/>
  <c r="U133" i="15"/>
  <c r="T132" i="15"/>
  <c r="T134" i="15" s="1"/>
  <c r="U132" i="15"/>
  <c r="U134" i="15" s="1"/>
  <c r="T130" i="15"/>
  <c r="U130" i="15"/>
  <c r="T129" i="15"/>
  <c r="T131" i="15" s="1"/>
  <c r="U129" i="15"/>
  <c r="U131" i="15" s="1"/>
  <c r="T127" i="15"/>
  <c r="U127" i="15"/>
  <c r="T126" i="15"/>
  <c r="T128" i="15" s="1"/>
  <c r="U126" i="15"/>
  <c r="U128" i="15" s="1"/>
  <c r="T124" i="15"/>
  <c r="U124" i="15"/>
  <c r="T123" i="15"/>
  <c r="T125" i="15" s="1"/>
  <c r="U123" i="15"/>
  <c r="U125" i="15" s="1"/>
  <c r="T121" i="15"/>
  <c r="U121" i="15"/>
  <c r="T120" i="15"/>
  <c r="T122" i="15" s="1"/>
  <c r="U120" i="15"/>
  <c r="U122" i="15" s="1"/>
  <c r="T118" i="15"/>
  <c r="U118" i="15"/>
  <c r="T117" i="15"/>
  <c r="T119" i="15" s="1"/>
  <c r="U117" i="15"/>
  <c r="U119" i="15" s="1"/>
  <c r="T115" i="15"/>
  <c r="U115" i="15"/>
  <c r="T114" i="15"/>
  <c r="T116" i="15" s="1"/>
  <c r="U114" i="15"/>
  <c r="U116" i="15" s="1"/>
  <c r="T112" i="15"/>
  <c r="U112" i="15"/>
  <c r="T111" i="15"/>
  <c r="T113" i="15" s="1"/>
  <c r="U111" i="15"/>
  <c r="U113" i="15" s="1"/>
  <c r="T109" i="15"/>
  <c r="U109" i="15"/>
  <c r="T108" i="15"/>
  <c r="T110" i="15" s="1"/>
  <c r="U108" i="15"/>
  <c r="U110" i="15" s="1"/>
  <c r="T106" i="15"/>
  <c r="U106" i="15"/>
  <c r="T105" i="15"/>
  <c r="T107" i="15" s="1"/>
  <c r="U105" i="15"/>
  <c r="U107" i="15" s="1"/>
  <c r="T103" i="15"/>
  <c r="U103" i="15"/>
  <c r="T102" i="15"/>
  <c r="T104" i="15" s="1"/>
  <c r="U102" i="15"/>
  <c r="U104" i="15" s="1"/>
  <c r="T100" i="15"/>
  <c r="U100" i="15"/>
  <c r="T99" i="15"/>
  <c r="T101" i="15" s="1"/>
  <c r="U99" i="15"/>
  <c r="U101" i="15" s="1"/>
  <c r="T97" i="15"/>
  <c r="U97" i="15"/>
  <c r="T96" i="15"/>
  <c r="T98" i="15" s="1"/>
  <c r="U96" i="15"/>
  <c r="U98" i="15" s="1"/>
  <c r="T94" i="15"/>
  <c r="U94" i="15"/>
  <c r="T93" i="15"/>
  <c r="T95" i="15" s="1"/>
  <c r="U93" i="15"/>
  <c r="U95" i="15" s="1"/>
  <c r="T91" i="15"/>
  <c r="U91" i="15"/>
  <c r="T90" i="15"/>
  <c r="T92" i="15" s="1"/>
  <c r="U90" i="15"/>
  <c r="U92" i="15" s="1"/>
  <c r="T88" i="15"/>
  <c r="U88" i="15"/>
  <c r="T87" i="15"/>
  <c r="T89" i="15" s="1"/>
  <c r="U87" i="15"/>
  <c r="U89" i="15" s="1"/>
  <c r="T85" i="15"/>
  <c r="U85" i="15"/>
  <c r="T84" i="15"/>
  <c r="T86" i="15" s="1"/>
  <c r="U84" i="15"/>
  <c r="U86" i="15" s="1"/>
  <c r="T82" i="15"/>
  <c r="U82" i="15"/>
  <c r="T81" i="15"/>
  <c r="T83" i="15" s="1"/>
  <c r="U81" i="15"/>
  <c r="U83" i="15" s="1"/>
  <c r="T79" i="15"/>
  <c r="U79" i="15"/>
  <c r="T78" i="15"/>
  <c r="T80" i="15" s="1"/>
  <c r="U78" i="15"/>
  <c r="U80" i="15" s="1"/>
  <c r="T76" i="15"/>
  <c r="U76" i="15"/>
  <c r="T75" i="15"/>
  <c r="T77" i="15" s="1"/>
  <c r="U75" i="15"/>
  <c r="U77" i="15" s="1"/>
  <c r="T73" i="15"/>
  <c r="U73" i="15"/>
  <c r="T72" i="15"/>
  <c r="T74" i="15" s="1"/>
  <c r="U72" i="15"/>
  <c r="U74" i="15" s="1"/>
  <c r="T70" i="15"/>
  <c r="U70" i="15"/>
  <c r="T69" i="15"/>
  <c r="T71" i="15" s="1"/>
  <c r="U69" i="15"/>
  <c r="U71" i="15" s="1"/>
  <c r="T67" i="15"/>
  <c r="U67" i="15"/>
  <c r="T66" i="15"/>
  <c r="T68" i="15" s="1"/>
  <c r="U66" i="15"/>
  <c r="U68" i="15" s="1"/>
  <c r="T64" i="15"/>
  <c r="U64" i="15"/>
  <c r="T63" i="15"/>
  <c r="T65" i="15" s="1"/>
  <c r="U63" i="15"/>
  <c r="U65" i="15" s="1"/>
  <c r="T61" i="15"/>
  <c r="U61" i="15"/>
  <c r="T60" i="15"/>
  <c r="T62" i="15" s="1"/>
  <c r="U60" i="15"/>
  <c r="U62" i="15" s="1"/>
  <c r="T58" i="15"/>
  <c r="U58" i="15"/>
  <c r="T57" i="15"/>
  <c r="T59" i="15" s="1"/>
  <c r="U57" i="15"/>
  <c r="U59" i="15" s="1"/>
  <c r="T55" i="15"/>
  <c r="U55" i="15"/>
  <c r="T54" i="15"/>
  <c r="T56" i="15" s="1"/>
  <c r="U54" i="15"/>
  <c r="U56" i="15" s="1"/>
  <c r="T52" i="15"/>
  <c r="U52" i="15"/>
  <c r="T51" i="15"/>
  <c r="T53" i="15" s="1"/>
  <c r="U51" i="15"/>
  <c r="U53" i="15" s="1"/>
  <c r="T49" i="15"/>
  <c r="U49" i="15"/>
  <c r="T48" i="15"/>
  <c r="T50" i="15" s="1"/>
  <c r="U48" i="15"/>
  <c r="U50" i="15" s="1"/>
  <c r="F46" i="15"/>
  <c r="G46" i="15"/>
  <c r="H46" i="15"/>
  <c r="I46" i="15"/>
  <c r="J46" i="15"/>
  <c r="K46" i="15"/>
  <c r="L46" i="15"/>
  <c r="M46" i="15"/>
  <c r="N46" i="15"/>
  <c r="O46" i="15"/>
  <c r="P46" i="15"/>
  <c r="Q46" i="15"/>
  <c r="R46" i="15"/>
  <c r="S46" i="15"/>
  <c r="T46" i="15"/>
  <c r="U46" i="15"/>
  <c r="F45" i="15"/>
  <c r="F47" i="15" s="1"/>
  <c r="G45" i="15"/>
  <c r="G47" i="15" s="1"/>
  <c r="H45" i="15"/>
  <c r="H47" i="15" s="1"/>
  <c r="I45" i="15"/>
  <c r="I47" i="15" s="1"/>
  <c r="J45" i="15"/>
  <c r="J47" i="15" s="1"/>
  <c r="K45" i="15"/>
  <c r="K47" i="15" s="1"/>
  <c r="L45" i="15"/>
  <c r="L47" i="15" s="1"/>
  <c r="M45" i="15"/>
  <c r="M47" i="15" s="1"/>
  <c r="N45" i="15"/>
  <c r="N47" i="15" s="1"/>
  <c r="O45" i="15"/>
  <c r="O47" i="15" s="1"/>
  <c r="P45" i="15"/>
  <c r="P47" i="15" s="1"/>
  <c r="Q45" i="15"/>
  <c r="Q47" i="15" s="1"/>
  <c r="R45" i="15"/>
  <c r="R47" i="15" s="1"/>
  <c r="S45" i="15"/>
  <c r="T45" i="15"/>
  <c r="T47" i="15" s="1"/>
  <c r="U45" i="15"/>
  <c r="T43" i="15"/>
  <c r="U43" i="15"/>
  <c r="T42" i="15"/>
  <c r="T44" i="15" s="1"/>
  <c r="U42" i="15"/>
  <c r="U44" i="15" s="1"/>
  <c r="T40" i="15"/>
  <c r="U40" i="15"/>
  <c r="T39" i="15"/>
  <c r="T41" i="15" s="1"/>
  <c r="U39" i="15"/>
  <c r="U41" i="15" s="1"/>
  <c r="T37" i="15"/>
  <c r="U37" i="15"/>
  <c r="T36" i="15"/>
  <c r="T38" i="15" s="1"/>
  <c r="U36" i="15"/>
  <c r="U38" i="15" s="1"/>
  <c r="T34" i="15"/>
  <c r="U34" i="15"/>
  <c r="T33" i="15"/>
  <c r="T35" i="15" s="1"/>
  <c r="U33" i="15"/>
  <c r="U35" i="15" s="1"/>
  <c r="T31" i="15"/>
  <c r="U31" i="15"/>
  <c r="T30" i="15"/>
  <c r="T32" i="15" s="1"/>
  <c r="U30" i="15"/>
  <c r="U32" i="15" s="1"/>
  <c r="T28" i="15"/>
  <c r="U28" i="15"/>
  <c r="T27" i="15"/>
  <c r="T29" i="15" s="1"/>
  <c r="U27" i="15"/>
  <c r="U29" i="15" s="1"/>
  <c r="T25" i="15"/>
  <c r="U25" i="15"/>
  <c r="T24" i="15"/>
  <c r="T26" i="15" s="1"/>
  <c r="U24" i="15"/>
  <c r="U26" i="15" s="1"/>
  <c r="T22" i="15"/>
  <c r="U22" i="15"/>
  <c r="T21" i="15"/>
  <c r="T23" i="15" s="1"/>
  <c r="U21" i="15"/>
  <c r="U23" i="15" s="1"/>
  <c r="T19" i="15"/>
  <c r="U19" i="15"/>
  <c r="T18" i="15"/>
  <c r="T20" i="15" s="1"/>
  <c r="U18" i="15"/>
  <c r="U20" i="15" s="1"/>
  <c r="T16" i="15"/>
  <c r="U16" i="15"/>
  <c r="T15" i="15"/>
  <c r="T17" i="15" s="1"/>
  <c r="U15" i="15"/>
  <c r="U17" i="15" s="1"/>
  <c r="T13" i="15"/>
  <c r="U13" i="15"/>
  <c r="T12" i="15"/>
  <c r="T14" i="15" s="1"/>
  <c r="U12" i="15"/>
  <c r="U14" i="15" s="1"/>
  <c r="P10" i="15"/>
  <c r="T10" i="15"/>
  <c r="U10" i="15"/>
  <c r="T9" i="15"/>
  <c r="T11" i="15" s="1"/>
  <c r="U9" i="15"/>
  <c r="T7" i="15"/>
  <c r="U7" i="15"/>
  <c r="R157" i="7"/>
  <c r="R158" i="7" s="1"/>
  <c r="R154" i="7"/>
  <c r="R155" i="7"/>
  <c r="R151" i="7"/>
  <c r="R150" i="7"/>
  <c r="R148" i="7"/>
  <c r="R147" i="7"/>
  <c r="R149" i="7" s="1"/>
  <c r="R145" i="7"/>
  <c r="R144" i="7"/>
  <c r="R142" i="7"/>
  <c r="R141" i="7"/>
  <c r="R143" i="7" s="1"/>
  <c r="R139" i="7"/>
  <c r="R140" i="7" s="1"/>
  <c r="R138" i="7"/>
  <c r="R136" i="7"/>
  <c r="R135" i="7"/>
  <c r="R137" i="7" s="1"/>
  <c r="R133" i="7"/>
  <c r="R132" i="7"/>
  <c r="R130" i="7"/>
  <c r="R129" i="7"/>
  <c r="R131" i="7" s="1"/>
  <c r="R127" i="7"/>
  <c r="R126" i="7"/>
  <c r="R124" i="7"/>
  <c r="R123" i="7"/>
  <c r="R125" i="7" s="1"/>
  <c r="R121" i="7"/>
  <c r="R120" i="7"/>
  <c r="R118" i="7"/>
  <c r="R117" i="7"/>
  <c r="R119" i="7" s="1"/>
  <c r="R115" i="7"/>
  <c r="R114" i="7"/>
  <c r="R112" i="7"/>
  <c r="R111" i="7"/>
  <c r="R113" i="7" s="1"/>
  <c r="R109" i="7"/>
  <c r="R108" i="7"/>
  <c r="R106" i="7"/>
  <c r="R105" i="7"/>
  <c r="R107" i="7" s="1"/>
  <c r="R103" i="7"/>
  <c r="R102" i="7"/>
  <c r="R100" i="7"/>
  <c r="R99" i="7"/>
  <c r="R101" i="7" s="1"/>
  <c r="R97" i="7"/>
  <c r="R96" i="7"/>
  <c r="R94" i="7"/>
  <c r="R93" i="7"/>
  <c r="R95" i="7" s="1"/>
  <c r="R91" i="7"/>
  <c r="R90" i="7"/>
  <c r="R88" i="7"/>
  <c r="R87" i="7"/>
  <c r="R85" i="7"/>
  <c r="R84" i="7"/>
  <c r="R82" i="7"/>
  <c r="R81" i="7"/>
  <c r="R83" i="7" s="1"/>
  <c r="R79" i="7"/>
  <c r="R78" i="7"/>
  <c r="R76" i="7"/>
  <c r="R75" i="7"/>
  <c r="R77" i="7" s="1"/>
  <c r="R73" i="7"/>
  <c r="R72" i="7"/>
  <c r="R70" i="7"/>
  <c r="R69" i="7"/>
  <c r="R71" i="7" s="1"/>
  <c r="R67" i="7"/>
  <c r="R66" i="7"/>
  <c r="R64" i="7"/>
  <c r="R63" i="7"/>
  <c r="R65" i="7" s="1"/>
  <c r="R61" i="7"/>
  <c r="R60" i="7"/>
  <c r="R58" i="7"/>
  <c r="F15" i="7"/>
  <c r="F16" i="7"/>
  <c r="F17" i="7" s="1"/>
  <c r="F18" i="7"/>
  <c r="F19" i="7"/>
  <c r="F21" i="7"/>
  <c r="F22" i="7"/>
  <c r="F24" i="7"/>
  <c r="F25" i="7"/>
  <c r="F27" i="7"/>
  <c r="F28" i="7"/>
  <c r="F29" i="7" s="1"/>
  <c r="F30" i="7"/>
  <c r="F31" i="7"/>
  <c r="F33" i="7"/>
  <c r="F34" i="7"/>
  <c r="F36" i="7"/>
  <c r="F37" i="7"/>
  <c r="F39" i="7"/>
  <c r="F40" i="7"/>
  <c r="F41" i="7" s="1"/>
  <c r="F42" i="7"/>
  <c r="F43" i="7"/>
  <c r="F45" i="7"/>
  <c r="F46" i="7"/>
  <c r="F48" i="7"/>
  <c r="F49" i="7"/>
  <c r="F51" i="7"/>
  <c r="F52" i="7"/>
  <c r="F53" i="7" s="1"/>
  <c r="F54" i="7"/>
  <c r="F55" i="7"/>
  <c r="F57" i="7"/>
  <c r="F58" i="7"/>
  <c r="F60" i="7"/>
  <c r="F61" i="7"/>
  <c r="F63" i="7"/>
  <c r="F64" i="7"/>
  <c r="F66" i="7"/>
  <c r="F67" i="7"/>
  <c r="F69" i="7"/>
  <c r="F70" i="7"/>
  <c r="F72" i="7"/>
  <c r="F73" i="7"/>
  <c r="F75" i="7"/>
  <c r="F76" i="7"/>
  <c r="F77" i="7" s="1"/>
  <c r="F78" i="7"/>
  <c r="F79" i="7"/>
  <c r="F81" i="7"/>
  <c r="F82" i="7"/>
  <c r="F84" i="7"/>
  <c r="F85" i="7"/>
  <c r="F87" i="7"/>
  <c r="F88" i="7"/>
  <c r="F89" i="7" s="1"/>
  <c r="F90" i="7"/>
  <c r="F91" i="7"/>
  <c r="F93" i="7"/>
  <c r="F94" i="7"/>
  <c r="F96" i="7"/>
  <c r="F97" i="7"/>
  <c r="F99" i="7"/>
  <c r="F100" i="7"/>
  <c r="F101" i="7" s="1"/>
  <c r="F102" i="7"/>
  <c r="F103" i="7"/>
  <c r="F105" i="7"/>
  <c r="F106" i="7"/>
  <c r="F108" i="7"/>
  <c r="F109" i="7"/>
  <c r="F111" i="7"/>
  <c r="F112" i="7"/>
  <c r="F113" i="7" s="1"/>
  <c r="F114" i="7"/>
  <c r="F115" i="7"/>
  <c r="F117" i="7"/>
  <c r="F118" i="7"/>
  <c r="F120" i="7"/>
  <c r="F121" i="7"/>
  <c r="F123" i="7"/>
  <c r="F124" i="7"/>
  <c r="F125" i="7" s="1"/>
  <c r="F126" i="7"/>
  <c r="F127" i="7"/>
  <c r="F129" i="7"/>
  <c r="F130" i="7"/>
  <c r="F132" i="7"/>
  <c r="F133" i="7"/>
  <c r="F135" i="7"/>
  <c r="F136" i="7"/>
  <c r="F137" i="7" s="1"/>
  <c r="F138" i="7"/>
  <c r="F139" i="7"/>
  <c r="F141" i="7"/>
  <c r="F142" i="7"/>
  <c r="F144" i="7"/>
  <c r="F145" i="7"/>
  <c r="F147" i="7"/>
  <c r="F148" i="7"/>
  <c r="F150" i="7"/>
  <c r="F151" i="7"/>
  <c r="F154" i="7"/>
  <c r="F157" i="7"/>
  <c r="F160" i="7"/>
  <c r="F161" i="7" s="1"/>
  <c r="R57" i="7"/>
  <c r="R55" i="7"/>
  <c r="R54" i="7"/>
  <c r="R52" i="7"/>
  <c r="R51" i="7"/>
  <c r="R49" i="7"/>
  <c r="R48" i="7"/>
  <c r="R46" i="7"/>
  <c r="R45" i="7"/>
  <c r="R43" i="7"/>
  <c r="R42" i="7"/>
  <c r="R40" i="7"/>
  <c r="R39" i="7"/>
  <c r="R37" i="7"/>
  <c r="R36" i="7"/>
  <c r="R34" i="7"/>
  <c r="R33" i="7"/>
  <c r="R31" i="7"/>
  <c r="R30" i="7"/>
  <c r="R28" i="7"/>
  <c r="R27" i="7"/>
  <c r="R25" i="7"/>
  <c r="R24" i="7"/>
  <c r="R22" i="7"/>
  <c r="R21" i="7"/>
  <c r="R19" i="7"/>
  <c r="R18" i="7"/>
  <c r="R16" i="7"/>
  <c r="R15" i="7"/>
  <c r="R13" i="7"/>
  <c r="R12" i="7"/>
  <c r="R10" i="7"/>
  <c r="R9" i="7"/>
  <c r="R7" i="7"/>
  <c r="R6" i="7"/>
  <c r="T160" i="7"/>
  <c r="U160" i="7"/>
  <c r="T159" i="7"/>
  <c r="T161" i="7" s="1"/>
  <c r="U159" i="7"/>
  <c r="U161" i="7" s="1"/>
  <c r="T160" i="1"/>
  <c r="U160" i="1"/>
  <c r="T159" i="1"/>
  <c r="T161" i="1" s="1"/>
  <c r="U159" i="1"/>
  <c r="U161" i="1" s="1"/>
  <c r="T157" i="1"/>
  <c r="U157" i="1"/>
  <c r="T156" i="1"/>
  <c r="U156" i="1"/>
  <c r="T154" i="1"/>
  <c r="U154" i="1"/>
  <c r="T153" i="1"/>
  <c r="T155" i="1" s="1"/>
  <c r="U153" i="1"/>
  <c r="U155" i="1" s="1"/>
  <c r="T151" i="1"/>
  <c r="U151" i="1"/>
  <c r="T150" i="1"/>
  <c r="U150" i="1"/>
  <c r="T148" i="1"/>
  <c r="U148" i="1"/>
  <c r="T147" i="1"/>
  <c r="T149" i="1" s="1"/>
  <c r="U147" i="1"/>
  <c r="U149" i="1" s="1"/>
  <c r="T145" i="1"/>
  <c r="U145" i="1"/>
  <c r="T144" i="1"/>
  <c r="U144" i="1"/>
  <c r="T142" i="1"/>
  <c r="U142" i="1"/>
  <c r="T141" i="1"/>
  <c r="T143" i="1" s="1"/>
  <c r="U141" i="1"/>
  <c r="U143" i="1" s="1"/>
  <c r="T139" i="1"/>
  <c r="U139" i="1"/>
  <c r="T138" i="1"/>
  <c r="U138" i="1"/>
  <c r="T136" i="1"/>
  <c r="U136" i="1"/>
  <c r="T135" i="1"/>
  <c r="T137" i="1" s="1"/>
  <c r="U135" i="1"/>
  <c r="U137" i="1" s="1"/>
  <c r="F4" i="18"/>
  <c r="F5" i="18"/>
  <c r="F6" i="18"/>
  <c r="F7" i="18"/>
  <c r="F8" i="18"/>
  <c r="F9" i="18"/>
  <c r="F10" i="18"/>
  <c r="F11" i="18"/>
  <c r="F12" i="18"/>
  <c r="F13" i="18"/>
  <c r="F14" i="18"/>
  <c r="F15" i="18"/>
  <c r="F16" i="18"/>
  <c r="F17" i="18"/>
  <c r="F18" i="18"/>
  <c r="F19" i="18"/>
  <c r="F20" i="18"/>
  <c r="F21" i="18"/>
  <c r="F22" i="18"/>
  <c r="F23" i="18"/>
  <c r="F24" i="18"/>
  <c r="F25" i="18"/>
  <c r="F26" i="18"/>
  <c r="F27" i="18"/>
  <c r="F28" i="18"/>
  <c r="F29" i="18"/>
  <c r="F30" i="18"/>
  <c r="F31" i="18"/>
  <c r="F32" i="18"/>
  <c r="F33" i="18"/>
  <c r="F34" i="18"/>
  <c r="F35" i="18"/>
  <c r="F36" i="18"/>
  <c r="F37" i="18"/>
  <c r="F38" i="18"/>
  <c r="F39" i="18"/>
  <c r="F40" i="18"/>
  <c r="F41" i="18"/>
  <c r="F42" i="18"/>
  <c r="F43" i="18"/>
  <c r="F44" i="18"/>
  <c r="F45" i="18"/>
  <c r="F46" i="18"/>
  <c r="F47" i="18"/>
  <c r="F48" i="18"/>
  <c r="F49" i="18"/>
  <c r="F50" i="18"/>
  <c r="F51" i="18"/>
  <c r="F52" i="18"/>
  <c r="F53" i="18"/>
  <c r="F54" i="18"/>
  <c r="F55" i="18"/>
  <c r="F56" i="18"/>
  <c r="F57" i="18"/>
  <c r="F58" i="18"/>
  <c r="E4" i="18"/>
  <c r="E5" i="18"/>
  <c r="E6" i="18"/>
  <c r="E7" i="18"/>
  <c r="E8" i="18"/>
  <c r="E9" i="18"/>
  <c r="E10" i="18"/>
  <c r="E11" i="18"/>
  <c r="E12" i="18"/>
  <c r="E13" i="18"/>
  <c r="E14" i="18"/>
  <c r="E15" i="18"/>
  <c r="E16" i="18"/>
  <c r="E17" i="18"/>
  <c r="E18" i="18"/>
  <c r="E19" i="18"/>
  <c r="E20" i="18"/>
  <c r="E21" i="18"/>
  <c r="E22" i="18"/>
  <c r="E23" i="18"/>
  <c r="E24" i="18"/>
  <c r="E25" i="18"/>
  <c r="E26" i="18"/>
  <c r="E27" i="18"/>
  <c r="E28" i="18"/>
  <c r="E29" i="18"/>
  <c r="E30" i="18"/>
  <c r="E31" i="18"/>
  <c r="E32" i="18"/>
  <c r="E33" i="18"/>
  <c r="E34" i="18"/>
  <c r="E35" i="18"/>
  <c r="E36" i="18"/>
  <c r="E37" i="18"/>
  <c r="E38" i="18"/>
  <c r="E39" i="18"/>
  <c r="E40" i="18"/>
  <c r="E41" i="18"/>
  <c r="E42" i="18"/>
  <c r="E43" i="18"/>
  <c r="E44" i="18"/>
  <c r="E45" i="18"/>
  <c r="E46" i="18"/>
  <c r="E47" i="18"/>
  <c r="E48" i="18"/>
  <c r="E49" i="18"/>
  <c r="E50" i="18"/>
  <c r="E51" i="18"/>
  <c r="E52" i="18"/>
  <c r="E53" i="18"/>
  <c r="E54" i="18"/>
  <c r="E55" i="18"/>
  <c r="E56" i="18"/>
  <c r="E57" i="18"/>
  <c r="E58" i="18"/>
  <c r="F156" i="15"/>
  <c r="G156" i="15"/>
  <c r="H156" i="15"/>
  <c r="I156" i="15"/>
  <c r="J156" i="15"/>
  <c r="K156" i="15"/>
  <c r="L156" i="15"/>
  <c r="M156" i="15"/>
  <c r="N156" i="15"/>
  <c r="O156" i="15"/>
  <c r="P156" i="15"/>
  <c r="Q156" i="15"/>
  <c r="R156" i="15"/>
  <c r="S156" i="15"/>
  <c r="T156" i="15"/>
  <c r="T158" i="15" s="1"/>
  <c r="U156" i="15"/>
  <c r="U158" i="15" s="1"/>
  <c r="T6" i="15"/>
  <c r="U6" i="15"/>
  <c r="F4" i="14"/>
  <c r="F5" i="14"/>
  <c r="F6" i="14"/>
  <c r="F7" i="14"/>
  <c r="F8" i="14"/>
  <c r="F9" i="14"/>
  <c r="F10" i="14"/>
  <c r="F11" i="14"/>
  <c r="F12" i="14"/>
  <c r="F13" i="14"/>
  <c r="F14" i="14"/>
  <c r="F15" i="14"/>
  <c r="F16" i="14"/>
  <c r="F17" i="14"/>
  <c r="F18" i="14"/>
  <c r="F19" i="14"/>
  <c r="F20" i="14"/>
  <c r="F21" i="14"/>
  <c r="F22" i="14"/>
  <c r="F23" i="14"/>
  <c r="F24" i="14"/>
  <c r="F25" i="14"/>
  <c r="F26" i="14"/>
  <c r="F27" i="14"/>
  <c r="F28" i="14"/>
  <c r="F29" i="14"/>
  <c r="F30" i="14"/>
  <c r="F31" i="14"/>
  <c r="F32" i="14"/>
  <c r="F33" i="14"/>
  <c r="F34" i="14"/>
  <c r="F35" i="14"/>
  <c r="F36" i="14"/>
  <c r="F37" i="14"/>
  <c r="F38" i="14"/>
  <c r="F39" i="14"/>
  <c r="F40" i="14"/>
  <c r="F41" i="14"/>
  <c r="F42" i="14"/>
  <c r="F43" i="14"/>
  <c r="F44" i="14"/>
  <c r="F45" i="14"/>
  <c r="F46" i="14"/>
  <c r="F47" i="14"/>
  <c r="F48" i="14"/>
  <c r="F49" i="14"/>
  <c r="F50" i="14"/>
  <c r="F51" i="14"/>
  <c r="F52" i="14"/>
  <c r="F53" i="14"/>
  <c r="F55" i="14"/>
  <c r="F56" i="14"/>
  <c r="F57" i="14"/>
  <c r="F58" i="14"/>
  <c r="E4" i="14"/>
  <c r="E5" i="14"/>
  <c r="E6" i="14"/>
  <c r="E7" i="14"/>
  <c r="G7" i="14" s="1"/>
  <c r="E8" i="14"/>
  <c r="E9" i="14"/>
  <c r="G9" i="14" s="1"/>
  <c r="E10" i="14"/>
  <c r="E11" i="14"/>
  <c r="G11" i="14" s="1"/>
  <c r="E12" i="14"/>
  <c r="E13" i="14"/>
  <c r="E14" i="14"/>
  <c r="E15" i="14"/>
  <c r="G15" i="14" s="1"/>
  <c r="E16" i="14"/>
  <c r="E17" i="14"/>
  <c r="G17" i="14" s="1"/>
  <c r="E18" i="14"/>
  <c r="E19" i="14"/>
  <c r="G19" i="14" s="1"/>
  <c r="E20" i="14"/>
  <c r="E21" i="14"/>
  <c r="E22" i="14"/>
  <c r="E23" i="14"/>
  <c r="G23" i="14" s="1"/>
  <c r="E24" i="14"/>
  <c r="E25" i="14"/>
  <c r="G25" i="14" s="1"/>
  <c r="E26" i="14"/>
  <c r="E27" i="14"/>
  <c r="G27" i="14" s="1"/>
  <c r="E28" i="14"/>
  <c r="E29" i="14"/>
  <c r="E30" i="14"/>
  <c r="E31" i="14"/>
  <c r="G31" i="14" s="1"/>
  <c r="E32" i="14"/>
  <c r="E33" i="14"/>
  <c r="G33" i="14" s="1"/>
  <c r="E34" i="14"/>
  <c r="E35" i="14"/>
  <c r="G35" i="14" s="1"/>
  <c r="E36" i="14"/>
  <c r="E37" i="14"/>
  <c r="E38" i="14"/>
  <c r="E39" i="14"/>
  <c r="G39" i="14" s="1"/>
  <c r="E40" i="14"/>
  <c r="E41" i="14"/>
  <c r="G41" i="14" s="1"/>
  <c r="E42" i="14"/>
  <c r="E43" i="14"/>
  <c r="G43" i="14" s="1"/>
  <c r="E44" i="14"/>
  <c r="E45" i="14"/>
  <c r="E46" i="14"/>
  <c r="E47" i="14"/>
  <c r="G47" i="14" s="1"/>
  <c r="E48" i="14"/>
  <c r="E49" i="14"/>
  <c r="G49" i="14" s="1"/>
  <c r="E50" i="14"/>
  <c r="E51" i="14"/>
  <c r="G51" i="14" s="1"/>
  <c r="E52" i="14"/>
  <c r="E53" i="14"/>
  <c r="E55" i="14"/>
  <c r="G55" i="14" s="1"/>
  <c r="E56" i="14"/>
  <c r="E57" i="14"/>
  <c r="G57" i="14" s="1"/>
  <c r="E58" i="14"/>
  <c r="F169" i="11"/>
  <c r="G169" i="11"/>
  <c r="H169" i="11"/>
  <c r="I169" i="11"/>
  <c r="J169" i="11"/>
  <c r="K169" i="11"/>
  <c r="L169" i="11"/>
  <c r="M169" i="11"/>
  <c r="N169" i="11"/>
  <c r="O169" i="11"/>
  <c r="P169" i="11"/>
  <c r="Q169" i="11"/>
  <c r="R169" i="11"/>
  <c r="S169" i="11"/>
  <c r="F166" i="11"/>
  <c r="G166" i="11"/>
  <c r="H166" i="11"/>
  <c r="I166" i="11"/>
  <c r="J166" i="11"/>
  <c r="K166" i="11"/>
  <c r="L166" i="11"/>
  <c r="M166" i="11"/>
  <c r="N166" i="11"/>
  <c r="O166" i="11"/>
  <c r="P166" i="11"/>
  <c r="Q166" i="11"/>
  <c r="R166" i="11"/>
  <c r="S166" i="11"/>
  <c r="F163" i="11"/>
  <c r="G163" i="11"/>
  <c r="H163" i="11"/>
  <c r="I163" i="11"/>
  <c r="J163" i="11"/>
  <c r="K163" i="11"/>
  <c r="L163" i="11"/>
  <c r="M163" i="11"/>
  <c r="N163" i="11"/>
  <c r="O163" i="11"/>
  <c r="P163" i="11"/>
  <c r="Q163" i="11"/>
  <c r="R163" i="11"/>
  <c r="S163" i="11"/>
  <c r="F160" i="11"/>
  <c r="G160" i="11"/>
  <c r="H160" i="11"/>
  <c r="I160" i="11"/>
  <c r="J160" i="11"/>
  <c r="K160" i="11"/>
  <c r="L160" i="11"/>
  <c r="M160" i="11"/>
  <c r="N160" i="11"/>
  <c r="O160" i="11"/>
  <c r="P160" i="11"/>
  <c r="Q160" i="11"/>
  <c r="R160" i="11"/>
  <c r="S160" i="11"/>
  <c r="F157" i="11"/>
  <c r="G157" i="11"/>
  <c r="H157" i="11"/>
  <c r="I157" i="11"/>
  <c r="J157" i="11"/>
  <c r="K157" i="11"/>
  <c r="L157" i="11"/>
  <c r="M157" i="11"/>
  <c r="N157" i="11"/>
  <c r="O157" i="11"/>
  <c r="P157" i="11"/>
  <c r="Q157" i="11"/>
  <c r="R157" i="11"/>
  <c r="S157" i="11"/>
  <c r="F168" i="11"/>
  <c r="F170" i="11" s="1"/>
  <c r="G168" i="11"/>
  <c r="G170" i="11" s="1"/>
  <c r="H168" i="11"/>
  <c r="H170" i="11" s="1"/>
  <c r="I168" i="11"/>
  <c r="I170" i="11" s="1"/>
  <c r="J168" i="11"/>
  <c r="J170" i="11" s="1"/>
  <c r="K168" i="11"/>
  <c r="L168" i="11"/>
  <c r="L170" i="11" s="1"/>
  <c r="M168" i="11"/>
  <c r="M170" i="11" s="1"/>
  <c r="N168" i="11"/>
  <c r="N170" i="11" s="1"/>
  <c r="O168" i="11"/>
  <c r="O170" i="11" s="1"/>
  <c r="P168" i="11"/>
  <c r="P170" i="11" s="1"/>
  <c r="Q168" i="11"/>
  <c r="Q170" i="11" s="1"/>
  <c r="R168" i="11"/>
  <c r="R170" i="11" s="1"/>
  <c r="S168" i="11"/>
  <c r="F165" i="11"/>
  <c r="F167" i="11" s="1"/>
  <c r="G165" i="11"/>
  <c r="G167" i="11" s="1"/>
  <c r="H165" i="11"/>
  <c r="H167" i="11" s="1"/>
  <c r="I165" i="11"/>
  <c r="I167" i="11" s="1"/>
  <c r="J165" i="11"/>
  <c r="J167" i="11" s="1"/>
  <c r="K165" i="11"/>
  <c r="K167" i="11" s="1"/>
  <c r="L165" i="11"/>
  <c r="L167" i="11" s="1"/>
  <c r="M165" i="11"/>
  <c r="N165" i="11"/>
  <c r="N167" i="11" s="1"/>
  <c r="O165" i="11"/>
  <c r="O167" i="11" s="1"/>
  <c r="P165" i="11"/>
  <c r="P167" i="11" s="1"/>
  <c r="Q165" i="11"/>
  <c r="Q167" i="11" s="1"/>
  <c r="R165" i="11"/>
  <c r="R167" i="11" s="1"/>
  <c r="S165" i="11"/>
  <c r="S167" i="11" s="1"/>
  <c r="F162" i="11"/>
  <c r="F164" i="11" s="1"/>
  <c r="G162" i="11"/>
  <c r="H162" i="11"/>
  <c r="H164" i="11" s="1"/>
  <c r="I162" i="11"/>
  <c r="I164" i="11" s="1"/>
  <c r="J162" i="11"/>
  <c r="J164" i="11" s="1"/>
  <c r="K162" i="11"/>
  <c r="K164" i="11" s="1"/>
  <c r="L162" i="11"/>
  <c r="L164" i="11" s="1"/>
  <c r="M162" i="11"/>
  <c r="M164" i="11" s="1"/>
  <c r="N162" i="11"/>
  <c r="N164" i="11" s="1"/>
  <c r="O162" i="11"/>
  <c r="P162" i="11"/>
  <c r="P164" i="11" s="1"/>
  <c r="Q162" i="11"/>
  <c r="Q164" i="11" s="1"/>
  <c r="R162" i="11"/>
  <c r="R164" i="11" s="1"/>
  <c r="S162" i="11"/>
  <c r="S164" i="11" s="1"/>
  <c r="F159" i="11"/>
  <c r="F161" i="11" s="1"/>
  <c r="G159" i="11"/>
  <c r="G161" i="11" s="1"/>
  <c r="H159" i="11"/>
  <c r="H161" i="11" s="1"/>
  <c r="I159" i="11"/>
  <c r="J159" i="11"/>
  <c r="J161" i="11" s="1"/>
  <c r="K159" i="11"/>
  <c r="K161" i="11" s="1"/>
  <c r="L159" i="11"/>
  <c r="L161" i="11" s="1"/>
  <c r="M159" i="11"/>
  <c r="M161" i="11" s="1"/>
  <c r="N159" i="11"/>
  <c r="N161" i="11" s="1"/>
  <c r="O159" i="11"/>
  <c r="O161" i="11" s="1"/>
  <c r="P159" i="11"/>
  <c r="P161" i="11" s="1"/>
  <c r="Q159" i="11"/>
  <c r="R159" i="11"/>
  <c r="R161" i="11" s="1"/>
  <c r="S159" i="11"/>
  <c r="S161" i="11" s="1"/>
  <c r="F156" i="11"/>
  <c r="F158" i="11" s="1"/>
  <c r="G156" i="11"/>
  <c r="G158" i="11" s="1"/>
  <c r="H156" i="11"/>
  <c r="H158" i="11" s="1"/>
  <c r="I156" i="11"/>
  <c r="I158" i="11" s="1"/>
  <c r="J156" i="11"/>
  <c r="J158" i="11" s="1"/>
  <c r="K156" i="11"/>
  <c r="L156" i="11"/>
  <c r="L158" i="11" s="1"/>
  <c r="M156" i="11"/>
  <c r="M158" i="11" s="1"/>
  <c r="N156" i="11"/>
  <c r="N158" i="11" s="1"/>
  <c r="O156" i="11"/>
  <c r="O158" i="11" s="1"/>
  <c r="P156" i="11"/>
  <c r="P158" i="11" s="1"/>
  <c r="Q156" i="11"/>
  <c r="Q158" i="11" s="1"/>
  <c r="R156" i="11"/>
  <c r="R158" i="11" s="1"/>
  <c r="S156" i="11"/>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E4" i="10"/>
  <c r="E5" i="10"/>
  <c r="E6" i="10"/>
  <c r="E7" i="10"/>
  <c r="E8" i="10"/>
  <c r="E9" i="10"/>
  <c r="E10" i="10"/>
  <c r="E11" i="10"/>
  <c r="E12" i="10"/>
  <c r="E13" i="10"/>
  <c r="E14" i="10"/>
  <c r="E15" i="10"/>
  <c r="E16" i="10"/>
  <c r="E17" i="10"/>
  <c r="E18" i="10"/>
  <c r="E19" i="10"/>
  <c r="E20" i="10"/>
  <c r="E21" i="10"/>
  <c r="E22" i="10"/>
  <c r="E23" i="10"/>
  <c r="E24" i="10"/>
  <c r="E25" i="10"/>
  <c r="E26" i="10"/>
  <c r="E27" i="10"/>
  <c r="E28" i="10"/>
  <c r="E29" i="10"/>
  <c r="E30" i="10"/>
  <c r="E31" i="10"/>
  <c r="E32" i="10"/>
  <c r="E33" i="10"/>
  <c r="E34" i="10"/>
  <c r="E35" i="10"/>
  <c r="E36" i="10"/>
  <c r="E37" i="10"/>
  <c r="E38" i="10"/>
  <c r="E39" i="10"/>
  <c r="E40" i="10"/>
  <c r="E41" i="10"/>
  <c r="E42" i="10"/>
  <c r="E43" i="10"/>
  <c r="E44" i="10"/>
  <c r="E45" i="10"/>
  <c r="E46" i="10"/>
  <c r="E47" i="10"/>
  <c r="E48" i="10"/>
  <c r="E49" i="10"/>
  <c r="E50" i="10"/>
  <c r="E51" i="10"/>
  <c r="E52" i="10"/>
  <c r="E53" i="10"/>
  <c r="E54" i="10"/>
  <c r="E55" i="10"/>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R68" i="7" l="1"/>
  <c r="R80" i="7"/>
  <c r="R92" i="7"/>
  <c r="R104" i="7"/>
  <c r="R116" i="7"/>
  <c r="R128" i="7"/>
  <c r="R152" i="7"/>
  <c r="R62" i="7"/>
  <c r="R74" i="7"/>
  <c r="R86" i="7"/>
  <c r="R98" i="7"/>
  <c r="R110" i="7"/>
  <c r="R122" i="7"/>
  <c r="R134" i="7"/>
  <c r="R146" i="7"/>
  <c r="F116" i="7"/>
  <c r="F104" i="7"/>
  <c r="F80" i="7"/>
  <c r="U47" i="15"/>
  <c r="S158" i="11"/>
  <c r="K158" i="11"/>
  <c r="Q161" i="11"/>
  <c r="I161" i="11"/>
  <c r="O164" i="11"/>
  <c r="G164" i="11"/>
  <c r="M167" i="11"/>
  <c r="S170" i="11"/>
  <c r="K170" i="11"/>
  <c r="G53" i="14"/>
  <c r="G45" i="14"/>
  <c r="G37" i="14"/>
  <c r="G29" i="14"/>
  <c r="G21" i="14"/>
  <c r="G13" i="14"/>
  <c r="G5" i="14"/>
  <c r="U164" i="15"/>
  <c r="U170" i="15"/>
  <c r="U140" i="1"/>
  <c r="U146" i="1"/>
  <c r="U152" i="1"/>
  <c r="U158" i="1"/>
  <c r="U161" i="15"/>
  <c r="U167" i="15"/>
  <c r="T140" i="1"/>
  <c r="T146" i="1"/>
  <c r="T152" i="1"/>
  <c r="T158" i="1"/>
  <c r="U11" i="15"/>
  <c r="T161" i="15"/>
  <c r="T167" i="15"/>
  <c r="G57" i="4"/>
  <c r="G55" i="4"/>
  <c r="G53" i="4"/>
  <c r="G51" i="4"/>
  <c r="G49" i="4"/>
  <c r="G47" i="4"/>
  <c r="G45" i="4"/>
  <c r="G43" i="4"/>
  <c r="G41" i="4"/>
  <c r="G39" i="4"/>
  <c r="G37" i="4"/>
  <c r="G35" i="4"/>
  <c r="G33" i="4"/>
  <c r="G31" i="4"/>
  <c r="G29" i="4"/>
  <c r="G27" i="4"/>
  <c r="G25" i="4"/>
  <c r="G23" i="4"/>
  <c r="G21" i="4"/>
  <c r="G17" i="4"/>
  <c r="G15" i="4"/>
  <c r="G13" i="4"/>
  <c r="G11" i="4"/>
  <c r="G9" i="4"/>
  <c r="G7" i="4"/>
  <c r="G5" i="4"/>
  <c r="G55" i="10"/>
  <c r="G53" i="10"/>
  <c r="G51" i="10"/>
  <c r="G49" i="10"/>
  <c r="G47" i="10"/>
  <c r="G45" i="10"/>
  <c r="G43" i="10"/>
  <c r="G41" i="10"/>
  <c r="G39" i="10"/>
  <c r="G37" i="10"/>
  <c r="G35" i="10"/>
  <c r="G33" i="10"/>
  <c r="G31" i="10"/>
  <c r="G29" i="10"/>
  <c r="G27" i="10"/>
  <c r="G25" i="10"/>
  <c r="G23" i="10"/>
  <c r="G21" i="10"/>
  <c r="G19" i="10"/>
  <c r="G17" i="10"/>
  <c r="G15" i="10"/>
  <c r="G13" i="10"/>
  <c r="G11" i="10"/>
  <c r="G9" i="10"/>
  <c r="G7" i="10"/>
  <c r="G5" i="10"/>
  <c r="T8" i="15"/>
  <c r="G57" i="18"/>
  <c r="G55" i="18"/>
  <c r="G53" i="18"/>
  <c r="G51" i="18"/>
  <c r="G49" i="18"/>
  <c r="G47" i="18"/>
  <c r="G45" i="18"/>
  <c r="G43" i="18"/>
  <c r="G41" i="18"/>
  <c r="G39" i="18"/>
  <c r="G37" i="18"/>
  <c r="G35" i="18"/>
  <c r="G33" i="18"/>
  <c r="G31" i="18"/>
  <c r="G29" i="18"/>
  <c r="G27" i="18"/>
  <c r="G25" i="18"/>
  <c r="G23" i="18"/>
  <c r="G21" i="18"/>
  <c r="G19" i="18"/>
  <c r="G17" i="18"/>
  <c r="G15" i="18"/>
  <c r="G13" i="18"/>
  <c r="G11" i="18"/>
  <c r="G9" i="18"/>
  <c r="G7" i="18"/>
  <c r="G5" i="18"/>
  <c r="T137" i="15"/>
  <c r="G19" i="4"/>
  <c r="R89" i="7"/>
  <c r="F158" i="7"/>
  <c r="F65" i="7"/>
  <c r="F56" i="7"/>
  <c r="F98" i="7"/>
  <c r="F149" i="7"/>
  <c r="F140" i="7"/>
  <c r="F32" i="7"/>
  <c r="F26" i="7"/>
  <c r="F50" i="7"/>
  <c r="G58" i="4"/>
  <c r="G56" i="4"/>
  <c r="G54" i="4"/>
  <c r="G52" i="4"/>
  <c r="G50" i="4"/>
  <c r="G48" i="4"/>
  <c r="G46" i="4"/>
  <c r="G44" i="4"/>
  <c r="G42" i="4"/>
  <c r="G40" i="4"/>
  <c r="G38" i="4"/>
  <c r="G36" i="4"/>
  <c r="G34" i="4"/>
  <c r="G32" i="4"/>
  <c r="G30" i="4"/>
  <c r="G28" i="4"/>
  <c r="G26" i="4"/>
  <c r="G24" i="4"/>
  <c r="G22" i="4"/>
  <c r="G20" i="4"/>
  <c r="G18" i="4"/>
  <c r="G16" i="4"/>
  <c r="G14" i="4"/>
  <c r="G12" i="4"/>
  <c r="G10" i="4"/>
  <c r="G8" i="4"/>
  <c r="G6" i="4"/>
  <c r="G4" i="4"/>
  <c r="G54" i="10"/>
  <c r="G52" i="10"/>
  <c r="G50" i="10"/>
  <c r="G48" i="10"/>
  <c r="G46" i="10"/>
  <c r="G44" i="10"/>
  <c r="G42" i="10"/>
  <c r="G40" i="10"/>
  <c r="G38" i="10"/>
  <c r="G36" i="10"/>
  <c r="G34" i="10"/>
  <c r="G32" i="10"/>
  <c r="G30" i="10"/>
  <c r="G28" i="10"/>
  <c r="G26" i="10"/>
  <c r="G24" i="10"/>
  <c r="G22" i="10"/>
  <c r="G20" i="10"/>
  <c r="G18" i="10"/>
  <c r="G16" i="10"/>
  <c r="G14" i="10"/>
  <c r="G12" i="10"/>
  <c r="G10" i="10"/>
  <c r="G8" i="10"/>
  <c r="G6" i="10"/>
  <c r="G4" i="10"/>
  <c r="G58" i="14"/>
  <c r="G56" i="14"/>
  <c r="G52" i="14"/>
  <c r="G50" i="14"/>
  <c r="G48" i="14"/>
  <c r="G46" i="14"/>
  <c r="G44" i="14"/>
  <c r="G42" i="14"/>
  <c r="G40" i="14"/>
  <c r="G38" i="14"/>
  <c r="G36" i="14"/>
  <c r="G34" i="14"/>
  <c r="G32" i="14"/>
  <c r="G30" i="14"/>
  <c r="G28" i="14"/>
  <c r="G26" i="14"/>
  <c r="G24" i="14"/>
  <c r="G22" i="14"/>
  <c r="G20" i="14"/>
  <c r="G18" i="14"/>
  <c r="G16" i="14"/>
  <c r="G14" i="14"/>
  <c r="G12" i="14"/>
  <c r="G10" i="14"/>
  <c r="G8" i="14"/>
  <c r="G6" i="14"/>
  <c r="G4" i="14"/>
  <c r="U8" i="15"/>
  <c r="G58" i="18"/>
  <c r="G56" i="18"/>
  <c r="G54" i="18"/>
  <c r="G52" i="18"/>
  <c r="G50" i="18"/>
  <c r="G48" i="18"/>
  <c r="G46" i="18"/>
  <c r="G44" i="18"/>
  <c r="G42" i="18"/>
  <c r="G40" i="18"/>
  <c r="G38" i="18"/>
  <c r="G36" i="18"/>
  <c r="G34" i="18"/>
  <c r="G32" i="18"/>
  <c r="G30" i="18"/>
  <c r="G28" i="18"/>
  <c r="G26" i="18"/>
  <c r="G24" i="18"/>
  <c r="G22" i="18"/>
  <c r="G20" i="18"/>
  <c r="G18" i="18"/>
  <c r="G16" i="18"/>
  <c r="G14" i="18"/>
  <c r="G12" i="18"/>
  <c r="G10" i="18"/>
  <c r="G8" i="18"/>
  <c r="G6" i="18"/>
  <c r="G4" i="18"/>
  <c r="R8" i="7"/>
  <c r="R11" i="7"/>
  <c r="R14" i="7"/>
  <c r="R17" i="7"/>
  <c r="R20" i="7"/>
  <c r="R23" i="7"/>
  <c r="R26" i="7"/>
  <c r="R29" i="7"/>
  <c r="R32" i="7"/>
  <c r="R35" i="7"/>
  <c r="R38" i="7"/>
  <c r="R41" i="7"/>
  <c r="R44" i="7"/>
  <c r="R47" i="7"/>
  <c r="R50" i="7"/>
  <c r="R53" i="7"/>
  <c r="R56" i="7"/>
  <c r="F152" i="7"/>
  <c r="F146" i="7"/>
  <c r="F128" i="7"/>
  <c r="F122" i="7"/>
  <c r="F92" i="7"/>
  <c r="F86" i="7"/>
  <c r="F68" i="7"/>
  <c r="F62" i="7"/>
  <c r="F44" i="7"/>
  <c r="F38" i="7"/>
  <c r="F20" i="7"/>
  <c r="F155" i="7"/>
  <c r="F134" i="7"/>
  <c r="F131" i="7"/>
  <c r="F110" i="7"/>
  <c r="F107" i="7"/>
  <c r="F83" i="7"/>
  <c r="F59" i="7"/>
  <c r="F35" i="7"/>
  <c r="F143" i="7"/>
  <c r="F119" i="7"/>
  <c r="F95" i="7"/>
  <c r="F74" i="7"/>
  <c r="F71" i="7"/>
  <c r="F47" i="7"/>
  <c r="F23" i="7"/>
  <c r="R59" i="7"/>
  <c r="F4" i="49"/>
  <c r="F5" i="49"/>
  <c r="F6" i="49"/>
  <c r="F7" i="49"/>
  <c r="F8" i="49"/>
  <c r="F9" i="49"/>
  <c r="F10" i="49"/>
  <c r="F11" i="49"/>
  <c r="F12" i="49"/>
  <c r="F13" i="49"/>
  <c r="F14" i="49"/>
  <c r="F15" i="49"/>
  <c r="F16" i="49"/>
  <c r="F17" i="49"/>
  <c r="F18" i="49"/>
  <c r="F19" i="49"/>
  <c r="F20" i="49"/>
  <c r="F21" i="49"/>
  <c r="F22" i="49"/>
  <c r="F23" i="49"/>
  <c r="F24" i="49"/>
  <c r="F25" i="49"/>
  <c r="F26" i="49"/>
  <c r="F27" i="49"/>
  <c r="F28" i="49"/>
  <c r="F29" i="49"/>
  <c r="F30" i="49"/>
  <c r="F31" i="49"/>
  <c r="F32" i="49"/>
  <c r="F33" i="49"/>
  <c r="F34" i="49"/>
  <c r="F35" i="49"/>
  <c r="F36" i="49"/>
  <c r="F37" i="49"/>
  <c r="F38" i="49"/>
  <c r="F39" i="49"/>
  <c r="F40" i="49"/>
  <c r="F41" i="49"/>
  <c r="F42" i="49"/>
  <c r="F43" i="49"/>
  <c r="F44" i="49"/>
  <c r="F45" i="49"/>
  <c r="F46" i="49"/>
  <c r="F47" i="49"/>
  <c r="F48" i="49"/>
  <c r="F49" i="49"/>
  <c r="F50" i="49"/>
  <c r="F51" i="49"/>
  <c r="F52" i="49"/>
  <c r="F53" i="49"/>
  <c r="F54" i="49"/>
  <c r="F55" i="49"/>
  <c r="F56" i="49"/>
  <c r="F57" i="49"/>
  <c r="F58" i="49"/>
  <c r="E4" i="49"/>
  <c r="E5" i="49"/>
  <c r="G5" i="49" s="1"/>
  <c r="E6" i="49"/>
  <c r="G6" i="49" s="1"/>
  <c r="E7" i="49"/>
  <c r="G7" i="49" s="1"/>
  <c r="E8" i="49"/>
  <c r="E9" i="49"/>
  <c r="G9" i="49" s="1"/>
  <c r="E10" i="49"/>
  <c r="E11" i="49"/>
  <c r="G11" i="49" s="1"/>
  <c r="E12" i="49"/>
  <c r="E13" i="49"/>
  <c r="G13" i="49" s="1"/>
  <c r="E14" i="49"/>
  <c r="E15" i="49"/>
  <c r="G15" i="49" s="1"/>
  <c r="E16" i="49"/>
  <c r="E17" i="49"/>
  <c r="G17" i="49" s="1"/>
  <c r="E18" i="49"/>
  <c r="E19" i="49"/>
  <c r="G19" i="49" s="1"/>
  <c r="E20" i="49"/>
  <c r="E21" i="49"/>
  <c r="G21" i="49" s="1"/>
  <c r="E22" i="49"/>
  <c r="E23" i="49"/>
  <c r="G23" i="49" s="1"/>
  <c r="E24" i="49"/>
  <c r="E25" i="49"/>
  <c r="G25" i="49" s="1"/>
  <c r="E26" i="49"/>
  <c r="E27" i="49"/>
  <c r="G27" i="49" s="1"/>
  <c r="E28" i="49"/>
  <c r="E29" i="49"/>
  <c r="G29" i="49" s="1"/>
  <c r="E30" i="49"/>
  <c r="E31" i="49"/>
  <c r="G31" i="49" s="1"/>
  <c r="E32" i="49"/>
  <c r="E33" i="49"/>
  <c r="G33" i="49" s="1"/>
  <c r="E34" i="49"/>
  <c r="E35" i="49"/>
  <c r="G35" i="49" s="1"/>
  <c r="E36" i="49"/>
  <c r="E37" i="49"/>
  <c r="G37" i="49" s="1"/>
  <c r="E38" i="49"/>
  <c r="E39" i="49"/>
  <c r="G39" i="49" s="1"/>
  <c r="E40" i="49"/>
  <c r="E41" i="49"/>
  <c r="G41" i="49" s="1"/>
  <c r="E42" i="49"/>
  <c r="E43" i="49"/>
  <c r="G43" i="49" s="1"/>
  <c r="E44" i="49"/>
  <c r="E45" i="49"/>
  <c r="G45" i="49" s="1"/>
  <c r="E46" i="49"/>
  <c r="E47" i="49"/>
  <c r="G47" i="49" s="1"/>
  <c r="E48" i="49"/>
  <c r="E49" i="49"/>
  <c r="G49" i="49" s="1"/>
  <c r="E50" i="49"/>
  <c r="E51" i="49"/>
  <c r="G51" i="49" s="1"/>
  <c r="E52" i="49"/>
  <c r="E53" i="49"/>
  <c r="G53" i="49" s="1"/>
  <c r="E54" i="49"/>
  <c r="E55" i="49"/>
  <c r="G55" i="49" s="1"/>
  <c r="E56" i="49"/>
  <c r="E57" i="49"/>
  <c r="G57" i="49" s="1"/>
  <c r="E58" i="49"/>
  <c r="R86" i="25"/>
  <c r="R85" i="25"/>
  <c r="R83" i="25"/>
  <c r="R82" i="25"/>
  <c r="R80" i="25"/>
  <c r="R79" i="25"/>
  <c r="R77" i="25"/>
  <c r="R76" i="25"/>
  <c r="R74" i="25"/>
  <c r="R73" i="25"/>
  <c r="R71" i="25"/>
  <c r="R70" i="25"/>
  <c r="R68" i="25"/>
  <c r="R67" i="25"/>
  <c r="R65" i="25"/>
  <c r="R64" i="25"/>
  <c r="R62" i="25"/>
  <c r="R61" i="25"/>
  <c r="R59" i="25"/>
  <c r="R58" i="25"/>
  <c r="R56" i="25"/>
  <c r="R55" i="25"/>
  <c r="R53" i="25"/>
  <c r="R52" i="25"/>
  <c r="R50" i="25"/>
  <c r="R49" i="25"/>
  <c r="R47" i="25"/>
  <c r="R46" i="25"/>
  <c r="R44" i="25"/>
  <c r="R43" i="25"/>
  <c r="R41" i="25"/>
  <c r="R40" i="25"/>
  <c r="R38" i="25"/>
  <c r="R37" i="25"/>
  <c r="R35" i="25"/>
  <c r="R34" i="25"/>
  <c r="R32" i="25"/>
  <c r="R31" i="25"/>
  <c r="R29" i="25"/>
  <c r="R28" i="25"/>
  <c r="R26" i="25"/>
  <c r="R25" i="25"/>
  <c r="R23" i="25"/>
  <c r="R22" i="25"/>
  <c r="R20" i="25"/>
  <c r="R19" i="25"/>
  <c r="R17" i="25"/>
  <c r="R16" i="25"/>
  <c r="R14" i="25"/>
  <c r="R13" i="25"/>
  <c r="R11" i="25"/>
  <c r="R10" i="25"/>
  <c r="R8" i="25"/>
  <c r="R7" i="25"/>
  <c r="R5" i="25"/>
  <c r="R4" i="25"/>
  <c r="F4" i="90"/>
  <c r="F5" i="90"/>
  <c r="F6" i="90"/>
  <c r="F7" i="90"/>
  <c r="F8" i="90"/>
  <c r="F9" i="90"/>
  <c r="F10" i="90"/>
  <c r="F11" i="90"/>
  <c r="F12" i="90"/>
  <c r="F13" i="90"/>
  <c r="F14" i="90"/>
  <c r="F15" i="90"/>
  <c r="F16" i="90"/>
  <c r="F17" i="90"/>
  <c r="F18" i="90"/>
  <c r="F19" i="90"/>
  <c r="F20" i="90"/>
  <c r="F21" i="90"/>
  <c r="F22" i="90"/>
  <c r="F23" i="90"/>
  <c r="F24" i="90"/>
  <c r="F25" i="90"/>
  <c r="F26" i="90"/>
  <c r="F27" i="90"/>
  <c r="F28" i="90"/>
  <c r="F29" i="90"/>
  <c r="F30" i="90"/>
  <c r="F31" i="90"/>
  <c r="F32" i="90"/>
  <c r="F33" i="90"/>
  <c r="F34" i="90"/>
  <c r="F35" i="90"/>
  <c r="F36" i="90"/>
  <c r="F37" i="90"/>
  <c r="F38" i="90"/>
  <c r="F39" i="90"/>
  <c r="F40" i="90"/>
  <c r="F41" i="90"/>
  <c r="F42" i="90"/>
  <c r="F43" i="90"/>
  <c r="F44" i="90"/>
  <c r="F45" i="90"/>
  <c r="F46" i="90"/>
  <c r="F47" i="90"/>
  <c r="F48" i="90"/>
  <c r="F49" i="90"/>
  <c r="F50" i="90"/>
  <c r="F51" i="90"/>
  <c r="F52" i="90"/>
  <c r="F53" i="90"/>
  <c r="F54" i="90"/>
  <c r="F55" i="90"/>
  <c r="F56" i="90"/>
  <c r="F57" i="90"/>
  <c r="F58" i="90"/>
  <c r="E4" i="90"/>
  <c r="E5" i="90"/>
  <c r="G5" i="90" s="1"/>
  <c r="E6" i="90"/>
  <c r="E7" i="90"/>
  <c r="E8" i="90"/>
  <c r="E9" i="90"/>
  <c r="G9" i="90" s="1"/>
  <c r="E10" i="90"/>
  <c r="E11" i="90"/>
  <c r="E12" i="90"/>
  <c r="E13" i="90"/>
  <c r="G13" i="90" s="1"/>
  <c r="E14" i="90"/>
  <c r="E15" i="90"/>
  <c r="E16" i="90"/>
  <c r="E17" i="90"/>
  <c r="G17" i="90" s="1"/>
  <c r="E18" i="90"/>
  <c r="E19" i="90"/>
  <c r="E20" i="90"/>
  <c r="E21" i="90"/>
  <c r="G21" i="90" s="1"/>
  <c r="E22" i="90"/>
  <c r="E23" i="90"/>
  <c r="E24" i="90"/>
  <c r="E25" i="90"/>
  <c r="G25" i="90" s="1"/>
  <c r="E26" i="90"/>
  <c r="E27" i="90"/>
  <c r="E28" i="90"/>
  <c r="E29" i="90"/>
  <c r="G29" i="90" s="1"/>
  <c r="E30" i="90"/>
  <c r="E31" i="90"/>
  <c r="E32" i="90"/>
  <c r="E33" i="90"/>
  <c r="G33" i="90" s="1"/>
  <c r="E34" i="90"/>
  <c r="E35" i="90"/>
  <c r="E36" i="90"/>
  <c r="E37" i="90"/>
  <c r="G37" i="90" s="1"/>
  <c r="E38" i="90"/>
  <c r="E39" i="90"/>
  <c r="E40" i="90"/>
  <c r="E41" i="90"/>
  <c r="G41" i="90" s="1"/>
  <c r="E42" i="90"/>
  <c r="G42" i="90" s="1"/>
  <c r="E43" i="90"/>
  <c r="E44" i="90"/>
  <c r="E45" i="90"/>
  <c r="G45" i="90" s="1"/>
  <c r="E46" i="90"/>
  <c r="E47" i="90"/>
  <c r="E48" i="90"/>
  <c r="E49" i="90"/>
  <c r="G49" i="90" s="1"/>
  <c r="E50" i="90"/>
  <c r="G50" i="90" s="1"/>
  <c r="E51" i="90"/>
  <c r="E52" i="90"/>
  <c r="E53" i="90"/>
  <c r="G53" i="90" s="1"/>
  <c r="E54" i="90"/>
  <c r="E55" i="90"/>
  <c r="E56" i="90"/>
  <c r="E57" i="90"/>
  <c r="G57" i="90" s="1"/>
  <c r="E58" i="90"/>
  <c r="G58" i="90" s="1"/>
  <c r="R86" i="87"/>
  <c r="R85" i="87"/>
  <c r="R83" i="87"/>
  <c r="R82" i="87"/>
  <c r="R80" i="87"/>
  <c r="R79" i="87"/>
  <c r="R77" i="87"/>
  <c r="R76" i="87"/>
  <c r="R74" i="87"/>
  <c r="R73" i="87"/>
  <c r="R71" i="87"/>
  <c r="R70" i="87"/>
  <c r="R68" i="87"/>
  <c r="R67" i="87"/>
  <c r="R65" i="87"/>
  <c r="R64" i="87"/>
  <c r="R62" i="87"/>
  <c r="R61" i="87"/>
  <c r="R59" i="87"/>
  <c r="R58" i="87"/>
  <c r="R56" i="87"/>
  <c r="R55" i="87"/>
  <c r="R53" i="87"/>
  <c r="R52" i="87"/>
  <c r="R50" i="87"/>
  <c r="R49" i="87"/>
  <c r="R47" i="87"/>
  <c r="R46" i="87"/>
  <c r="R44" i="87"/>
  <c r="R43" i="87"/>
  <c r="R41" i="87"/>
  <c r="R40" i="87"/>
  <c r="R38" i="87"/>
  <c r="R37" i="87"/>
  <c r="R35" i="87"/>
  <c r="R34" i="87"/>
  <c r="R32" i="87"/>
  <c r="R31" i="87"/>
  <c r="R29" i="87"/>
  <c r="R28" i="87"/>
  <c r="R26" i="87"/>
  <c r="R25" i="87"/>
  <c r="R23" i="87"/>
  <c r="R22" i="87"/>
  <c r="R20" i="87"/>
  <c r="R19" i="87"/>
  <c r="R17" i="87"/>
  <c r="R16" i="87"/>
  <c r="R14" i="87"/>
  <c r="R13" i="87"/>
  <c r="R11" i="87"/>
  <c r="R10" i="87"/>
  <c r="R8" i="87"/>
  <c r="R7" i="87"/>
  <c r="R5" i="87"/>
  <c r="R4" i="87"/>
  <c r="F92" i="87"/>
  <c r="G92" i="87"/>
  <c r="H92" i="87"/>
  <c r="I92" i="87"/>
  <c r="J92" i="87"/>
  <c r="K92" i="87"/>
  <c r="L92" i="87"/>
  <c r="M92" i="87"/>
  <c r="N92" i="87"/>
  <c r="O92" i="87"/>
  <c r="P92" i="87"/>
  <c r="Q92" i="87"/>
  <c r="R92" i="87"/>
  <c r="R89" i="87"/>
  <c r="R88" i="87"/>
  <c r="F91" i="87"/>
  <c r="G91" i="87"/>
  <c r="G93" i="87" s="1"/>
  <c r="H91" i="87"/>
  <c r="H93" i="87" s="1"/>
  <c r="I91" i="87"/>
  <c r="J91" i="87"/>
  <c r="K91" i="87"/>
  <c r="L91" i="87"/>
  <c r="L93" i="87" s="1"/>
  <c r="M91" i="87"/>
  <c r="M93" i="87" s="1"/>
  <c r="N91" i="87"/>
  <c r="O91" i="87"/>
  <c r="O93" i="87" s="1"/>
  <c r="P91" i="87"/>
  <c r="P93" i="87" s="1"/>
  <c r="Q91" i="87"/>
  <c r="Q93" i="87" s="1"/>
  <c r="R91" i="87"/>
  <c r="Q89" i="87"/>
  <c r="P89" i="87"/>
  <c r="O89" i="87"/>
  <c r="N89" i="87"/>
  <c r="M89" i="87"/>
  <c r="L89" i="87"/>
  <c r="K89" i="87"/>
  <c r="J89" i="87"/>
  <c r="I89" i="87"/>
  <c r="H89" i="87"/>
  <c r="G89" i="87"/>
  <c r="F89" i="87"/>
  <c r="Q88" i="87"/>
  <c r="Q90" i="87" s="1"/>
  <c r="P88" i="87"/>
  <c r="O88" i="87"/>
  <c r="N88" i="87"/>
  <c r="N90" i="87" s="1"/>
  <c r="M88" i="87"/>
  <c r="L88" i="87"/>
  <c r="L90" i="87" s="1"/>
  <c r="K88" i="87"/>
  <c r="J88" i="87"/>
  <c r="J90" i="87" s="1"/>
  <c r="I88" i="87"/>
  <c r="I90" i="87" s="1"/>
  <c r="H88" i="87"/>
  <c r="G88" i="87"/>
  <c r="G90" i="87" s="1"/>
  <c r="F88" i="87"/>
  <c r="F90" i="87" s="1"/>
  <c r="Q86" i="87"/>
  <c r="P86" i="87"/>
  <c r="O86" i="87"/>
  <c r="N86" i="87"/>
  <c r="M86" i="87"/>
  <c r="L86" i="87"/>
  <c r="K86" i="87"/>
  <c r="J86" i="87"/>
  <c r="I86" i="87"/>
  <c r="H86" i="87"/>
  <c r="G86" i="87"/>
  <c r="F86" i="87"/>
  <c r="Q85" i="87"/>
  <c r="Q87" i="87" s="1"/>
  <c r="P85" i="87"/>
  <c r="O85" i="87"/>
  <c r="O87" i="87" s="1"/>
  <c r="N85" i="87"/>
  <c r="N87" i="87" s="1"/>
  <c r="M85" i="87"/>
  <c r="L85" i="87"/>
  <c r="L87" i="87" s="1"/>
  <c r="K85" i="87"/>
  <c r="J85" i="87"/>
  <c r="I85" i="87"/>
  <c r="I87" i="87" s="1"/>
  <c r="H85" i="87"/>
  <c r="G85" i="87"/>
  <c r="G87" i="87" s="1"/>
  <c r="F85" i="87"/>
  <c r="F87" i="87" s="1"/>
  <c r="Q83" i="87"/>
  <c r="P83" i="87"/>
  <c r="O83" i="87"/>
  <c r="N83" i="87"/>
  <c r="M83" i="87"/>
  <c r="L83" i="87"/>
  <c r="K83" i="87"/>
  <c r="J83" i="87"/>
  <c r="I83" i="87"/>
  <c r="H83" i="87"/>
  <c r="G83" i="87"/>
  <c r="F83" i="87"/>
  <c r="Q82" i="87"/>
  <c r="Q84" i="87" s="1"/>
  <c r="P82" i="87"/>
  <c r="O82" i="87"/>
  <c r="O84" i="87" s="1"/>
  <c r="N82" i="87"/>
  <c r="N84" i="87" s="1"/>
  <c r="M82" i="87"/>
  <c r="L82" i="87"/>
  <c r="L84" i="87" s="1"/>
  <c r="K82" i="87"/>
  <c r="J82" i="87"/>
  <c r="I82" i="87"/>
  <c r="I84" i="87" s="1"/>
  <c r="H82" i="87"/>
  <c r="G82" i="87"/>
  <c r="G84" i="87" s="1"/>
  <c r="F82" i="87"/>
  <c r="F84" i="87" s="1"/>
  <c r="Q80" i="87"/>
  <c r="P80" i="87"/>
  <c r="O80" i="87"/>
  <c r="N80" i="87"/>
  <c r="M80" i="87"/>
  <c r="L80" i="87"/>
  <c r="K80" i="87"/>
  <c r="J80" i="87"/>
  <c r="I80" i="87"/>
  <c r="H80" i="87"/>
  <c r="G80" i="87"/>
  <c r="F80" i="87"/>
  <c r="Q79" i="87"/>
  <c r="Q81" i="87" s="1"/>
  <c r="P79" i="87"/>
  <c r="O79" i="87"/>
  <c r="O81" i="87" s="1"/>
  <c r="N79" i="87"/>
  <c r="N81" i="87" s="1"/>
  <c r="M79" i="87"/>
  <c r="L79" i="87"/>
  <c r="L81" i="87" s="1"/>
  <c r="K79" i="87"/>
  <c r="J79" i="87"/>
  <c r="I79" i="87"/>
  <c r="I81" i="87" s="1"/>
  <c r="H79" i="87"/>
  <c r="G79" i="87"/>
  <c r="G81" i="87" s="1"/>
  <c r="F79" i="87"/>
  <c r="F81" i="87" s="1"/>
  <c r="Q77" i="87"/>
  <c r="P77" i="87"/>
  <c r="O77" i="87"/>
  <c r="N77" i="87"/>
  <c r="M77" i="87"/>
  <c r="L77" i="87"/>
  <c r="K77" i="87"/>
  <c r="J77" i="87"/>
  <c r="I77" i="87"/>
  <c r="H77" i="87"/>
  <c r="G77" i="87"/>
  <c r="F77" i="87"/>
  <c r="Q76" i="87"/>
  <c r="Q78" i="87" s="1"/>
  <c r="P76" i="87"/>
  <c r="O76" i="87"/>
  <c r="O78" i="87" s="1"/>
  <c r="N76" i="87"/>
  <c r="N78" i="87" s="1"/>
  <c r="M76" i="87"/>
  <c r="L76" i="87"/>
  <c r="L78" i="87" s="1"/>
  <c r="K76" i="87"/>
  <c r="J76" i="87"/>
  <c r="I76" i="87"/>
  <c r="I78" i="87" s="1"/>
  <c r="H76" i="87"/>
  <c r="G76" i="87"/>
  <c r="G78" i="87" s="1"/>
  <c r="F76" i="87"/>
  <c r="F78" i="87" s="1"/>
  <c r="Q74" i="87"/>
  <c r="P74" i="87"/>
  <c r="O74" i="87"/>
  <c r="N74" i="87"/>
  <c r="M74" i="87"/>
  <c r="L74" i="87"/>
  <c r="K74" i="87"/>
  <c r="J74" i="87"/>
  <c r="I74" i="87"/>
  <c r="H74" i="87"/>
  <c r="G74" i="87"/>
  <c r="F74" i="87"/>
  <c r="Q73" i="87"/>
  <c r="Q75" i="87" s="1"/>
  <c r="P73" i="87"/>
  <c r="O73" i="87"/>
  <c r="O75" i="87" s="1"/>
  <c r="N73" i="87"/>
  <c r="N75" i="87" s="1"/>
  <c r="M73" i="87"/>
  <c r="L73" i="87"/>
  <c r="L75" i="87" s="1"/>
  <c r="K73" i="87"/>
  <c r="J73" i="87"/>
  <c r="I73" i="87"/>
  <c r="I75" i="87" s="1"/>
  <c r="H73" i="87"/>
  <c r="G73" i="87"/>
  <c r="G75" i="87" s="1"/>
  <c r="F73" i="87"/>
  <c r="F75" i="87" s="1"/>
  <c r="Q71" i="87"/>
  <c r="P71" i="87"/>
  <c r="O71" i="87"/>
  <c r="N71" i="87"/>
  <c r="M71" i="87"/>
  <c r="L71" i="87"/>
  <c r="K71" i="87"/>
  <c r="J71" i="87"/>
  <c r="I71" i="87"/>
  <c r="H71" i="87"/>
  <c r="G71" i="87"/>
  <c r="F71" i="87"/>
  <c r="Q70" i="87"/>
  <c r="Q72" i="87" s="1"/>
  <c r="P70" i="87"/>
  <c r="O70" i="87"/>
  <c r="O72" i="87" s="1"/>
  <c r="N70" i="87"/>
  <c r="N72" i="87" s="1"/>
  <c r="M70" i="87"/>
  <c r="L70" i="87"/>
  <c r="L72" i="87" s="1"/>
  <c r="K70" i="87"/>
  <c r="J70" i="87"/>
  <c r="I70" i="87"/>
  <c r="I72" i="87" s="1"/>
  <c r="H70" i="87"/>
  <c r="G70" i="87"/>
  <c r="G72" i="87" s="1"/>
  <c r="F70" i="87"/>
  <c r="F72" i="87" s="1"/>
  <c r="Q68" i="87"/>
  <c r="P68" i="87"/>
  <c r="O68" i="87"/>
  <c r="N68" i="87"/>
  <c r="M68" i="87"/>
  <c r="L68" i="87"/>
  <c r="K68" i="87"/>
  <c r="J68" i="87"/>
  <c r="I68" i="87"/>
  <c r="H68" i="87"/>
  <c r="G68" i="87"/>
  <c r="F68" i="87"/>
  <c r="Q67" i="87"/>
  <c r="Q69" i="87" s="1"/>
  <c r="P67" i="87"/>
  <c r="O67" i="87"/>
  <c r="O69" i="87" s="1"/>
  <c r="N67" i="87"/>
  <c r="N69" i="87" s="1"/>
  <c r="M67" i="87"/>
  <c r="L67" i="87"/>
  <c r="L69" i="87" s="1"/>
  <c r="K67" i="87"/>
  <c r="J67" i="87"/>
  <c r="I67" i="87"/>
  <c r="I69" i="87" s="1"/>
  <c r="H67" i="87"/>
  <c r="G67" i="87"/>
  <c r="G69" i="87" s="1"/>
  <c r="F67" i="87"/>
  <c r="F69" i="87" s="1"/>
  <c r="Q65" i="87"/>
  <c r="P65" i="87"/>
  <c r="O65" i="87"/>
  <c r="N65" i="87"/>
  <c r="M65" i="87"/>
  <c r="L65" i="87"/>
  <c r="K65" i="87"/>
  <c r="J65" i="87"/>
  <c r="I65" i="87"/>
  <c r="H65" i="87"/>
  <c r="G65" i="87"/>
  <c r="F65" i="87"/>
  <c r="Q64" i="87"/>
  <c r="Q66" i="87" s="1"/>
  <c r="P64" i="87"/>
  <c r="O64" i="87"/>
  <c r="O66" i="87" s="1"/>
  <c r="N64" i="87"/>
  <c r="N66" i="87" s="1"/>
  <c r="M64" i="87"/>
  <c r="L64" i="87"/>
  <c r="L66" i="87" s="1"/>
  <c r="K64" i="87"/>
  <c r="J64" i="87"/>
  <c r="I64" i="87"/>
  <c r="I66" i="87" s="1"/>
  <c r="H64" i="87"/>
  <c r="G64" i="87"/>
  <c r="G66" i="87" s="1"/>
  <c r="F64" i="87"/>
  <c r="F66" i="87" s="1"/>
  <c r="Q62" i="87"/>
  <c r="P62" i="87"/>
  <c r="O62" i="87"/>
  <c r="N62" i="87"/>
  <c r="M62" i="87"/>
  <c r="L62" i="87"/>
  <c r="K62" i="87"/>
  <c r="J62" i="87"/>
  <c r="I62" i="87"/>
  <c r="H62" i="87"/>
  <c r="G62" i="87"/>
  <c r="F62" i="87"/>
  <c r="Q61" i="87"/>
  <c r="Q63" i="87" s="1"/>
  <c r="P61" i="87"/>
  <c r="O61" i="87"/>
  <c r="O63" i="87" s="1"/>
  <c r="N61" i="87"/>
  <c r="N63" i="87" s="1"/>
  <c r="M61" i="87"/>
  <c r="L61" i="87"/>
  <c r="L63" i="87" s="1"/>
  <c r="K61" i="87"/>
  <c r="J61" i="87"/>
  <c r="I61" i="87"/>
  <c r="I63" i="87" s="1"/>
  <c r="H61" i="87"/>
  <c r="G61" i="87"/>
  <c r="G63" i="87" s="1"/>
  <c r="F61" i="87"/>
  <c r="F63" i="87" s="1"/>
  <c r="Q59" i="87"/>
  <c r="P59" i="87"/>
  <c r="O59" i="87"/>
  <c r="N59" i="87"/>
  <c r="M59" i="87"/>
  <c r="L59" i="87"/>
  <c r="K59" i="87"/>
  <c r="J59" i="87"/>
  <c r="I59" i="87"/>
  <c r="H59" i="87"/>
  <c r="G59" i="87"/>
  <c r="F59" i="87"/>
  <c r="Q58" i="87"/>
  <c r="Q60" i="87" s="1"/>
  <c r="P58" i="87"/>
  <c r="O58" i="87"/>
  <c r="O60" i="87" s="1"/>
  <c r="N58" i="87"/>
  <c r="N60" i="87" s="1"/>
  <c r="M58" i="87"/>
  <c r="L58" i="87"/>
  <c r="L60" i="87" s="1"/>
  <c r="K58" i="87"/>
  <c r="J58" i="87"/>
  <c r="I58" i="87"/>
  <c r="I60" i="87" s="1"/>
  <c r="H58" i="87"/>
  <c r="G58" i="87"/>
  <c r="G60" i="87" s="1"/>
  <c r="F58" i="87"/>
  <c r="F60" i="87" s="1"/>
  <c r="Q56" i="87"/>
  <c r="P56" i="87"/>
  <c r="O56" i="87"/>
  <c r="N56" i="87"/>
  <c r="M56" i="87"/>
  <c r="L56" i="87"/>
  <c r="K56" i="87"/>
  <c r="J56" i="87"/>
  <c r="I56" i="87"/>
  <c r="H56" i="87"/>
  <c r="G56" i="87"/>
  <c r="F56" i="87"/>
  <c r="Q55" i="87"/>
  <c r="Q57" i="87" s="1"/>
  <c r="P55" i="87"/>
  <c r="O55" i="87"/>
  <c r="O57" i="87" s="1"/>
  <c r="N55" i="87"/>
  <c r="N57" i="87" s="1"/>
  <c r="M55" i="87"/>
  <c r="L55" i="87"/>
  <c r="L57" i="87" s="1"/>
  <c r="K55" i="87"/>
  <c r="J55" i="87"/>
  <c r="I55" i="87"/>
  <c r="I57" i="87" s="1"/>
  <c r="H55" i="87"/>
  <c r="G55" i="87"/>
  <c r="G57" i="87" s="1"/>
  <c r="F55" i="87"/>
  <c r="F57" i="87" s="1"/>
  <c r="Q53" i="87"/>
  <c r="P53" i="87"/>
  <c r="O53" i="87"/>
  <c r="N53" i="87"/>
  <c r="M53" i="87"/>
  <c r="L53" i="87"/>
  <c r="K53" i="87"/>
  <c r="J53" i="87"/>
  <c r="I53" i="87"/>
  <c r="H53" i="87"/>
  <c r="G53" i="87"/>
  <c r="F53" i="87"/>
  <c r="Q52" i="87"/>
  <c r="Q54" i="87" s="1"/>
  <c r="P52" i="87"/>
  <c r="O52" i="87"/>
  <c r="O54" i="87" s="1"/>
  <c r="N52" i="87"/>
  <c r="N54" i="87" s="1"/>
  <c r="M52" i="87"/>
  <c r="L52" i="87"/>
  <c r="L54" i="87" s="1"/>
  <c r="K52" i="87"/>
  <c r="J52" i="87"/>
  <c r="I52" i="87"/>
  <c r="I54" i="87" s="1"/>
  <c r="H52" i="87"/>
  <c r="G52" i="87"/>
  <c r="G54" i="87" s="1"/>
  <c r="F52" i="87"/>
  <c r="F54" i="87" s="1"/>
  <c r="Q50" i="87"/>
  <c r="P50" i="87"/>
  <c r="O50" i="87"/>
  <c r="N50" i="87"/>
  <c r="M50" i="87"/>
  <c r="L50" i="87"/>
  <c r="K50" i="87"/>
  <c r="J50" i="87"/>
  <c r="I50" i="87"/>
  <c r="H50" i="87"/>
  <c r="G50" i="87"/>
  <c r="F50" i="87"/>
  <c r="Q49" i="87"/>
  <c r="Q51" i="87" s="1"/>
  <c r="P49" i="87"/>
  <c r="O49" i="87"/>
  <c r="O51" i="87" s="1"/>
  <c r="N49" i="87"/>
  <c r="N51" i="87" s="1"/>
  <c r="M49" i="87"/>
  <c r="L49" i="87"/>
  <c r="L51" i="87" s="1"/>
  <c r="K49" i="87"/>
  <c r="J49" i="87"/>
  <c r="I49" i="87"/>
  <c r="I51" i="87" s="1"/>
  <c r="H49" i="87"/>
  <c r="G49" i="87"/>
  <c r="G51" i="87" s="1"/>
  <c r="F49" i="87"/>
  <c r="F51" i="87" s="1"/>
  <c r="Q47" i="87"/>
  <c r="P47" i="87"/>
  <c r="O47" i="87"/>
  <c r="N47" i="87"/>
  <c r="M47" i="87"/>
  <c r="L47" i="87"/>
  <c r="K47" i="87"/>
  <c r="J47" i="87"/>
  <c r="I47" i="87"/>
  <c r="H47" i="87"/>
  <c r="G47" i="87"/>
  <c r="F47" i="87"/>
  <c r="Q46" i="87"/>
  <c r="Q48" i="87" s="1"/>
  <c r="P46" i="87"/>
  <c r="O46" i="87"/>
  <c r="O48" i="87" s="1"/>
  <c r="N46" i="87"/>
  <c r="N48" i="87" s="1"/>
  <c r="M46" i="87"/>
  <c r="L46" i="87"/>
  <c r="L48" i="87" s="1"/>
  <c r="K46" i="87"/>
  <c r="J46" i="87"/>
  <c r="I46" i="87"/>
  <c r="I48" i="87" s="1"/>
  <c r="H46" i="87"/>
  <c r="G46" i="87"/>
  <c r="G48" i="87" s="1"/>
  <c r="F46" i="87"/>
  <c r="F48" i="87" s="1"/>
  <c r="Q44" i="87"/>
  <c r="P44" i="87"/>
  <c r="O44" i="87"/>
  <c r="N44" i="87"/>
  <c r="M44" i="87"/>
  <c r="L44" i="87"/>
  <c r="K44" i="87"/>
  <c r="J44" i="87"/>
  <c r="I44" i="87"/>
  <c r="H44" i="87"/>
  <c r="G44" i="87"/>
  <c r="F44" i="87"/>
  <c r="Q43" i="87"/>
  <c r="Q45" i="87" s="1"/>
  <c r="P43" i="87"/>
  <c r="O43" i="87"/>
  <c r="O45" i="87" s="1"/>
  <c r="N43" i="87"/>
  <c r="N45" i="87" s="1"/>
  <c r="M43" i="87"/>
  <c r="L43" i="87"/>
  <c r="K43" i="87"/>
  <c r="J43" i="87"/>
  <c r="I43" i="87"/>
  <c r="I45" i="87" s="1"/>
  <c r="H43" i="87"/>
  <c r="G43" i="87"/>
  <c r="G45" i="87" s="1"/>
  <c r="F43" i="87"/>
  <c r="F45" i="87" s="1"/>
  <c r="Q41" i="87"/>
  <c r="P41" i="87"/>
  <c r="O41" i="87"/>
  <c r="N41" i="87"/>
  <c r="M41" i="87"/>
  <c r="L41" i="87"/>
  <c r="K41" i="87"/>
  <c r="J41" i="87"/>
  <c r="I41" i="87"/>
  <c r="H41" i="87"/>
  <c r="G41" i="87"/>
  <c r="F41" i="87"/>
  <c r="Q40" i="87"/>
  <c r="Q42" i="87" s="1"/>
  <c r="P40" i="87"/>
  <c r="O40" i="87"/>
  <c r="O42" i="87" s="1"/>
  <c r="N40" i="87"/>
  <c r="N42" i="87" s="1"/>
  <c r="M40" i="87"/>
  <c r="L40" i="87"/>
  <c r="K40" i="87"/>
  <c r="J40" i="87"/>
  <c r="I40" i="87"/>
  <c r="I42" i="87" s="1"/>
  <c r="H40" i="87"/>
  <c r="G40" i="87"/>
  <c r="G42" i="87" s="1"/>
  <c r="F40" i="87"/>
  <c r="F42" i="87" s="1"/>
  <c r="Q38" i="87"/>
  <c r="P38" i="87"/>
  <c r="O38" i="87"/>
  <c r="N38" i="87"/>
  <c r="M38" i="87"/>
  <c r="L38" i="87"/>
  <c r="K38" i="87"/>
  <c r="J38" i="87"/>
  <c r="I38" i="87"/>
  <c r="H38" i="87"/>
  <c r="G38" i="87"/>
  <c r="F38" i="87"/>
  <c r="Q37" i="87"/>
  <c r="Q39" i="87" s="1"/>
  <c r="P37" i="87"/>
  <c r="O37" i="87"/>
  <c r="O39" i="87" s="1"/>
  <c r="N37" i="87"/>
  <c r="N39" i="87" s="1"/>
  <c r="M37" i="87"/>
  <c r="L37" i="87"/>
  <c r="K37" i="87"/>
  <c r="J37" i="87"/>
  <c r="I37" i="87"/>
  <c r="I39" i="87" s="1"/>
  <c r="H37" i="87"/>
  <c r="G37" i="87"/>
  <c r="G39" i="87" s="1"/>
  <c r="F37" i="87"/>
  <c r="F39" i="87" s="1"/>
  <c r="Q35" i="87"/>
  <c r="P35" i="87"/>
  <c r="O35" i="87"/>
  <c r="N35" i="87"/>
  <c r="M35" i="87"/>
  <c r="L35" i="87"/>
  <c r="K35" i="87"/>
  <c r="J35" i="87"/>
  <c r="I35" i="87"/>
  <c r="H35" i="87"/>
  <c r="G35" i="87"/>
  <c r="F35" i="87"/>
  <c r="Q34" i="87"/>
  <c r="Q36" i="87" s="1"/>
  <c r="P34" i="87"/>
  <c r="O34" i="87"/>
  <c r="O36" i="87" s="1"/>
  <c r="N34" i="87"/>
  <c r="N36" i="87" s="1"/>
  <c r="M34" i="87"/>
  <c r="L34" i="87"/>
  <c r="K34" i="87"/>
  <c r="J34" i="87"/>
  <c r="I34" i="87"/>
  <c r="I36" i="87" s="1"/>
  <c r="H34" i="87"/>
  <c r="G34" i="87"/>
  <c r="G36" i="87" s="1"/>
  <c r="F34" i="87"/>
  <c r="F36" i="87" s="1"/>
  <c r="Q32" i="87"/>
  <c r="P32" i="87"/>
  <c r="O32" i="87"/>
  <c r="N32" i="87"/>
  <c r="M32" i="87"/>
  <c r="L32" i="87"/>
  <c r="K32" i="87"/>
  <c r="J32" i="87"/>
  <c r="I32" i="87"/>
  <c r="H32" i="87"/>
  <c r="G32" i="87"/>
  <c r="F32" i="87"/>
  <c r="Q31" i="87"/>
  <c r="Q33" i="87" s="1"/>
  <c r="P31" i="87"/>
  <c r="O31" i="87"/>
  <c r="O33" i="87" s="1"/>
  <c r="N31" i="87"/>
  <c r="N33" i="87" s="1"/>
  <c r="M31" i="87"/>
  <c r="L31" i="87"/>
  <c r="K31" i="87"/>
  <c r="J31" i="87"/>
  <c r="I31" i="87"/>
  <c r="I33" i="87" s="1"/>
  <c r="H31" i="87"/>
  <c r="G31" i="87"/>
  <c r="G33" i="87" s="1"/>
  <c r="F31" i="87"/>
  <c r="F33" i="87" s="1"/>
  <c r="Q29" i="87"/>
  <c r="P29" i="87"/>
  <c r="O29" i="87"/>
  <c r="N29" i="87"/>
  <c r="M29" i="87"/>
  <c r="L29" i="87"/>
  <c r="K29" i="87"/>
  <c r="J29" i="87"/>
  <c r="I29" i="87"/>
  <c r="H29" i="87"/>
  <c r="G29" i="87"/>
  <c r="F29" i="87"/>
  <c r="Q28" i="87"/>
  <c r="Q30" i="87" s="1"/>
  <c r="P28" i="87"/>
  <c r="O28" i="87"/>
  <c r="O30" i="87" s="1"/>
  <c r="N28" i="87"/>
  <c r="N30" i="87" s="1"/>
  <c r="M28" i="87"/>
  <c r="L28" i="87"/>
  <c r="K28" i="87"/>
  <c r="J28" i="87"/>
  <c r="I28" i="87"/>
  <c r="I30" i="87" s="1"/>
  <c r="H28" i="87"/>
  <c r="G28" i="87"/>
  <c r="G30" i="87" s="1"/>
  <c r="F28" i="87"/>
  <c r="F30" i="87" s="1"/>
  <c r="Q26" i="87"/>
  <c r="P26" i="87"/>
  <c r="O26" i="87"/>
  <c r="N26" i="87"/>
  <c r="M26" i="87"/>
  <c r="L26" i="87"/>
  <c r="K26" i="87"/>
  <c r="J26" i="87"/>
  <c r="I26" i="87"/>
  <c r="H26" i="87"/>
  <c r="G26" i="87"/>
  <c r="F26" i="87"/>
  <c r="Q25" i="87"/>
  <c r="Q27" i="87" s="1"/>
  <c r="P25" i="87"/>
  <c r="O25" i="87"/>
  <c r="O27" i="87" s="1"/>
  <c r="N25" i="87"/>
  <c r="N27" i="87" s="1"/>
  <c r="M25" i="87"/>
  <c r="L25" i="87"/>
  <c r="K25" i="87"/>
  <c r="J25" i="87"/>
  <c r="I25" i="87"/>
  <c r="I27" i="87" s="1"/>
  <c r="H25" i="87"/>
  <c r="G25" i="87"/>
  <c r="G27" i="87" s="1"/>
  <c r="F25" i="87"/>
  <c r="F27" i="87" s="1"/>
  <c r="Q23" i="87"/>
  <c r="P23" i="87"/>
  <c r="O23" i="87"/>
  <c r="N23" i="87"/>
  <c r="M23" i="87"/>
  <c r="L23" i="87"/>
  <c r="K23" i="87"/>
  <c r="J23" i="87"/>
  <c r="I23" i="87"/>
  <c r="H23" i="87"/>
  <c r="G23" i="87"/>
  <c r="F23" i="87"/>
  <c r="Q22" i="87"/>
  <c r="Q24" i="87" s="1"/>
  <c r="P22" i="87"/>
  <c r="O22" i="87"/>
  <c r="O24" i="87" s="1"/>
  <c r="N22" i="87"/>
  <c r="N24" i="87" s="1"/>
  <c r="M22" i="87"/>
  <c r="L22" i="87"/>
  <c r="K22" i="87"/>
  <c r="J22" i="87"/>
  <c r="I22" i="87"/>
  <c r="I24" i="87" s="1"/>
  <c r="H22" i="87"/>
  <c r="G22" i="87"/>
  <c r="G24" i="87" s="1"/>
  <c r="F22" i="87"/>
  <c r="F24" i="87" s="1"/>
  <c r="Q20" i="87"/>
  <c r="P20" i="87"/>
  <c r="O20" i="87"/>
  <c r="N20" i="87"/>
  <c r="M20" i="87"/>
  <c r="L20" i="87"/>
  <c r="K20" i="87"/>
  <c r="J20" i="87"/>
  <c r="I20" i="87"/>
  <c r="H20" i="87"/>
  <c r="G20" i="87"/>
  <c r="F20" i="87"/>
  <c r="Q19" i="87"/>
  <c r="Q21" i="87" s="1"/>
  <c r="P19" i="87"/>
  <c r="O19" i="87"/>
  <c r="O21" i="87" s="1"/>
  <c r="N19" i="87"/>
  <c r="N21" i="87" s="1"/>
  <c r="M19" i="87"/>
  <c r="L19" i="87"/>
  <c r="K19" i="87"/>
  <c r="J19" i="87"/>
  <c r="I19" i="87"/>
  <c r="I21" i="87" s="1"/>
  <c r="H19" i="87"/>
  <c r="G19" i="87"/>
  <c r="G21" i="87" s="1"/>
  <c r="F19" i="87"/>
  <c r="F21" i="87" s="1"/>
  <c r="Q17" i="87"/>
  <c r="P17" i="87"/>
  <c r="O17" i="87"/>
  <c r="N17" i="87"/>
  <c r="M17" i="87"/>
  <c r="L17" i="87"/>
  <c r="K17" i="87"/>
  <c r="J17" i="87"/>
  <c r="I17" i="87"/>
  <c r="H17" i="87"/>
  <c r="G17" i="87"/>
  <c r="F17" i="87"/>
  <c r="Q16" i="87"/>
  <c r="Q18" i="87" s="1"/>
  <c r="P16" i="87"/>
  <c r="O16" i="87"/>
  <c r="O18" i="87" s="1"/>
  <c r="N16" i="87"/>
  <c r="N18" i="87" s="1"/>
  <c r="M16" i="87"/>
  <c r="L16" i="87"/>
  <c r="K16" i="87"/>
  <c r="J16" i="87"/>
  <c r="I16" i="87"/>
  <c r="I18" i="87" s="1"/>
  <c r="H16" i="87"/>
  <c r="G16" i="87"/>
  <c r="G18" i="87" s="1"/>
  <c r="F16" i="87"/>
  <c r="F18" i="87" s="1"/>
  <c r="Q14" i="87"/>
  <c r="P14" i="87"/>
  <c r="O14" i="87"/>
  <c r="N14" i="87"/>
  <c r="M14" i="87"/>
  <c r="L14" i="87"/>
  <c r="K14" i="87"/>
  <c r="J14" i="87"/>
  <c r="I14" i="87"/>
  <c r="H14" i="87"/>
  <c r="G14" i="87"/>
  <c r="F14" i="87"/>
  <c r="Q13" i="87"/>
  <c r="Q15" i="87" s="1"/>
  <c r="P13" i="87"/>
  <c r="O13" i="87"/>
  <c r="O15" i="87" s="1"/>
  <c r="N13" i="87"/>
  <c r="N15" i="87" s="1"/>
  <c r="M13" i="87"/>
  <c r="L13" i="87"/>
  <c r="K13" i="87"/>
  <c r="J13" i="87"/>
  <c r="I13" i="87"/>
  <c r="I15" i="87" s="1"/>
  <c r="H13" i="87"/>
  <c r="G13" i="87"/>
  <c r="G15" i="87" s="1"/>
  <c r="F13" i="87"/>
  <c r="F15" i="87" s="1"/>
  <c r="Q11" i="87"/>
  <c r="P11" i="87"/>
  <c r="O11" i="87"/>
  <c r="N11" i="87"/>
  <c r="M11" i="87"/>
  <c r="L11" i="87"/>
  <c r="K11" i="87"/>
  <c r="J11" i="87"/>
  <c r="I11" i="87"/>
  <c r="H11" i="87"/>
  <c r="G11" i="87"/>
  <c r="F11" i="87"/>
  <c r="Q10" i="87"/>
  <c r="Q12" i="87" s="1"/>
  <c r="P10" i="87"/>
  <c r="O10" i="87"/>
  <c r="O12" i="87" s="1"/>
  <c r="N10" i="87"/>
  <c r="N12" i="87" s="1"/>
  <c r="M10" i="87"/>
  <c r="L10" i="87"/>
  <c r="K10" i="87"/>
  <c r="J10" i="87"/>
  <c r="I10" i="87"/>
  <c r="I12" i="87" s="1"/>
  <c r="H10" i="87"/>
  <c r="G10" i="87"/>
  <c r="G12" i="87" s="1"/>
  <c r="F10" i="87"/>
  <c r="F12" i="87" s="1"/>
  <c r="Q8" i="87"/>
  <c r="P8" i="87"/>
  <c r="O8" i="87"/>
  <c r="N8" i="87"/>
  <c r="M8" i="87"/>
  <c r="L8" i="87"/>
  <c r="K8" i="87"/>
  <c r="J8" i="87"/>
  <c r="I8" i="87"/>
  <c r="H8" i="87"/>
  <c r="G8" i="87"/>
  <c r="F8" i="87"/>
  <c r="Q7" i="87"/>
  <c r="Q9" i="87" s="1"/>
  <c r="P7" i="87"/>
  <c r="P9" i="87" s="1"/>
  <c r="O7" i="87"/>
  <c r="O9" i="87" s="1"/>
  <c r="N7" i="87"/>
  <c r="N9" i="87" s="1"/>
  <c r="M7" i="87"/>
  <c r="L7" i="87"/>
  <c r="K7" i="87"/>
  <c r="J7" i="87"/>
  <c r="I7" i="87"/>
  <c r="I9" i="87" s="1"/>
  <c r="H7" i="87"/>
  <c r="H9" i="87" s="1"/>
  <c r="G7" i="87"/>
  <c r="G9" i="87" s="1"/>
  <c r="F7" i="87"/>
  <c r="F9" i="87" s="1"/>
  <c r="Q5" i="87"/>
  <c r="P5" i="87"/>
  <c r="O5" i="87"/>
  <c r="N5" i="87"/>
  <c r="M5" i="87"/>
  <c r="L5" i="87"/>
  <c r="K5" i="87"/>
  <c r="J5" i="87"/>
  <c r="I5" i="87"/>
  <c r="H5" i="87"/>
  <c r="G5" i="87"/>
  <c r="F5" i="87"/>
  <c r="Q4" i="87"/>
  <c r="Q6" i="87" s="1"/>
  <c r="P4" i="87"/>
  <c r="P6" i="87" s="1"/>
  <c r="O4" i="87"/>
  <c r="O6" i="87" s="1"/>
  <c r="N4" i="87"/>
  <c r="N6" i="87" s="1"/>
  <c r="M4" i="87"/>
  <c r="L4" i="87"/>
  <c r="K4" i="87"/>
  <c r="J4" i="87"/>
  <c r="I4" i="87"/>
  <c r="I6" i="87" s="1"/>
  <c r="H4" i="87"/>
  <c r="H6" i="87" s="1"/>
  <c r="G4" i="87"/>
  <c r="G6" i="87" s="1"/>
  <c r="F4" i="87"/>
  <c r="F6" i="87" s="1"/>
  <c r="F4" i="85"/>
  <c r="F5" i="85"/>
  <c r="F6" i="85"/>
  <c r="F7" i="85"/>
  <c r="F8" i="85"/>
  <c r="F9" i="85"/>
  <c r="F10" i="85"/>
  <c r="F11" i="85"/>
  <c r="F12" i="85"/>
  <c r="F13" i="85"/>
  <c r="F14" i="85"/>
  <c r="F15" i="85"/>
  <c r="F16" i="85"/>
  <c r="F17" i="85"/>
  <c r="F18" i="85"/>
  <c r="F19" i="85"/>
  <c r="F20" i="85"/>
  <c r="F21" i="85"/>
  <c r="F22" i="85"/>
  <c r="F23" i="85"/>
  <c r="F24" i="85"/>
  <c r="F25" i="85"/>
  <c r="F26" i="85"/>
  <c r="F27" i="85"/>
  <c r="F28" i="85"/>
  <c r="F29" i="85"/>
  <c r="F30" i="85"/>
  <c r="F31" i="85"/>
  <c r="F32" i="85"/>
  <c r="F33" i="85"/>
  <c r="F34" i="85"/>
  <c r="F35" i="85"/>
  <c r="F36" i="85"/>
  <c r="F37" i="85"/>
  <c r="F38" i="85"/>
  <c r="F39" i="85"/>
  <c r="F40" i="85"/>
  <c r="F41" i="85"/>
  <c r="F42" i="85"/>
  <c r="F43" i="85"/>
  <c r="F44" i="85"/>
  <c r="F45" i="85"/>
  <c r="F46" i="85"/>
  <c r="F47" i="85"/>
  <c r="F48" i="85"/>
  <c r="F49" i="85"/>
  <c r="F50" i="85"/>
  <c r="F51" i="85"/>
  <c r="F52" i="85"/>
  <c r="F53" i="85"/>
  <c r="F54" i="85"/>
  <c r="F55" i="85"/>
  <c r="F56" i="85"/>
  <c r="F57" i="85"/>
  <c r="F58" i="85"/>
  <c r="E4" i="85"/>
  <c r="E5" i="85"/>
  <c r="G5" i="85" s="1"/>
  <c r="E6" i="85"/>
  <c r="E7" i="85"/>
  <c r="G7" i="85" s="1"/>
  <c r="E8" i="85"/>
  <c r="E9" i="85"/>
  <c r="G9" i="85" s="1"/>
  <c r="E10" i="85"/>
  <c r="E11" i="85"/>
  <c r="G11" i="85" s="1"/>
  <c r="E12" i="85"/>
  <c r="E13" i="85"/>
  <c r="G13" i="85" s="1"/>
  <c r="E14" i="85"/>
  <c r="E15" i="85"/>
  <c r="G15" i="85" s="1"/>
  <c r="E16" i="85"/>
  <c r="E17" i="85"/>
  <c r="G17" i="85" s="1"/>
  <c r="E18" i="85"/>
  <c r="E19" i="85"/>
  <c r="G19" i="85" s="1"/>
  <c r="E20" i="85"/>
  <c r="E21" i="85"/>
  <c r="G21" i="85" s="1"/>
  <c r="E22" i="85"/>
  <c r="E23" i="85"/>
  <c r="G23" i="85" s="1"/>
  <c r="E24" i="85"/>
  <c r="E25" i="85"/>
  <c r="G25" i="85" s="1"/>
  <c r="E26" i="85"/>
  <c r="E27" i="85"/>
  <c r="G27" i="85" s="1"/>
  <c r="E28" i="85"/>
  <c r="E29" i="85"/>
  <c r="G29" i="85" s="1"/>
  <c r="E30" i="85"/>
  <c r="E31" i="85"/>
  <c r="G31" i="85" s="1"/>
  <c r="E32" i="85"/>
  <c r="E33" i="85"/>
  <c r="G33" i="85" s="1"/>
  <c r="E34" i="85"/>
  <c r="E35" i="85"/>
  <c r="G35" i="85" s="1"/>
  <c r="E36" i="85"/>
  <c r="E37" i="85"/>
  <c r="G37" i="85" s="1"/>
  <c r="E38" i="85"/>
  <c r="E39" i="85"/>
  <c r="G39" i="85" s="1"/>
  <c r="E40" i="85"/>
  <c r="E41" i="85"/>
  <c r="G41" i="85" s="1"/>
  <c r="E42" i="85"/>
  <c r="E43" i="85"/>
  <c r="G43" i="85" s="1"/>
  <c r="E44" i="85"/>
  <c r="E45" i="85"/>
  <c r="G45" i="85" s="1"/>
  <c r="E46" i="85"/>
  <c r="E47" i="85"/>
  <c r="G47" i="85" s="1"/>
  <c r="E48" i="85"/>
  <c r="E49" i="85"/>
  <c r="G49" i="85" s="1"/>
  <c r="E50" i="85"/>
  <c r="E51" i="85"/>
  <c r="G51" i="85" s="1"/>
  <c r="E52" i="85"/>
  <c r="E53" i="85"/>
  <c r="G53" i="85" s="1"/>
  <c r="E54" i="85"/>
  <c r="E55" i="85"/>
  <c r="G55" i="85" s="1"/>
  <c r="E56" i="85"/>
  <c r="E57" i="85"/>
  <c r="G57" i="85" s="1"/>
  <c r="E58" i="85"/>
  <c r="F169" i="82"/>
  <c r="G169" i="82"/>
  <c r="H169" i="82"/>
  <c r="I169" i="82"/>
  <c r="J169" i="82"/>
  <c r="K169" i="82"/>
  <c r="L169" i="82"/>
  <c r="M169" i="82"/>
  <c r="N169" i="82"/>
  <c r="O169" i="82"/>
  <c r="P169" i="82"/>
  <c r="Q169" i="82"/>
  <c r="R169" i="82"/>
  <c r="F166" i="82"/>
  <c r="G166" i="82"/>
  <c r="H166" i="82"/>
  <c r="I166" i="82"/>
  <c r="J166" i="82"/>
  <c r="K166" i="82"/>
  <c r="L166" i="82"/>
  <c r="M166" i="82"/>
  <c r="N166" i="82"/>
  <c r="O166" i="82"/>
  <c r="P166" i="82"/>
  <c r="Q166" i="82"/>
  <c r="R166" i="82"/>
  <c r="F163" i="82"/>
  <c r="G163" i="82"/>
  <c r="H163" i="82"/>
  <c r="I163" i="82"/>
  <c r="J163" i="82"/>
  <c r="K163" i="82"/>
  <c r="L163" i="82"/>
  <c r="M163" i="82"/>
  <c r="N163" i="82"/>
  <c r="O163" i="82"/>
  <c r="P163" i="82"/>
  <c r="Q163" i="82"/>
  <c r="R163" i="82"/>
  <c r="F160" i="82"/>
  <c r="G160" i="82"/>
  <c r="H160" i="82"/>
  <c r="I160" i="82"/>
  <c r="J160" i="82"/>
  <c r="K160" i="82"/>
  <c r="L160" i="82"/>
  <c r="M160" i="82"/>
  <c r="N160" i="82"/>
  <c r="O160" i="82"/>
  <c r="P160" i="82"/>
  <c r="Q160" i="82"/>
  <c r="R160" i="82"/>
  <c r="F157" i="82"/>
  <c r="G157" i="82"/>
  <c r="H157" i="82"/>
  <c r="I157" i="82"/>
  <c r="J157" i="82"/>
  <c r="K157" i="82"/>
  <c r="L157" i="82"/>
  <c r="M157" i="82"/>
  <c r="N157" i="82"/>
  <c r="O157" i="82"/>
  <c r="P157" i="82"/>
  <c r="Q157" i="82"/>
  <c r="R157" i="82"/>
  <c r="F154" i="82"/>
  <c r="G154" i="82"/>
  <c r="H154" i="82"/>
  <c r="I154" i="82"/>
  <c r="J154" i="82"/>
  <c r="K154" i="82"/>
  <c r="L154" i="82"/>
  <c r="M154" i="82"/>
  <c r="N154" i="82"/>
  <c r="O154" i="82"/>
  <c r="P154" i="82"/>
  <c r="Q154" i="82"/>
  <c r="R154" i="82"/>
  <c r="F151" i="82"/>
  <c r="G151" i="82"/>
  <c r="H151" i="82"/>
  <c r="I151" i="82"/>
  <c r="J151" i="82"/>
  <c r="K151" i="82"/>
  <c r="L151" i="82"/>
  <c r="M151" i="82"/>
  <c r="N151" i="82"/>
  <c r="O151" i="82"/>
  <c r="P151" i="82"/>
  <c r="Q151" i="82"/>
  <c r="R151" i="82"/>
  <c r="F148" i="82"/>
  <c r="G148" i="82"/>
  <c r="H148" i="82"/>
  <c r="I148" i="82"/>
  <c r="J148" i="82"/>
  <c r="K148" i="82"/>
  <c r="L148" i="82"/>
  <c r="M148" i="82"/>
  <c r="N148" i="82"/>
  <c r="O148" i="82"/>
  <c r="P148" i="82"/>
  <c r="Q148" i="82"/>
  <c r="R148" i="82"/>
  <c r="F145" i="82"/>
  <c r="G145" i="82"/>
  <c r="H145" i="82"/>
  <c r="I145" i="82"/>
  <c r="J145" i="82"/>
  <c r="K145" i="82"/>
  <c r="L145" i="82"/>
  <c r="M145" i="82"/>
  <c r="N145" i="82"/>
  <c r="O145" i="82"/>
  <c r="P145" i="82"/>
  <c r="Q145" i="82"/>
  <c r="R145" i="82"/>
  <c r="F142" i="82"/>
  <c r="G142" i="82"/>
  <c r="H142" i="82"/>
  <c r="I142" i="82"/>
  <c r="J142" i="82"/>
  <c r="K142" i="82"/>
  <c r="L142" i="82"/>
  <c r="M142" i="82"/>
  <c r="N142" i="82"/>
  <c r="O142" i="82"/>
  <c r="P142" i="82"/>
  <c r="Q142" i="82"/>
  <c r="R142" i="82"/>
  <c r="F139" i="82"/>
  <c r="G139" i="82"/>
  <c r="H139" i="82"/>
  <c r="I139" i="82"/>
  <c r="J139" i="82"/>
  <c r="K139" i="82"/>
  <c r="L139" i="82"/>
  <c r="M139" i="82"/>
  <c r="N139" i="82"/>
  <c r="O139" i="82"/>
  <c r="P139" i="82"/>
  <c r="Q139" i="82"/>
  <c r="R139" i="82"/>
  <c r="F136" i="82"/>
  <c r="G136" i="82"/>
  <c r="H136" i="82"/>
  <c r="I136" i="82"/>
  <c r="J136" i="82"/>
  <c r="K136" i="82"/>
  <c r="L136" i="82"/>
  <c r="M136" i="82"/>
  <c r="N136" i="82"/>
  <c r="O136" i="82"/>
  <c r="P136" i="82"/>
  <c r="Q136" i="82"/>
  <c r="R136" i="82"/>
  <c r="F133" i="82"/>
  <c r="G133" i="82"/>
  <c r="H133" i="82"/>
  <c r="I133" i="82"/>
  <c r="J133" i="82"/>
  <c r="K133" i="82"/>
  <c r="L133" i="82"/>
  <c r="M133" i="82"/>
  <c r="N133" i="82"/>
  <c r="O133" i="82"/>
  <c r="P133" i="82"/>
  <c r="Q133" i="82"/>
  <c r="R133" i="82"/>
  <c r="F130" i="82"/>
  <c r="G130" i="82"/>
  <c r="H130" i="82"/>
  <c r="I130" i="82"/>
  <c r="J130" i="82"/>
  <c r="K130" i="82"/>
  <c r="L130" i="82"/>
  <c r="M130" i="82"/>
  <c r="N130" i="82"/>
  <c r="O130" i="82"/>
  <c r="P130" i="82"/>
  <c r="Q130" i="82"/>
  <c r="R130" i="82"/>
  <c r="F127" i="82"/>
  <c r="G127" i="82"/>
  <c r="H127" i="82"/>
  <c r="I127" i="82"/>
  <c r="J127" i="82"/>
  <c r="K127" i="82"/>
  <c r="L127" i="82"/>
  <c r="M127" i="82"/>
  <c r="N127" i="82"/>
  <c r="O127" i="82"/>
  <c r="P127" i="82"/>
  <c r="Q127" i="82"/>
  <c r="R127" i="82"/>
  <c r="F124" i="82"/>
  <c r="G124" i="82"/>
  <c r="H124" i="82"/>
  <c r="I124" i="82"/>
  <c r="J124" i="82"/>
  <c r="K124" i="82"/>
  <c r="L124" i="82"/>
  <c r="M124" i="82"/>
  <c r="N124" i="82"/>
  <c r="O124" i="82"/>
  <c r="P124" i="82"/>
  <c r="Q124" i="82"/>
  <c r="R124" i="82"/>
  <c r="F121" i="82"/>
  <c r="G121" i="82"/>
  <c r="H121" i="82"/>
  <c r="I121" i="82"/>
  <c r="J121" i="82"/>
  <c r="K121" i="82"/>
  <c r="L121" i="82"/>
  <c r="M121" i="82"/>
  <c r="N121" i="82"/>
  <c r="O121" i="82"/>
  <c r="P121" i="82"/>
  <c r="Q121" i="82"/>
  <c r="R121" i="82"/>
  <c r="F118" i="82"/>
  <c r="G118" i="82"/>
  <c r="H118" i="82"/>
  <c r="I118" i="82"/>
  <c r="J118" i="82"/>
  <c r="K118" i="82"/>
  <c r="L118" i="82"/>
  <c r="M118" i="82"/>
  <c r="N118" i="82"/>
  <c r="O118" i="82"/>
  <c r="P118" i="82"/>
  <c r="Q118" i="82"/>
  <c r="R118" i="82"/>
  <c r="F115" i="82"/>
  <c r="G115" i="82"/>
  <c r="H115" i="82"/>
  <c r="I115" i="82"/>
  <c r="J115" i="82"/>
  <c r="K115" i="82"/>
  <c r="L115" i="82"/>
  <c r="M115" i="82"/>
  <c r="N115" i="82"/>
  <c r="O115" i="82"/>
  <c r="P115" i="82"/>
  <c r="Q115" i="82"/>
  <c r="R115" i="82"/>
  <c r="F112" i="82"/>
  <c r="G112" i="82"/>
  <c r="H112" i="82"/>
  <c r="I112" i="82"/>
  <c r="J112" i="82"/>
  <c r="K112" i="82"/>
  <c r="L112" i="82"/>
  <c r="M112" i="82"/>
  <c r="N112" i="82"/>
  <c r="O112" i="82"/>
  <c r="P112" i="82"/>
  <c r="Q112" i="82"/>
  <c r="R112" i="82"/>
  <c r="F109" i="82"/>
  <c r="G109" i="82"/>
  <c r="H109" i="82"/>
  <c r="I109" i="82"/>
  <c r="J109" i="82"/>
  <c r="K109" i="82"/>
  <c r="L109" i="82"/>
  <c r="M109" i="82"/>
  <c r="N109" i="82"/>
  <c r="O109" i="82"/>
  <c r="P109" i="82"/>
  <c r="Q109" i="82"/>
  <c r="R109" i="82"/>
  <c r="F106" i="82"/>
  <c r="G106" i="82"/>
  <c r="H106" i="82"/>
  <c r="I106" i="82"/>
  <c r="J106" i="82"/>
  <c r="K106" i="82"/>
  <c r="L106" i="82"/>
  <c r="M106" i="82"/>
  <c r="N106" i="82"/>
  <c r="O106" i="82"/>
  <c r="P106" i="82"/>
  <c r="Q106" i="82"/>
  <c r="R106" i="82"/>
  <c r="F103" i="82"/>
  <c r="G103" i="82"/>
  <c r="H103" i="82"/>
  <c r="I103" i="82"/>
  <c r="J103" i="82"/>
  <c r="K103" i="82"/>
  <c r="L103" i="82"/>
  <c r="M103" i="82"/>
  <c r="N103" i="82"/>
  <c r="O103" i="82"/>
  <c r="P103" i="82"/>
  <c r="Q103" i="82"/>
  <c r="R103" i="82"/>
  <c r="F100" i="82"/>
  <c r="G100" i="82"/>
  <c r="H100" i="82"/>
  <c r="I100" i="82"/>
  <c r="J100" i="82"/>
  <c r="K100" i="82"/>
  <c r="L100" i="82"/>
  <c r="M100" i="82"/>
  <c r="N100" i="82"/>
  <c r="O100" i="82"/>
  <c r="P100" i="82"/>
  <c r="Q100" i="82"/>
  <c r="R100" i="82"/>
  <c r="F97" i="82"/>
  <c r="G97" i="82"/>
  <c r="H97" i="82"/>
  <c r="I97" i="82"/>
  <c r="J97" i="82"/>
  <c r="K97" i="82"/>
  <c r="L97" i="82"/>
  <c r="M97" i="82"/>
  <c r="N97" i="82"/>
  <c r="O97" i="82"/>
  <c r="P97" i="82"/>
  <c r="Q97" i="82"/>
  <c r="R97" i="82"/>
  <c r="F94" i="82"/>
  <c r="G94" i="82"/>
  <c r="H94" i="82"/>
  <c r="I94" i="82"/>
  <c r="J94" i="82"/>
  <c r="K94" i="82"/>
  <c r="L94" i="82"/>
  <c r="M94" i="82"/>
  <c r="N94" i="82"/>
  <c r="O94" i="82"/>
  <c r="P94" i="82"/>
  <c r="Q94" i="82"/>
  <c r="R94" i="82"/>
  <c r="F91" i="82"/>
  <c r="G91" i="82"/>
  <c r="H91" i="82"/>
  <c r="I91" i="82"/>
  <c r="J91" i="82"/>
  <c r="K91" i="82"/>
  <c r="L91" i="82"/>
  <c r="M91" i="82"/>
  <c r="N91" i="82"/>
  <c r="O91" i="82"/>
  <c r="P91" i="82"/>
  <c r="Q91" i="82"/>
  <c r="R91" i="82"/>
  <c r="F88" i="82"/>
  <c r="G88" i="82"/>
  <c r="H88" i="82"/>
  <c r="I88" i="82"/>
  <c r="J88" i="82"/>
  <c r="K88" i="82"/>
  <c r="L88" i="82"/>
  <c r="M88" i="82"/>
  <c r="N88" i="82"/>
  <c r="O88" i="82"/>
  <c r="P88" i="82"/>
  <c r="Q88" i="82"/>
  <c r="R88" i="82"/>
  <c r="F85" i="82"/>
  <c r="G85" i="82"/>
  <c r="H85" i="82"/>
  <c r="I85" i="82"/>
  <c r="J85" i="82"/>
  <c r="K85" i="82"/>
  <c r="L85" i="82"/>
  <c r="M85" i="82"/>
  <c r="N85" i="82"/>
  <c r="O85" i="82"/>
  <c r="P85" i="82"/>
  <c r="Q85" i="82"/>
  <c r="R85" i="82"/>
  <c r="F82" i="82"/>
  <c r="G82" i="82"/>
  <c r="H82" i="82"/>
  <c r="I82" i="82"/>
  <c r="J82" i="82"/>
  <c r="K82" i="82"/>
  <c r="L82" i="82"/>
  <c r="M82" i="82"/>
  <c r="N82" i="82"/>
  <c r="O82" i="82"/>
  <c r="P82" i="82"/>
  <c r="Q82" i="82"/>
  <c r="R82" i="82"/>
  <c r="F79" i="82"/>
  <c r="G79" i="82"/>
  <c r="H79" i="82"/>
  <c r="I79" i="82"/>
  <c r="J79" i="82"/>
  <c r="K79" i="82"/>
  <c r="L79" i="82"/>
  <c r="M79" i="82"/>
  <c r="N79" i="82"/>
  <c r="O79" i="82"/>
  <c r="P79" i="82"/>
  <c r="Q79" i="82"/>
  <c r="R79" i="82"/>
  <c r="F76" i="82"/>
  <c r="G76" i="82"/>
  <c r="H76" i="82"/>
  <c r="I76" i="82"/>
  <c r="J76" i="82"/>
  <c r="K76" i="82"/>
  <c r="L76" i="82"/>
  <c r="M76" i="82"/>
  <c r="N76" i="82"/>
  <c r="O76" i="82"/>
  <c r="P76" i="82"/>
  <c r="Q76" i="82"/>
  <c r="R76" i="82"/>
  <c r="F73" i="82"/>
  <c r="G73" i="82"/>
  <c r="H73" i="82"/>
  <c r="I73" i="82"/>
  <c r="J73" i="82"/>
  <c r="K73" i="82"/>
  <c r="L73" i="82"/>
  <c r="M73" i="82"/>
  <c r="N73" i="82"/>
  <c r="O73" i="82"/>
  <c r="P73" i="82"/>
  <c r="Q73" i="82"/>
  <c r="R73" i="82"/>
  <c r="F70" i="82"/>
  <c r="G70" i="82"/>
  <c r="H70" i="82"/>
  <c r="I70" i="82"/>
  <c r="J70" i="82"/>
  <c r="K70" i="82"/>
  <c r="L70" i="82"/>
  <c r="M70" i="82"/>
  <c r="N70" i="82"/>
  <c r="O70" i="82"/>
  <c r="P70" i="82"/>
  <c r="Q70" i="82"/>
  <c r="R70" i="82"/>
  <c r="F67" i="82"/>
  <c r="G67" i="82"/>
  <c r="H67" i="82"/>
  <c r="I67" i="82"/>
  <c r="J67" i="82"/>
  <c r="K67" i="82"/>
  <c r="L67" i="82"/>
  <c r="M67" i="82"/>
  <c r="N67" i="82"/>
  <c r="O67" i="82"/>
  <c r="P67" i="82"/>
  <c r="Q67" i="82"/>
  <c r="R67" i="82"/>
  <c r="F64" i="82"/>
  <c r="G64" i="82"/>
  <c r="H64" i="82"/>
  <c r="I64" i="82"/>
  <c r="J64" i="82"/>
  <c r="K64" i="82"/>
  <c r="L64" i="82"/>
  <c r="M64" i="82"/>
  <c r="N64" i="82"/>
  <c r="O64" i="82"/>
  <c r="P64" i="82"/>
  <c r="Q64" i="82"/>
  <c r="R64" i="82"/>
  <c r="F61" i="82"/>
  <c r="G61" i="82"/>
  <c r="H61" i="82"/>
  <c r="I61" i="82"/>
  <c r="J61" i="82"/>
  <c r="K61" i="82"/>
  <c r="L61" i="82"/>
  <c r="M61" i="82"/>
  <c r="N61" i="82"/>
  <c r="O61" i="82"/>
  <c r="P61" i="82"/>
  <c r="Q61" i="82"/>
  <c r="R61" i="82"/>
  <c r="F58" i="82"/>
  <c r="G58" i="82"/>
  <c r="H58" i="82"/>
  <c r="I58" i="82"/>
  <c r="J58" i="82"/>
  <c r="K58" i="82"/>
  <c r="L58" i="82"/>
  <c r="M58" i="82"/>
  <c r="N58" i="82"/>
  <c r="O58" i="82"/>
  <c r="P58" i="82"/>
  <c r="Q58" i="82"/>
  <c r="R58" i="82"/>
  <c r="F55" i="82"/>
  <c r="G55" i="82"/>
  <c r="H55" i="82"/>
  <c r="I55" i="82"/>
  <c r="J55" i="82"/>
  <c r="K55" i="82"/>
  <c r="L55" i="82"/>
  <c r="M55" i="82"/>
  <c r="N55" i="82"/>
  <c r="O55" i="82"/>
  <c r="P55" i="82"/>
  <c r="Q55" i="82"/>
  <c r="R55" i="82"/>
  <c r="F52" i="82"/>
  <c r="G52" i="82"/>
  <c r="H52" i="82"/>
  <c r="I52" i="82"/>
  <c r="J52" i="82"/>
  <c r="K52" i="82"/>
  <c r="L52" i="82"/>
  <c r="M52" i="82"/>
  <c r="N52" i="82"/>
  <c r="O52" i="82"/>
  <c r="P52" i="82"/>
  <c r="Q52" i="82"/>
  <c r="R52" i="82"/>
  <c r="F49" i="82"/>
  <c r="G49" i="82"/>
  <c r="H49" i="82"/>
  <c r="I49" i="82"/>
  <c r="J49" i="82"/>
  <c r="K49" i="82"/>
  <c r="L49" i="82"/>
  <c r="M49" i="82"/>
  <c r="N49" i="82"/>
  <c r="O49" i="82"/>
  <c r="P49" i="82"/>
  <c r="Q49" i="82"/>
  <c r="R49" i="82"/>
  <c r="F46" i="82"/>
  <c r="G46" i="82"/>
  <c r="H46" i="82"/>
  <c r="I46" i="82"/>
  <c r="J46" i="82"/>
  <c r="K46" i="82"/>
  <c r="L46" i="82"/>
  <c r="M46" i="82"/>
  <c r="N46" i="82"/>
  <c r="O46" i="82"/>
  <c r="P46" i="82"/>
  <c r="Q46" i="82"/>
  <c r="R46" i="82"/>
  <c r="F43" i="82"/>
  <c r="G43" i="82"/>
  <c r="H43" i="82"/>
  <c r="I43" i="82"/>
  <c r="J43" i="82"/>
  <c r="K43" i="82"/>
  <c r="L43" i="82"/>
  <c r="M43" i="82"/>
  <c r="N43" i="82"/>
  <c r="O43" i="82"/>
  <c r="P43" i="82"/>
  <c r="Q43" i="82"/>
  <c r="R43" i="82"/>
  <c r="F40" i="82"/>
  <c r="G40" i="82"/>
  <c r="H40" i="82"/>
  <c r="I40" i="82"/>
  <c r="J40" i="82"/>
  <c r="K40" i="82"/>
  <c r="L40" i="82"/>
  <c r="M40" i="82"/>
  <c r="N40" i="82"/>
  <c r="O40" i="82"/>
  <c r="P40" i="82"/>
  <c r="Q40" i="82"/>
  <c r="R40" i="82"/>
  <c r="F37" i="82"/>
  <c r="G37" i="82"/>
  <c r="H37" i="82"/>
  <c r="I37" i="82"/>
  <c r="J37" i="82"/>
  <c r="K37" i="82"/>
  <c r="L37" i="82"/>
  <c r="M37" i="82"/>
  <c r="N37" i="82"/>
  <c r="O37" i="82"/>
  <c r="P37" i="82"/>
  <c r="Q37" i="82"/>
  <c r="R37" i="82"/>
  <c r="F34" i="82"/>
  <c r="G34" i="82"/>
  <c r="H34" i="82"/>
  <c r="I34" i="82"/>
  <c r="J34" i="82"/>
  <c r="K34" i="82"/>
  <c r="L34" i="82"/>
  <c r="M34" i="82"/>
  <c r="N34" i="82"/>
  <c r="O34" i="82"/>
  <c r="P34" i="82"/>
  <c r="Q34" i="82"/>
  <c r="R34" i="82"/>
  <c r="F31" i="82"/>
  <c r="G31" i="82"/>
  <c r="H31" i="82"/>
  <c r="I31" i="82"/>
  <c r="J31" i="82"/>
  <c r="K31" i="82"/>
  <c r="L31" i="82"/>
  <c r="M31" i="82"/>
  <c r="N31" i="82"/>
  <c r="O31" i="82"/>
  <c r="P31" i="82"/>
  <c r="Q31" i="82"/>
  <c r="R31" i="82"/>
  <c r="F28" i="82"/>
  <c r="G28" i="82"/>
  <c r="H28" i="82"/>
  <c r="I28" i="82"/>
  <c r="J28" i="82"/>
  <c r="K28" i="82"/>
  <c r="L28" i="82"/>
  <c r="M28" i="82"/>
  <c r="N28" i="82"/>
  <c r="O28" i="82"/>
  <c r="P28" i="82"/>
  <c r="Q28" i="82"/>
  <c r="R28" i="82"/>
  <c r="F25" i="82"/>
  <c r="G25" i="82"/>
  <c r="H25" i="82"/>
  <c r="I25" i="82"/>
  <c r="J25" i="82"/>
  <c r="K25" i="82"/>
  <c r="L25" i="82"/>
  <c r="M25" i="82"/>
  <c r="N25" i="82"/>
  <c r="O25" i="82"/>
  <c r="P25" i="82"/>
  <c r="Q25" i="82"/>
  <c r="R25" i="82"/>
  <c r="F22" i="82"/>
  <c r="G22" i="82"/>
  <c r="H22" i="82"/>
  <c r="I22" i="82"/>
  <c r="J22" i="82"/>
  <c r="K22" i="82"/>
  <c r="L22" i="82"/>
  <c r="M22" i="82"/>
  <c r="N22" i="82"/>
  <c r="O22" i="82"/>
  <c r="P22" i="82"/>
  <c r="Q22" i="82"/>
  <c r="R22" i="82"/>
  <c r="F19" i="82"/>
  <c r="G19" i="82"/>
  <c r="H19" i="82"/>
  <c r="I19" i="82"/>
  <c r="J19" i="82"/>
  <c r="K19" i="82"/>
  <c r="L19" i="82"/>
  <c r="M19" i="82"/>
  <c r="N19" i="82"/>
  <c r="O19" i="82"/>
  <c r="P19" i="82"/>
  <c r="Q19" i="82"/>
  <c r="R19" i="82"/>
  <c r="F16" i="82"/>
  <c r="G16" i="82"/>
  <c r="H16" i="82"/>
  <c r="I16" i="82"/>
  <c r="J16" i="82"/>
  <c r="K16" i="82"/>
  <c r="L16" i="82"/>
  <c r="M16" i="82"/>
  <c r="N16" i="82"/>
  <c r="O16" i="82"/>
  <c r="P16" i="82"/>
  <c r="Q16" i="82"/>
  <c r="R16" i="82"/>
  <c r="F13" i="82"/>
  <c r="G13" i="82"/>
  <c r="H13" i="82"/>
  <c r="I13" i="82"/>
  <c r="J13" i="82"/>
  <c r="K13" i="82"/>
  <c r="L13" i="82"/>
  <c r="M13" i="82"/>
  <c r="N13" i="82"/>
  <c r="O13" i="82"/>
  <c r="P13" i="82"/>
  <c r="Q13" i="82"/>
  <c r="R13" i="82"/>
  <c r="F10" i="82"/>
  <c r="G10" i="82"/>
  <c r="H10" i="82"/>
  <c r="I10" i="82"/>
  <c r="J10" i="82"/>
  <c r="K10" i="82"/>
  <c r="L10" i="82"/>
  <c r="M10" i="82"/>
  <c r="N10" i="82"/>
  <c r="O10" i="82"/>
  <c r="P10" i="82"/>
  <c r="Q10" i="82"/>
  <c r="R10" i="82"/>
  <c r="F7" i="82"/>
  <c r="G7" i="82"/>
  <c r="H7" i="82"/>
  <c r="I7" i="82"/>
  <c r="J7" i="82"/>
  <c r="K7" i="82"/>
  <c r="L7" i="82"/>
  <c r="M7" i="82"/>
  <c r="N7" i="82"/>
  <c r="O7" i="82"/>
  <c r="P7" i="82"/>
  <c r="Q7" i="82"/>
  <c r="R7" i="82"/>
  <c r="F168" i="82"/>
  <c r="G168" i="82"/>
  <c r="G170" i="82" s="1"/>
  <c r="H168" i="82"/>
  <c r="H170" i="82" s="1"/>
  <c r="I168" i="82"/>
  <c r="I170" i="82" s="1"/>
  <c r="J168" i="82"/>
  <c r="J170" i="82" s="1"/>
  <c r="K168" i="82"/>
  <c r="K170" i="82" s="1"/>
  <c r="L168" i="82"/>
  <c r="M168" i="82"/>
  <c r="M170" i="82" s="1"/>
  <c r="N168" i="82"/>
  <c r="O168" i="82"/>
  <c r="O170" i="82" s="1"/>
  <c r="P168" i="82"/>
  <c r="P170" i="82" s="1"/>
  <c r="Q168" i="82"/>
  <c r="Q170" i="82" s="1"/>
  <c r="R168" i="82"/>
  <c r="F165" i="82"/>
  <c r="F167" i="82" s="1"/>
  <c r="G165" i="82"/>
  <c r="H165" i="82"/>
  <c r="H167" i="82" s="1"/>
  <c r="I165" i="82"/>
  <c r="J165" i="82"/>
  <c r="J167" i="82" s="1"/>
  <c r="K165" i="82"/>
  <c r="K167" i="82" s="1"/>
  <c r="L165" i="82"/>
  <c r="L167" i="82" s="1"/>
  <c r="M165" i="82"/>
  <c r="M167" i="82" s="1"/>
  <c r="N165" i="82"/>
  <c r="N167" i="82" s="1"/>
  <c r="O165" i="82"/>
  <c r="P165" i="82"/>
  <c r="P167" i="82" s="1"/>
  <c r="Q165" i="82"/>
  <c r="R165" i="82"/>
  <c r="F162" i="82"/>
  <c r="F164" i="82" s="1"/>
  <c r="G162" i="82"/>
  <c r="G164" i="82" s="1"/>
  <c r="H162" i="82"/>
  <c r="H164" i="82" s="1"/>
  <c r="I162" i="82"/>
  <c r="I164" i="82" s="1"/>
  <c r="J162" i="82"/>
  <c r="K162" i="82"/>
  <c r="K164" i="82" s="1"/>
  <c r="L162" i="82"/>
  <c r="L164" i="82" s="1"/>
  <c r="M162" i="82"/>
  <c r="M164" i="82" s="1"/>
  <c r="N162" i="82"/>
  <c r="N164" i="82" s="1"/>
  <c r="O162" i="82"/>
  <c r="O164" i="82" s="1"/>
  <c r="P162" i="82"/>
  <c r="P164" i="82" s="1"/>
  <c r="Q162" i="82"/>
  <c r="Q164" i="82" s="1"/>
  <c r="R162" i="82"/>
  <c r="F159" i="82"/>
  <c r="F161" i="82" s="1"/>
  <c r="G159" i="82"/>
  <c r="G161" i="82" s="1"/>
  <c r="H159" i="82"/>
  <c r="H161" i="82" s="1"/>
  <c r="I159" i="82"/>
  <c r="I161" i="82" s="1"/>
  <c r="J159" i="82"/>
  <c r="J161" i="82" s="1"/>
  <c r="K159" i="82"/>
  <c r="K161" i="82" s="1"/>
  <c r="L159" i="82"/>
  <c r="L161" i="82" s="1"/>
  <c r="M159" i="82"/>
  <c r="N159" i="82"/>
  <c r="N161" i="82" s="1"/>
  <c r="O159" i="82"/>
  <c r="O161" i="82" s="1"/>
  <c r="P159" i="82"/>
  <c r="P161" i="82" s="1"/>
  <c r="Q159" i="82"/>
  <c r="Q161" i="82" s="1"/>
  <c r="R159" i="82"/>
  <c r="F156" i="82"/>
  <c r="F158" i="82" s="1"/>
  <c r="G156" i="82"/>
  <c r="G158" i="82" s="1"/>
  <c r="H156" i="82"/>
  <c r="I156" i="82"/>
  <c r="I158" i="82" s="1"/>
  <c r="J156" i="82"/>
  <c r="J158" i="82" s="1"/>
  <c r="K156" i="82"/>
  <c r="K158" i="82" s="1"/>
  <c r="L156" i="82"/>
  <c r="L158" i="82" s="1"/>
  <c r="M156" i="82"/>
  <c r="M158" i="82" s="1"/>
  <c r="N156" i="82"/>
  <c r="N158" i="82" s="1"/>
  <c r="O156" i="82"/>
  <c r="O158" i="82" s="1"/>
  <c r="P156" i="82"/>
  <c r="Q156" i="82"/>
  <c r="Q158" i="82" s="1"/>
  <c r="R156" i="82"/>
  <c r="F153" i="82"/>
  <c r="F155" i="82" s="1"/>
  <c r="G153" i="82"/>
  <c r="G155" i="82" s="1"/>
  <c r="H153" i="82"/>
  <c r="H155" i="82" s="1"/>
  <c r="I153" i="82"/>
  <c r="I155" i="82" s="1"/>
  <c r="J153" i="82"/>
  <c r="J155" i="82" s="1"/>
  <c r="K153" i="82"/>
  <c r="L153" i="82"/>
  <c r="L155" i="82" s="1"/>
  <c r="M153" i="82"/>
  <c r="M155" i="82" s="1"/>
  <c r="N153" i="82"/>
  <c r="N155" i="82" s="1"/>
  <c r="O153" i="82"/>
  <c r="O155" i="82" s="1"/>
  <c r="P153" i="82"/>
  <c r="P155" i="82" s="1"/>
  <c r="Q153" i="82"/>
  <c r="Q155" i="82" s="1"/>
  <c r="R153" i="82"/>
  <c r="F150" i="82"/>
  <c r="G150" i="82"/>
  <c r="G152" i="82" s="1"/>
  <c r="H150" i="82"/>
  <c r="H152" i="82" s="1"/>
  <c r="I150" i="82"/>
  <c r="I152" i="82" s="1"/>
  <c r="J150" i="82"/>
  <c r="J152" i="82" s="1"/>
  <c r="K150" i="82"/>
  <c r="K152" i="82" s="1"/>
  <c r="L150" i="82"/>
  <c r="L152" i="82" s="1"/>
  <c r="M150" i="82"/>
  <c r="M152" i="82" s="1"/>
  <c r="N150" i="82"/>
  <c r="O150" i="82"/>
  <c r="O152" i="82" s="1"/>
  <c r="P150" i="82"/>
  <c r="P152" i="82" s="1"/>
  <c r="Q150" i="82"/>
  <c r="Q152" i="82" s="1"/>
  <c r="R150" i="82"/>
  <c r="F147" i="82"/>
  <c r="F149" i="82" s="1"/>
  <c r="G147" i="82"/>
  <c r="G149" i="82" s="1"/>
  <c r="H147" i="82"/>
  <c r="H149" i="82" s="1"/>
  <c r="I147" i="82"/>
  <c r="J147" i="82"/>
  <c r="J149" i="82" s="1"/>
  <c r="K147" i="82"/>
  <c r="K149" i="82" s="1"/>
  <c r="L147" i="82"/>
  <c r="L149" i="82" s="1"/>
  <c r="M147" i="82"/>
  <c r="M149" i="82" s="1"/>
  <c r="N147" i="82"/>
  <c r="N149" i="82" s="1"/>
  <c r="O147" i="82"/>
  <c r="O149" i="82" s="1"/>
  <c r="P147" i="82"/>
  <c r="P149" i="82" s="1"/>
  <c r="Q147" i="82"/>
  <c r="R147" i="82"/>
  <c r="F144" i="82"/>
  <c r="F146" i="82" s="1"/>
  <c r="G144" i="82"/>
  <c r="G146" i="82" s="1"/>
  <c r="H144" i="82"/>
  <c r="H146" i="82" s="1"/>
  <c r="I144" i="82"/>
  <c r="I146" i="82" s="1"/>
  <c r="J144" i="82"/>
  <c r="J146" i="82" s="1"/>
  <c r="K144" i="82"/>
  <c r="K146" i="82" s="1"/>
  <c r="L144" i="82"/>
  <c r="M144" i="82"/>
  <c r="M146" i="82" s="1"/>
  <c r="N144" i="82"/>
  <c r="N146" i="82" s="1"/>
  <c r="O144" i="82"/>
  <c r="O146" i="82" s="1"/>
  <c r="P144" i="82"/>
  <c r="P146" i="82" s="1"/>
  <c r="Q144" i="82"/>
  <c r="Q146" i="82" s="1"/>
  <c r="R144" i="82"/>
  <c r="F141" i="82"/>
  <c r="F143" i="82" s="1"/>
  <c r="G141" i="82"/>
  <c r="H141" i="82"/>
  <c r="H143" i="82" s="1"/>
  <c r="I141" i="82"/>
  <c r="I143" i="82" s="1"/>
  <c r="J141" i="82"/>
  <c r="J143" i="82" s="1"/>
  <c r="K141" i="82"/>
  <c r="K143" i="82" s="1"/>
  <c r="L141" i="82"/>
  <c r="L143" i="82" s="1"/>
  <c r="M141" i="82"/>
  <c r="M143" i="82" s="1"/>
  <c r="N141" i="82"/>
  <c r="N143" i="82" s="1"/>
  <c r="O141" i="82"/>
  <c r="P141" i="82"/>
  <c r="P143" i="82" s="1"/>
  <c r="Q141" i="82"/>
  <c r="Q143" i="82" s="1"/>
  <c r="R141" i="82"/>
  <c r="F138" i="82"/>
  <c r="F140" i="82" s="1"/>
  <c r="G138" i="82"/>
  <c r="G140" i="82" s="1"/>
  <c r="H138" i="82"/>
  <c r="H140" i="82" s="1"/>
  <c r="I138" i="82"/>
  <c r="I140" i="82" s="1"/>
  <c r="J138" i="82"/>
  <c r="K138" i="82"/>
  <c r="K140" i="82" s="1"/>
  <c r="L138" i="82"/>
  <c r="L140" i="82" s="1"/>
  <c r="M138" i="82"/>
  <c r="M140" i="82" s="1"/>
  <c r="N138" i="82"/>
  <c r="N140" i="82" s="1"/>
  <c r="O138" i="82"/>
  <c r="O140" i="82" s="1"/>
  <c r="P138" i="82"/>
  <c r="P140" i="82" s="1"/>
  <c r="Q138" i="82"/>
  <c r="Q140" i="82" s="1"/>
  <c r="R138" i="82"/>
  <c r="F135" i="82"/>
  <c r="F137" i="82" s="1"/>
  <c r="G135" i="82"/>
  <c r="G137" i="82" s="1"/>
  <c r="H135" i="82"/>
  <c r="H137" i="82" s="1"/>
  <c r="I135" i="82"/>
  <c r="I137" i="82" s="1"/>
  <c r="J135" i="82"/>
  <c r="J137" i="82" s="1"/>
  <c r="K135" i="82"/>
  <c r="K137" i="82" s="1"/>
  <c r="L135" i="82"/>
  <c r="L137" i="82" s="1"/>
  <c r="M135" i="82"/>
  <c r="N135" i="82"/>
  <c r="N137" i="82" s="1"/>
  <c r="O135" i="82"/>
  <c r="O137" i="82" s="1"/>
  <c r="P135" i="82"/>
  <c r="P137" i="82" s="1"/>
  <c r="Q135" i="82"/>
  <c r="Q137" i="82" s="1"/>
  <c r="R135" i="82"/>
  <c r="F132" i="82"/>
  <c r="F134" i="82" s="1"/>
  <c r="G132" i="82"/>
  <c r="G134" i="82" s="1"/>
  <c r="H132" i="82"/>
  <c r="I132" i="82"/>
  <c r="I134" i="82" s="1"/>
  <c r="J132" i="82"/>
  <c r="J134" i="82" s="1"/>
  <c r="K132" i="82"/>
  <c r="K134" i="82" s="1"/>
  <c r="L132" i="82"/>
  <c r="L134" i="82" s="1"/>
  <c r="M132" i="82"/>
  <c r="M134" i="82" s="1"/>
  <c r="N132" i="82"/>
  <c r="N134" i="82" s="1"/>
  <c r="O132" i="82"/>
  <c r="O134" i="82" s="1"/>
  <c r="P132" i="82"/>
  <c r="Q132" i="82"/>
  <c r="Q134" i="82" s="1"/>
  <c r="R132" i="82"/>
  <c r="F129" i="82"/>
  <c r="F131" i="82" s="1"/>
  <c r="G129" i="82"/>
  <c r="G131" i="82" s="1"/>
  <c r="H129" i="82"/>
  <c r="H131" i="82" s="1"/>
  <c r="I129" i="82"/>
  <c r="I131" i="82" s="1"/>
  <c r="J129" i="82"/>
  <c r="J131" i="82" s="1"/>
  <c r="K129" i="82"/>
  <c r="L129" i="82"/>
  <c r="L131" i="82" s="1"/>
  <c r="M129" i="82"/>
  <c r="M131" i="82" s="1"/>
  <c r="N129" i="82"/>
  <c r="N131" i="82" s="1"/>
  <c r="O129" i="82"/>
  <c r="O131" i="82" s="1"/>
  <c r="P129" i="82"/>
  <c r="P131" i="82" s="1"/>
  <c r="Q129" i="82"/>
  <c r="Q131" i="82" s="1"/>
  <c r="R129" i="82"/>
  <c r="F126" i="82"/>
  <c r="G126" i="82"/>
  <c r="G128" i="82" s="1"/>
  <c r="H126" i="82"/>
  <c r="H128" i="82" s="1"/>
  <c r="I126" i="82"/>
  <c r="I128" i="82" s="1"/>
  <c r="J126" i="82"/>
  <c r="J128" i="82" s="1"/>
  <c r="K126" i="82"/>
  <c r="K128" i="82" s="1"/>
  <c r="L126" i="82"/>
  <c r="L128" i="82" s="1"/>
  <c r="M126" i="82"/>
  <c r="M128" i="82" s="1"/>
  <c r="N126" i="82"/>
  <c r="O126" i="82"/>
  <c r="O128" i="82" s="1"/>
  <c r="P126" i="82"/>
  <c r="P128" i="82" s="1"/>
  <c r="Q126" i="82"/>
  <c r="Q128" i="82" s="1"/>
  <c r="R126" i="82"/>
  <c r="F123" i="82"/>
  <c r="F125" i="82" s="1"/>
  <c r="G123" i="82"/>
  <c r="G125" i="82" s="1"/>
  <c r="H123" i="82"/>
  <c r="H125" i="82" s="1"/>
  <c r="I123" i="82"/>
  <c r="J123" i="82"/>
  <c r="J125" i="82" s="1"/>
  <c r="K123" i="82"/>
  <c r="K125" i="82" s="1"/>
  <c r="L123" i="82"/>
  <c r="L125" i="82" s="1"/>
  <c r="M123" i="82"/>
  <c r="M125" i="82" s="1"/>
  <c r="N123" i="82"/>
  <c r="N125" i="82" s="1"/>
  <c r="O123" i="82"/>
  <c r="O125" i="82" s="1"/>
  <c r="P123" i="82"/>
  <c r="P125" i="82" s="1"/>
  <c r="Q123" i="82"/>
  <c r="R123" i="82"/>
  <c r="F120" i="82"/>
  <c r="F122" i="82" s="1"/>
  <c r="G120" i="82"/>
  <c r="G122" i="82" s="1"/>
  <c r="H120" i="82"/>
  <c r="H122" i="82" s="1"/>
  <c r="I120" i="82"/>
  <c r="I122" i="82" s="1"/>
  <c r="J120" i="82"/>
  <c r="J122" i="82" s="1"/>
  <c r="K120" i="82"/>
  <c r="K122" i="82" s="1"/>
  <c r="L120" i="82"/>
  <c r="M120" i="82"/>
  <c r="M122" i="82" s="1"/>
  <c r="N120" i="82"/>
  <c r="N122" i="82" s="1"/>
  <c r="O120" i="82"/>
  <c r="O122" i="82" s="1"/>
  <c r="P120" i="82"/>
  <c r="P122" i="82" s="1"/>
  <c r="Q120" i="82"/>
  <c r="Q122" i="82" s="1"/>
  <c r="R120" i="82"/>
  <c r="F117" i="82"/>
  <c r="F119" i="82" s="1"/>
  <c r="G117" i="82"/>
  <c r="H117" i="82"/>
  <c r="H119" i="82" s="1"/>
  <c r="I117" i="82"/>
  <c r="I119" i="82" s="1"/>
  <c r="J117" i="82"/>
  <c r="J119" i="82" s="1"/>
  <c r="K117" i="82"/>
  <c r="K119" i="82" s="1"/>
  <c r="L117" i="82"/>
  <c r="L119" i="82" s="1"/>
  <c r="M117" i="82"/>
  <c r="M119" i="82" s="1"/>
  <c r="N117" i="82"/>
  <c r="N119" i="82" s="1"/>
  <c r="O117" i="82"/>
  <c r="P117" i="82"/>
  <c r="P119" i="82" s="1"/>
  <c r="Q117" i="82"/>
  <c r="Q119" i="82" s="1"/>
  <c r="R117" i="82"/>
  <c r="F114" i="82"/>
  <c r="F116" i="82" s="1"/>
  <c r="G114" i="82"/>
  <c r="G116" i="82" s="1"/>
  <c r="H114" i="82"/>
  <c r="H116" i="82" s="1"/>
  <c r="I114" i="82"/>
  <c r="I116" i="82" s="1"/>
  <c r="J114" i="82"/>
  <c r="K114" i="82"/>
  <c r="K116" i="82" s="1"/>
  <c r="L114" i="82"/>
  <c r="L116" i="82" s="1"/>
  <c r="M114" i="82"/>
  <c r="M116" i="82" s="1"/>
  <c r="N114" i="82"/>
  <c r="N116" i="82" s="1"/>
  <c r="O114" i="82"/>
  <c r="O116" i="82" s="1"/>
  <c r="P114" i="82"/>
  <c r="P116" i="82" s="1"/>
  <c r="Q114" i="82"/>
  <c r="Q116" i="82" s="1"/>
  <c r="R114" i="82"/>
  <c r="F111" i="82"/>
  <c r="F113" i="82" s="1"/>
  <c r="G111" i="82"/>
  <c r="G113" i="82" s="1"/>
  <c r="H111" i="82"/>
  <c r="H113" i="82" s="1"/>
  <c r="I111" i="82"/>
  <c r="I113" i="82" s="1"/>
  <c r="J111" i="82"/>
  <c r="J113" i="82" s="1"/>
  <c r="K111" i="82"/>
  <c r="K113" i="82" s="1"/>
  <c r="L111" i="82"/>
  <c r="L113" i="82" s="1"/>
  <c r="M111" i="82"/>
  <c r="N111" i="82"/>
  <c r="N113" i="82" s="1"/>
  <c r="O111" i="82"/>
  <c r="O113" i="82" s="1"/>
  <c r="P111" i="82"/>
  <c r="P113" i="82" s="1"/>
  <c r="Q111" i="82"/>
  <c r="Q113" i="82" s="1"/>
  <c r="R111" i="82"/>
  <c r="F108" i="82"/>
  <c r="F110" i="82" s="1"/>
  <c r="G108" i="82"/>
  <c r="G110" i="82" s="1"/>
  <c r="H108" i="82"/>
  <c r="I108" i="82"/>
  <c r="I110" i="82" s="1"/>
  <c r="J108" i="82"/>
  <c r="J110" i="82" s="1"/>
  <c r="K108" i="82"/>
  <c r="K110" i="82" s="1"/>
  <c r="L108" i="82"/>
  <c r="L110" i="82" s="1"/>
  <c r="M108" i="82"/>
  <c r="M110" i="82" s="1"/>
  <c r="N108" i="82"/>
  <c r="N110" i="82" s="1"/>
  <c r="O108" i="82"/>
  <c r="O110" i="82" s="1"/>
  <c r="P108" i="82"/>
  <c r="Q108" i="82"/>
  <c r="Q110" i="82" s="1"/>
  <c r="R108" i="82"/>
  <c r="F105" i="82"/>
  <c r="F107" i="82" s="1"/>
  <c r="G105" i="82"/>
  <c r="G107" i="82" s="1"/>
  <c r="H105" i="82"/>
  <c r="H107" i="82" s="1"/>
  <c r="I105" i="82"/>
  <c r="I107" i="82" s="1"/>
  <c r="J105" i="82"/>
  <c r="J107" i="82" s="1"/>
  <c r="K105" i="82"/>
  <c r="L105" i="82"/>
  <c r="L107" i="82" s="1"/>
  <c r="M105" i="82"/>
  <c r="M107" i="82" s="1"/>
  <c r="N105" i="82"/>
  <c r="N107" i="82" s="1"/>
  <c r="O105" i="82"/>
  <c r="O107" i="82" s="1"/>
  <c r="P105" i="82"/>
  <c r="P107" i="82" s="1"/>
  <c r="Q105" i="82"/>
  <c r="Q107" i="82" s="1"/>
  <c r="R105" i="82"/>
  <c r="F102" i="82"/>
  <c r="G102" i="82"/>
  <c r="G104" i="82" s="1"/>
  <c r="H102" i="82"/>
  <c r="H104" i="82" s="1"/>
  <c r="I102" i="82"/>
  <c r="I104" i="82" s="1"/>
  <c r="J102" i="82"/>
  <c r="J104" i="82" s="1"/>
  <c r="K102" i="82"/>
  <c r="K104" i="82" s="1"/>
  <c r="L102" i="82"/>
  <c r="L104" i="82" s="1"/>
  <c r="M102" i="82"/>
  <c r="M104" i="82" s="1"/>
  <c r="N102" i="82"/>
  <c r="O102" i="82"/>
  <c r="O104" i="82" s="1"/>
  <c r="P102" i="82"/>
  <c r="P104" i="82" s="1"/>
  <c r="Q102" i="82"/>
  <c r="Q104" i="82" s="1"/>
  <c r="R102" i="82"/>
  <c r="F99" i="82"/>
  <c r="F101" i="82" s="1"/>
  <c r="G99" i="82"/>
  <c r="G101" i="82" s="1"/>
  <c r="H99" i="82"/>
  <c r="H101" i="82" s="1"/>
  <c r="I99" i="82"/>
  <c r="J99" i="82"/>
  <c r="J101" i="82" s="1"/>
  <c r="K99" i="82"/>
  <c r="K101" i="82" s="1"/>
  <c r="L99" i="82"/>
  <c r="L101" i="82" s="1"/>
  <c r="M99" i="82"/>
  <c r="M101" i="82" s="1"/>
  <c r="N99" i="82"/>
  <c r="N101" i="82" s="1"/>
  <c r="O99" i="82"/>
  <c r="O101" i="82" s="1"/>
  <c r="P99" i="82"/>
  <c r="P101" i="82" s="1"/>
  <c r="Q99" i="82"/>
  <c r="R99" i="82"/>
  <c r="F96" i="82"/>
  <c r="F98" i="82" s="1"/>
  <c r="G96" i="82"/>
  <c r="G98" i="82" s="1"/>
  <c r="H96" i="82"/>
  <c r="H98" i="82" s="1"/>
  <c r="I96" i="82"/>
  <c r="I98" i="82" s="1"/>
  <c r="J96" i="82"/>
  <c r="J98" i="82" s="1"/>
  <c r="K96" i="82"/>
  <c r="K98" i="82" s="1"/>
  <c r="L96" i="82"/>
  <c r="M96" i="82"/>
  <c r="M98" i="82" s="1"/>
  <c r="N96" i="82"/>
  <c r="N98" i="82" s="1"/>
  <c r="O96" i="82"/>
  <c r="O98" i="82" s="1"/>
  <c r="P96" i="82"/>
  <c r="P98" i="82" s="1"/>
  <c r="Q96" i="82"/>
  <c r="Q98" i="82" s="1"/>
  <c r="R96" i="82"/>
  <c r="F93" i="82"/>
  <c r="F95" i="82" s="1"/>
  <c r="G93" i="82"/>
  <c r="H93" i="82"/>
  <c r="H95" i="82" s="1"/>
  <c r="I93" i="82"/>
  <c r="I95" i="82" s="1"/>
  <c r="J93" i="82"/>
  <c r="J95" i="82" s="1"/>
  <c r="K93" i="82"/>
  <c r="K95" i="82" s="1"/>
  <c r="L93" i="82"/>
  <c r="L95" i="82" s="1"/>
  <c r="M93" i="82"/>
  <c r="M95" i="82" s="1"/>
  <c r="N93" i="82"/>
  <c r="N95" i="82" s="1"/>
  <c r="O93" i="82"/>
  <c r="P93" i="82"/>
  <c r="P95" i="82" s="1"/>
  <c r="Q93" i="82"/>
  <c r="Q95" i="82" s="1"/>
  <c r="R93" i="82"/>
  <c r="F90" i="82"/>
  <c r="F92" i="82" s="1"/>
  <c r="G90" i="82"/>
  <c r="G92" i="82" s="1"/>
  <c r="H90" i="82"/>
  <c r="H92" i="82" s="1"/>
  <c r="I90" i="82"/>
  <c r="I92" i="82" s="1"/>
  <c r="J90" i="82"/>
  <c r="K90" i="82"/>
  <c r="K92" i="82" s="1"/>
  <c r="L90" i="82"/>
  <c r="L92" i="82" s="1"/>
  <c r="M90" i="82"/>
  <c r="M92" i="82" s="1"/>
  <c r="N90" i="82"/>
  <c r="N92" i="82" s="1"/>
  <c r="O90" i="82"/>
  <c r="O92" i="82" s="1"/>
  <c r="P90" i="82"/>
  <c r="P92" i="82" s="1"/>
  <c r="Q90" i="82"/>
  <c r="Q92" i="82" s="1"/>
  <c r="R90" i="82"/>
  <c r="F87" i="82"/>
  <c r="G87" i="82"/>
  <c r="G89" i="82" s="1"/>
  <c r="H87" i="82"/>
  <c r="H89" i="82" s="1"/>
  <c r="I87" i="82"/>
  <c r="I89" i="82" s="1"/>
  <c r="J87" i="82"/>
  <c r="J89" i="82" s="1"/>
  <c r="K87" i="82"/>
  <c r="K89" i="82" s="1"/>
  <c r="L87" i="82"/>
  <c r="L89" i="82" s="1"/>
  <c r="M87" i="82"/>
  <c r="N87" i="82"/>
  <c r="N89" i="82" s="1"/>
  <c r="O87" i="82"/>
  <c r="O89" i="82" s="1"/>
  <c r="P87" i="82"/>
  <c r="P89" i="82" s="1"/>
  <c r="Q87" i="82"/>
  <c r="Q89" i="82" s="1"/>
  <c r="R87" i="82"/>
  <c r="F84" i="82"/>
  <c r="F86" i="82" s="1"/>
  <c r="G84" i="82"/>
  <c r="G86" i="82" s="1"/>
  <c r="H84" i="82"/>
  <c r="I84" i="82"/>
  <c r="I86" i="82" s="1"/>
  <c r="J84" i="82"/>
  <c r="J86" i="82" s="1"/>
  <c r="K84" i="82"/>
  <c r="K86" i="82" s="1"/>
  <c r="L84" i="82"/>
  <c r="L86" i="82" s="1"/>
  <c r="M84" i="82"/>
  <c r="M86" i="82" s="1"/>
  <c r="N84" i="82"/>
  <c r="N86" i="82" s="1"/>
  <c r="O84" i="82"/>
  <c r="O86" i="82" s="1"/>
  <c r="P84" i="82"/>
  <c r="Q84" i="82"/>
  <c r="Q86" i="82" s="1"/>
  <c r="R84" i="82"/>
  <c r="F81" i="82"/>
  <c r="F83" i="82" s="1"/>
  <c r="G81" i="82"/>
  <c r="G83" i="82" s="1"/>
  <c r="H81" i="82"/>
  <c r="H83" i="82" s="1"/>
  <c r="I81" i="82"/>
  <c r="I83" i="82" s="1"/>
  <c r="J81" i="82"/>
  <c r="J83" i="82" s="1"/>
  <c r="K81" i="82"/>
  <c r="L81" i="82"/>
  <c r="L83" i="82" s="1"/>
  <c r="M81" i="82"/>
  <c r="M83" i="82" s="1"/>
  <c r="N81" i="82"/>
  <c r="N83" i="82" s="1"/>
  <c r="O81" i="82"/>
  <c r="O83" i="82" s="1"/>
  <c r="P81" i="82"/>
  <c r="P83" i="82" s="1"/>
  <c r="Q81" i="82"/>
  <c r="Q83" i="82" s="1"/>
  <c r="R81" i="82"/>
  <c r="F78" i="82"/>
  <c r="G78" i="82"/>
  <c r="G80" i="82" s="1"/>
  <c r="H78" i="82"/>
  <c r="H80" i="82" s="1"/>
  <c r="I78" i="82"/>
  <c r="I80" i="82" s="1"/>
  <c r="J78" i="82"/>
  <c r="J80" i="82" s="1"/>
  <c r="K78" i="82"/>
  <c r="K80" i="82" s="1"/>
  <c r="L78" i="82"/>
  <c r="L80" i="82" s="1"/>
  <c r="M78" i="82"/>
  <c r="M80" i="82" s="1"/>
  <c r="N78" i="82"/>
  <c r="O78" i="82"/>
  <c r="O80" i="82" s="1"/>
  <c r="P78" i="82"/>
  <c r="P80" i="82" s="1"/>
  <c r="Q78" i="82"/>
  <c r="Q80" i="82" s="1"/>
  <c r="R78" i="82"/>
  <c r="F75" i="82"/>
  <c r="F77" i="82" s="1"/>
  <c r="G75" i="82"/>
  <c r="G77" i="82" s="1"/>
  <c r="H75" i="82"/>
  <c r="H77" i="82" s="1"/>
  <c r="I75" i="82"/>
  <c r="J75" i="82"/>
  <c r="J77" i="82" s="1"/>
  <c r="K75" i="82"/>
  <c r="K77" i="82" s="1"/>
  <c r="L75" i="82"/>
  <c r="L77" i="82" s="1"/>
  <c r="M75" i="82"/>
  <c r="M77" i="82" s="1"/>
  <c r="N75" i="82"/>
  <c r="N77" i="82" s="1"/>
  <c r="O75" i="82"/>
  <c r="O77" i="82" s="1"/>
  <c r="P75" i="82"/>
  <c r="P77" i="82" s="1"/>
  <c r="Q75" i="82"/>
  <c r="R75" i="82"/>
  <c r="F72" i="82"/>
  <c r="F74" i="82" s="1"/>
  <c r="G72" i="82"/>
  <c r="G74" i="82" s="1"/>
  <c r="H72" i="82"/>
  <c r="H74" i="82" s="1"/>
  <c r="I72" i="82"/>
  <c r="I74" i="82" s="1"/>
  <c r="J72" i="82"/>
  <c r="J74" i="82" s="1"/>
  <c r="K72" i="82"/>
  <c r="K74" i="82" s="1"/>
  <c r="L72" i="82"/>
  <c r="M72" i="82"/>
  <c r="M74" i="82" s="1"/>
  <c r="N72" i="82"/>
  <c r="N74" i="82" s="1"/>
  <c r="O72" i="82"/>
  <c r="O74" i="82" s="1"/>
  <c r="P72" i="82"/>
  <c r="P74" i="82" s="1"/>
  <c r="Q72" i="82"/>
  <c r="Q74" i="82" s="1"/>
  <c r="R72" i="82"/>
  <c r="F69" i="82"/>
  <c r="F71" i="82" s="1"/>
  <c r="G69" i="82"/>
  <c r="H69" i="82"/>
  <c r="H71" i="82" s="1"/>
  <c r="I69" i="82"/>
  <c r="I71" i="82" s="1"/>
  <c r="J69" i="82"/>
  <c r="J71" i="82" s="1"/>
  <c r="K69" i="82"/>
  <c r="K71" i="82" s="1"/>
  <c r="L69" i="82"/>
  <c r="L71" i="82" s="1"/>
  <c r="M69" i="82"/>
  <c r="M71" i="82" s="1"/>
  <c r="N69" i="82"/>
  <c r="N71" i="82" s="1"/>
  <c r="O69" i="82"/>
  <c r="P69" i="82"/>
  <c r="P71" i="82" s="1"/>
  <c r="Q69" i="82"/>
  <c r="Q71" i="82" s="1"/>
  <c r="R69" i="82"/>
  <c r="F66" i="82"/>
  <c r="F68" i="82" s="1"/>
  <c r="G66" i="82"/>
  <c r="G68" i="82" s="1"/>
  <c r="H66" i="82"/>
  <c r="H68" i="82" s="1"/>
  <c r="I66" i="82"/>
  <c r="I68" i="82" s="1"/>
  <c r="J66" i="82"/>
  <c r="K66" i="82"/>
  <c r="K68" i="82" s="1"/>
  <c r="L66" i="82"/>
  <c r="L68" i="82" s="1"/>
  <c r="M66" i="82"/>
  <c r="M68" i="82" s="1"/>
  <c r="N66" i="82"/>
  <c r="N68" i="82" s="1"/>
  <c r="O66" i="82"/>
  <c r="O68" i="82" s="1"/>
  <c r="P66" i="82"/>
  <c r="P68" i="82" s="1"/>
  <c r="Q66" i="82"/>
  <c r="Q68" i="82" s="1"/>
  <c r="R66" i="82"/>
  <c r="F63" i="82"/>
  <c r="F65" i="82" s="1"/>
  <c r="G63" i="82"/>
  <c r="G65" i="82" s="1"/>
  <c r="H63" i="82"/>
  <c r="H65" i="82" s="1"/>
  <c r="I63" i="82"/>
  <c r="I65" i="82" s="1"/>
  <c r="J63" i="82"/>
  <c r="J65" i="82" s="1"/>
  <c r="K63" i="82"/>
  <c r="K65" i="82" s="1"/>
  <c r="L63" i="82"/>
  <c r="L65" i="82" s="1"/>
  <c r="M63" i="82"/>
  <c r="N63" i="82"/>
  <c r="N65" i="82" s="1"/>
  <c r="O63" i="82"/>
  <c r="O65" i="82" s="1"/>
  <c r="P63" i="82"/>
  <c r="P65" i="82" s="1"/>
  <c r="Q63" i="82"/>
  <c r="Q65" i="82" s="1"/>
  <c r="R63" i="82"/>
  <c r="F60" i="82"/>
  <c r="F62" i="82" s="1"/>
  <c r="G60" i="82"/>
  <c r="G62" i="82" s="1"/>
  <c r="H60" i="82"/>
  <c r="I60" i="82"/>
  <c r="I62" i="82" s="1"/>
  <c r="J60" i="82"/>
  <c r="J62" i="82" s="1"/>
  <c r="K60" i="82"/>
  <c r="K62" i="82" s="1"/>
  <c r="L60" i="82"/>
  <c r="L62" i="82" s="1"/>
  <c r="M60" i="82"/>
  <c r="M62" i="82" s="1"/>
  <c r="N60" i="82"/>
  <c r="N62" i="82" s="1"/>
  <c r="O60" i="82"/>
  <c r="O62" i="82" s="1"/>
  <c r="P60" i="82"/>
  <c r="Q60" i="82"/>
  <c r="Q62" i="82" s="1"/>
  <c r="R60" i="82"/>
  <c r="F57" i="82"/>
  <c r="F59" i="82" s="1"/>
  <c r="G57" i="82"/>
  <c r="G59" i="82" s="1"/>
  <c r="H57" i="82"/>
  <c r="H59" i="82" s="1"/>
  <c r="I57" i="82"/>
  <c r="I59" i="82" s="1"/>
  <c r="J57" i="82"/>
  <c r="J59" i="82" s="1"/>
  <c r="K57" i="82"/>
  <c r="L57" i="82"/>
  <c r="L59" i="82" s="1"/>
  <c r="M57" i="82"/>
  <c r="M59" i="82" s="1"/>
  <c r="N57" i="82"/>
  <c r="N59" i="82" s="1"/>
  <c r="O57" i="82"/>
  <c r="O59" i="82" s="1"/>
  <c r="P57" i="82"/>
  <c r="P59" i="82" s="1"/>
  <c r="Q57" i="82"/>
  <c r="Q59" i="82" s="1"/>
  <c r="R57" i="82"/>
  <c r="F54" i="82"/>
  <c r="G54" i="82"/>
  <c r="G56" i="82" s="1"/>
  <c r="H54" i="82"/>
  <c r="H56" i="82" s="1"/>
  <c r="I54" i="82"/>
  <c r="I56" i="82" s="1"/>
  <c r="J54" i="82"/>
  <c r="J56" i="82" s="1"/>
  <c r="K54" i="82"/>
  <c r="K56" i="82" s="1"/>
  <c r="L54" i="82"/>
  <c r="L56" i="82" s="1"/>
  <c r="M54" i="82"/>
  <c r="M56" i="82" s="1"/>
  <c r="N54" i="82"/>
  <c r="O54" i="82"/>
  <c r="O56" i="82" s="1"/>
  <c r="P54" i="82"/>
  <c r="P56" i="82" s="1"/>
  <c r="Q54" i="82"/>
  <c r="Q56" i="82" s="1"/>
  <c r="R54" i="82"/>
  <c r="F51" i="82"/>
  <c r="F53" i="82" s="1"/>
  <c r="G51" i="82"/>
  <c r="G53" i="82" s="1"/>
  <c r="H51" i="82"/>
  <c r="H53" i="82" s="1"/>
  <c r="I51" i="82"/>
  <c r="J51" i="82"/>
  <c r="J53" i="82" s="1"/>
  <c r="K51" i="82"/>
  <c r="K53" i="82" s="1"/>
  <c r="L51" i="82"/>
  <c r="L53" i="82" s="1"/>
  <c r="M51" i="82"/>
  <c r="M53" i="82" s="1"/>
  <c r="N51" i="82"/>
  <c r="N53" i="82" s="1"/>
  <c r="O51" i="82"/>
  <c r="O53" i="82" s="1"/>
  <c r="P51" i="82"/>
  <c r="P53" i="82" s="1"/>
  <c r="Q51" i="82"/>
  <c r="R51" i="82"/>
  <c r="F48" i="82"/>
  <c r="F50" i="82" s="1"/>
  <c r="G48" i="82"/>
  <c r="G50" i="82" s="1"/>
  <c r="H48" i="82"/>
  <c r="H50" i="82" s="1"/>
  <c r="I48" i="82"/>
  <c r="I50" i="82" s="1"/>
  <c r="J48" i="82"/>
  <c r="J50" i="82" s="1"/>
  <c r="K48" i="82"/>
  <c r="K50" i="82" s="1"/>
  <c r="L48" i="82"/>
  <c r="M48" i="82"/>
  <c r="M50" i="82" s="1"/>
  <c r="N48" i="82"/>
  <c r="N50" i="82" s="1"/>
  <c r="O48" i="82"/>
  <c r="O50" i="82" s="1"/>
  <c r="P48" i="82"/>
  <c r="P50" i="82" s="1"/>
  <c r="Q48" i="82"/>
  <c r="Q50" i="82" s="1"/>
  <c r="R48" i="82"/>
  <c r="F45" i="82"/>
  <c r="F47" i="82" s="1"/>
  <c r="G45" i="82"/>
  <c r="H45" i="82"/>
  <c r="H47" i="82" s="1"/>
  <c r="I45" i="82"/>
  <c r="I47" i="82" s="1"/>
  <c r="J45" i="82"/>
  <c r="J47" i="82" s="1"/>
  <c r="K45" i="82"/>
  <c r="K47" i="82" s="1"/>
  <c r="L45" i="82"/>
  <c r="L47" i="82" s="1"/>
  <c r="M45" i="82"/>
  <c r="M47" i="82" s="1"/>
  <c r="N45" i="82"/>
  <c r="N47" i="82" s="1"/>
  <c r="O45" i="82"/>
  <c r="P45" i="82"/>
  <c r="P47" i="82" s="1"/>
  <c r="Q45" i="82"/>
  <c r="Q47" i="82" s="1"/>
  <c r="R45" i="82"/>
  <c r="F42" i="82"/>
  <c r="F44" i="82" s="1"/>
  <c r="G42" i="82"/>
  <c r="G44" i="82" s="1"/>
  <c r="H42" i="82"/>
  <c r="H44" i="82" s="1"/>
  <c r="I42" i="82"/>
  <c r="I44" i="82" s="1"/>
  <c r="J42" i="82"/>
  <c r="K42" i="82"/>
  <c r="K44" i="82" s="1"/>
  <c r="L42" i="82"/>
  <c r="L44" i="82" s="1"/>
  <c r="M42" i="82"/>
  <c r="M44" i="82" s="1"/>
  <c r="N42" i="82"/>
  <c r="N44" i="82" s="1"/>
  <c r="O42" i="82"/>
  <c r="O44" i="82" s="1"/>
  <c r="P42" i="82"/>
  <c r="P44" i="82" s="1"/>
  <c r="Q42" i="82"/>
  <c r="Q44" i="82" s="1"/>
  <c r="R42" i="82"/>
  <c r="F39" i="82"/>
  <c r="F41" i="82" s="1"/>
  <c r="G39" i="82"/>
  <c r="G41" i="82" s="1"/>
  <c r="H39" i="82"/>
  <c r="H41" i="82" s="1"/>
  <c r="I39" i="82"/>
  <c r="I41" i="82" s="1"/>
  <c r="J39" i="82"/>
  <c r="J41" i="82" s="1"/>
  <c r="K39" i="82"/>
  <c r="K41" i="82" s="1"/>
  <c r="L39" i="82"/>
  <c r="L41" i="82" s="1"/>
  <c r="M39" i="82"/>
  <c r="N39" i="82"/>
  <c r="N41" i="82" s="1"/>
  <c r="O39" i="82"/>
  <c r="P39" i="82"/>
  <c r="P41" i="82" s="1"/>
  <c r="Q39" i="82"/>
  <c r="Q41" i="82" s="1"/>
  <c r="R39" i="82"/>
  <c r="F36" i="82"/>
  <c r="F38" i="82" s="1"/>
  <c r="G36" i="82"/>
  <c r="G38" i="82" s="1"/>
  <c r="H36" i="82"/>
  <c r="I36" i="82"/>
  <c r="I38" i="82" s="1"/>
  <c r="J36" i="82"/>
  <c r="J38" i="82" s="1"/>
  <c r="K36" i="82"/>
  <c r="K38" i="82" s="1"/>
  <c r="L36" i="82"/>
  <c r="L38" i="82" s="1"/>
  <c r="M36" i="82"/>
  <c r="M38" i="82" s="1"/>
  <c r="N36" i="82"/>
  <c r="N38" i="82" s="1"/>
  <c r="O36" i="82"/>
  <c r="O38" i="82" s="1"/>
  <c r="P36" i="82"/>
  <c r="Q36" i="82"/>
  <c r="Q38" i="82" s="1"/>
  <c r="R36" i="82"/>
  <c r="F33" i="82"/>
  <c r="F35" i="82" s="1"/>
  <c r="G33" i="82"/>
  <c r="G35" i="82" s="1"/>
  <c r="H33" i="82"/>
  <c r="H35" i="82" s="1"/>
  <c r="I33" i="82"/>
  <c r="I35" i="82" s="1"/>
  <c r="J33" i="82"/>
  <c r="J35" i="82" s="1"/>
  <c r="K33" i="82"/>
  <c r="L33" i="82"/>
  <c r="L35" i="82" s="1"/>
  <c r="M33" i="82"/>
  <c r="M35" i="82" s="1"/>
  <c r="N33" i="82"/>
  <c r="N35" i="82" s="1"/>
  <c r="O33" i="82"/>
  <c r="O35" i="82" s="1"/>
  <c r="P33" i="82"/>
  <c r="P35" i="82" s="1"/>
  <c r="Q33" i="82"/>
  <c r="Q35" i="82" s="1"/>
  <c r="R33" i="82"/>
  <c r="F30" i="82"/>
  <c r="G30" i="82"/>
  <c r="G32" i="82" s="1"/>
  <c r="H30" i="82"/>
  <c r="H32" i="82" s="1"/>
  <c r="I30" i="82"/>
  <c r="I32" i="82" s="1"/>
  <c r="J30" i="82"/>
  <c r="J32" i="82" s="1"/>
  <c r="K30" i="82"/>
  <c r="K32" i="82" s="1"/>
  <c r="L30" i="82"/>
  <c r="L32" i="82" s="1"/>
  <c r="M30" i="82"/>
  <c r="M32" i="82" s="1"/>
  <c r="N30" i="82"/>
  <c r="O30" i="82"/>
  <c r="O32" i="82" s="1"/>
  <c r="P30" i="82"/>
  <c r="P32" i="82" s="1"/>
  <c r="Q30" i="82"/>
  <c r="Q32" i="82" s="1"/>
  <c r="R30" i="82"/>
  <c r="F27" i="82"/>
  <c r="F29" i="82" s="1"/>
  <c r="G27" i="82"/>
  <c r="G29" i="82" s="1"/>
  <c r="H27" i="82"/>
  <c r="H29" i="82" s="1"/>
  <c r="I27" i="82"/>
  <c r="J27" i="82"/>
  <c r="J29" i="82" s="1"/>
  <c r="K27" i="82"/>
  <c r="K29" i="82" s="1"/>
  <c r="L27" i="82"/>
  <c r="L29" i="82" s="1"/>
  <c r="M27" i="82"/>
  <c r="M29" i="82" s="1"/>
  <c r="N27" i="82"/>
  <c r="N29" i="82" s="1"/>
  <c r="O27" i="82"/>
  <c r="O29" i="82" s="1"/>
  <c r="P27" i="82"/>
  <c r="P29" i="82" s="1"/>
  <c r="Q27" i="82"/>
  <c r="R27" i="82"/>
  <c r="F24" i="82"/>
  <c r="F26" i="82" s="1"/>
  <c r="G24" i="82"/>
  <c r="G26" i="82" s="1"/>
  <c r="H24" i="82"/>
  <c r="H26" i="82" s="1"/>
  <c r="I24" i="82"/>
  <c r="I26" i="82" s="1"/>
  <c r="J24" i="82"/>
  <c r="J26" i="82" s="1"/>
  <c r="K24" i="82"/>
  <c r="K26" i="82" s="1"/>
  <c r="L24" i="82"/>
  <c r="M24" i="82"/>
  <c r="M26" i="82" s="1"/>
  <c r="N24" i="82"/>
  <c r="N26" i="82" s="1"/>
  <c r="O24" i="82"/>
  <c r="O26" i="82" s="1"/>
  <c r="P24" i="82"/>
  <c r="P26" i="82" s="1"/>
  <c r="Q24" i="82"/>
  <c r="Q26" i="82" s="1"/>
  <c r="R24" i="82"/>
  <c r="F21" i="82"/>
  <c r="F23" i="82" s="1"/>
  <c r="G21" i="82"/>
  <c r="H21" i="82"/>
  <c r="H23" i="82" s="1"/>
  <c r="I21" i="82"/>
  <c r="I23" i="82" s="1"/>
  <c r="J21" i="82"/>
  <c r="J23" i="82" s="1"/>
  <c r="K21" i="82"/>
  <c r="K23" i="82" s="1"/>
  <c r="L21" i="82"/>
  <c r="L23" i="82" s="1"/>
  <c r="M21" i="82"/>
  <c r="M23" i="82" s="1"/>
  <c r="N21" i="82"/>
  <c r="N23" i="82" s="1"/>
  <c r="O21" i="82"/>
  <c r="P21" i="82"/>
  <c r="P23" i="82" s="1"/>
  <c r="Q21" i="82"/>
  <c r="Q23" i="82" s="1"/>
  <c r="R21" i="82"/>
  <c r="F18" i="82"/>
  <c r="F20" i="82" s="1"/>
  <c r="G18" i="82"/>
  <c r="G20" i="82" s="1"/>
  <c r="H18" i="82"/>
  <c r="H20" i="82" s="1"/>
  <c r="I18" i="82"/>
  <c r="I20" i="82" s="1"/>
  <c r="J18" i="82"/>
  <c r="K18" i="82"/>
  <c r="K20" i="82" s="1"/>
  <c r="L18" i="82"/>
  <c r="L20" i="82" s="1"/>
  <c r="M18" i="82"/>
  <c r="M20" i="82" s="1"/>
  <c r="N18" i="82"/>
  <c r="N20" i="82" s="1"/>
  <c r="O18" i="82"/>
  <c r="O20" i="82" s="1"/>
  <c r="P18" i="82"/>
  <c r="P20" i="82" s="1"/>
  <c r="Q18" i="82"/>
  <c r="Q20" i="82" s="1"/>
  <c r="R18" i="82"/>
  <c r="F15" i="82"/>
  <c r="F17" i="82" s="1"/>
  <c r="G15" i="82"/>
  <c r="G17" i="82" s="1"/>
  <c r="H15" i="82"/>
  <c r="H17" i="82" s="1"/>
  <c r="I15" i="82"/>
  <c r="I17" i="82" s="1"/>
  <c r="J15" i="82"/>
  <c r="J17" i="82" s="1"/>
  <c r="K15" i="82"/>
  <c r="K17" i="82" s="1"/>
  <c r="L15" i="82"/>
  <c r="L17" i="82" s="1"/>
  <c r="M15" i="82"/>
  <c r="N15" i="82"/>
  <c r="N17" i="82" s="1"/>
  <c r="O15" i="82"/>
  <c r="O17" i="82" s="1"/>
  <c r="P15" i="82"/>
  <c r="P17" i="82" s="1"/>
  <c r="Q15" i="82"/>
  <c r="Q17" i="82" s="1"/>
  <c r="R15" i="82"/>
  <c r="F12" i="82"/>
  <c r="F14" i="82" s="1"/>
  <c r="G12" i="82"/>
  <c r="G14" i="82" s="1"/>
  <c r="H12" i="82"/>
  <c r="I12" i="82"/>
  <c r="I14" i="82" s="1"/>
  <c r="J12" i="82"/>
  <c r="J14" i="82" s="1"/>
  <c r="K12" i="82"/>
  <c r="K14" i="82" s="1"/>
  <c r="L12" i="82"/>
  <c r="L14" i="82" s="1"/>
  <c r="M12" i="82"/>
  <c r="M14" i="82" s="1"/>
  <c r="N12" i="82"/>
  <c r="N14" i="82" s="1"/>
  <c r="O12" i="82"/>
  <c r="O14" i="82" s="1"/>
  <c r="P12" i="82"/>
  <c r="Q12" i="82"/>
  <c r="Q14" i="82" s="1"/>
  <c r="R12" i="82"/>
  <c r="F9" i="82"/>
  <c r="F11" i="82" s="1"/>
  <c r="G9" i="82"/>
  <c r="G11" i="82" s="1"/>
  <c r="H9" i="82"/>
  <c r="H11" i="82" s="1"/>
  <c r="I9" i="82"/>
  <c r="I11" i="82" s="1"/>
  <c r="J9" i="82"/>
  <c r="J11" i="82" s="1"/>
  <c r="K9" i="82"/>
  <c r="L9" i="82"/>
  <c r="L11" i="82" s="1"/>
  <c r="M9" i="82"/>
  <c r="M11" i="82" s="1"/>
  <c r="N9" i="82"/>
  <c r="N11" i="82" s="1"/>
  <c r="O9" i="82"/>
  <c r="O11" i="82" s="1"/>
  <c r="P9" i="82"/>
  <c r="P11" i="82" s="1"/>
  <c r="Q9" i="82"/>
  <c r="Q11" i="82" s="1"/>
  <c r="R9" i="82"/>
  <c r="F6" i="82"/>
  <c r="G6" i="82"/>
  <c r="G8" i="82" s="1"/>
  <c r="H6" i="82"/>
  <c r="H8" i="82" s="1"/>
  <c r="I6" i="82"/>
  <c r="I8" i="82" s="1"/>
  <c r="J6" i="82"/>
  <c r="J8" i="82" s="1"/>
  <c r="K6" i="82"/>
  <c r="K8" i="82" s="1"/>
  <c r="L6" i="82"/>
  <c r="L8" i="82" s="1"/>
  <c r="M6" i="82"/>
  <c r="M8" i="82" s="1"/>
  <c r="N6" i="82"/>
  <c r="O6" i="82"/>
  <c r="O8" i="82" s="1"/>
  <c r="P6" i="82"/>
  <c r="P8" i="82" s="1"/>
  <c r="Q6" i="82"/>
  <c r="Q8" i="82" s="1"/>
  <c r="R6" i="82"/>
  <c r="F4" i="81"/>
  <c r="F5" i="81"/>
  <c r="F6" i="81"/>
  <c r="F7" i="81"/>
  <c r="F8" i="81"/>
  <c r="F9" i="81"/>
  <c r="F10" i="81"/>
  <c r="F11" i="81"/>
  <c r="F12" i="81"/>
  <c r="F13" i="81"/>
  <c r="F14" i="81"/>
  <c r="F15" i="81"/>
  <c r="F16" i="81"/>
  <c r="F17" i="81"/>
  <c r="F18" i="81"/>
  <c r="F19" i="81"/>
  <c r="F20" i="81"/>
  <c r="F21" i="81"/>
  <c r="F22" i="81"/>
  <c r="F23" i="81"/>
  <c r="F24" i="81"/>
  <c r="F25" i="81"/>
  <c r="F26" i="81"/>
  <c r="F27" i="81"/>
  <c r="F28" i="81"/>
  <c r="F29" i="81"/>
  <c r="F30" i="81"/>
  <c r="F31" i="81"/>
  <c r="F32" i="81"/>
  <c r="F33" i="81"/>
  <c r="F34" i="81"/>
  <c r="F35" i="81"/>
  <c r="F36" i="81"/>
  <c r="F37" i="81"/>
  <c r="F38" i="81"/>
  <c r="F39" i="81"/>
  <c r="F40" i="81"/>
  <c r="F41" i="81"/>
  <c r="F42" i="81"/>
  <c r="F43" i="81"/>
  <c r="F44" i="81"/>
  <c r="F45" i="81"/>
  <c r="F46" i="81"/>
  <c r="F47" i="81"/>
  <c r="F48" i="81"/>
  <c r="F49" i="81"/>
  <c r="F50" i="81"/>
  <c r="F51" i="81"/>
  <c r="F52" i="81"/>
  <c r="F53" i="81"/>
  <c r="F54" i="81"/>
  <c r="F55" i="81"/>
  <c r="F56" i="81"/>
  <c r="F57" i="81"/>
  <c r="F58" i="81"/>
  <c r="E4" i="81"/>
  <c r="E5" i="81"/>
  <c r="E6" i="81"/>
  <c r="E7" i="81"/>
  <c r="E8" i="81"/>
  <c r="E9" i="81"/>
  <c r="E10" i="81"/>
  <c r="E11" i="81"/>
  <c r="E12" i="81"/>
  <c r="E13" i="81"/>
  <c r="E14" i="81"/>
  <c r="E15" i="81"/>
  <c r="E16" i="81"/>
  <c r="E17" i="81"/>
  <c r="E18" i="81"/>
  <c r="E19" i="81"/>
  <c r="E20" i="81"/>
  <c r="E21" i="81"/>
  <c r="E22" i="81"/>
  <c r="E23" i="81"/>
  <c r="E24" i="81"/>
  <c r="E25" i="81"/>
  <c r="E26" i="81"/>
  <c r="E27" i="81"/>
  <c r="E28" i="81"/>
  <c r="E29" i="81"/>
  <c r="E30" i="81"/>
  <c r="E31" i="81"/>
  <c r="E32" i="81"/>
  <c r="E33" i="81"/>
  <c r="E34" i="81"/>
  <c r="E35" i="81"/>
  <c r="E36" i="81"/>
  <c r="E37" i="81"/>
  <c r="E38" i="81"/>
  <c r="E39" i="81"/>
  <c r="E40" i="81"/>
  <c r="E41" i="81"/>
  <c r="E42" i="81"/>
  <c r="E43" i="81"/>
  <c r="E44" i="81"/>
  <c r="E45" i="81"/>
  <c r="E46" i="81"/>
  <c r="E47" i="81"/>
  <c r="E48" i="81"/>
  <c r="E49" i="81"/>
  <c r="E50" i="81"/>
  <c r="E51" i="81"/>
  <c r="E52" i="81"/>
  <c r="E53" i="81"/>
  <c r="E54" i="81"/>
  <c r="E55" i="81"/>
  <c r="E56" i="81"/>
  <c r="E57" i="81"/>
  <c r="E58" i="81"/>
  <c r="F4" i="77"/>
  <c r="F5" i="77"/>
  <c r="F6" i="77"/>
  <c r="F7" i="77"/>
  <c r="F8" i="77"/>
  <c r="F9" i="77"/>
  <c r="F10" i="77"/>
  <c r="F11" i="77"/>
  <c r="F12" i="77"/>
  <c r="F13" i="77"/>
  <c r="F14" i="77"/>
  <c r="F15" i="77"/>
  <c r="F16" i="77"/>
  <c r="F17" i="77"/>
  <c r="F18" i="77"/>
  <c r="F19" i="77"/>
  <c r="F20" i="77"/>
  <c r="F21" i="77"/>
  <c r="F22" i="77"/>
  <c r="F23" i="77"/>
  <c r="F24" i="77"/>
  <c r="F25" i="77"/>
  <c r="F26" i="77"/>
  <c r="F27" i="77"/>
  <c r="F28" i="77"/>
  <c r="F29" i="77"/>
  <c r="F30" i="77"/>
  <c r="F31" i="77"/>
  <c r="F32" i="77"/>
  <c r="F33" i="77"/>
  <c r="F34" i="77"/>
  <c r="F35" i="77"/>
  <c r="F36" i="77"/>
  <c r="F37" i="77"/>
  <c r="F38" i="77"/>
  <c r="F39" i="77"/>
  <c r="F40" i="77"/>
  <c r="F41" i="77"/>
  <c r="F42" i="77"/>
  <c r="F43" i="77"/>
  <c r="F44" i="77"/>
  <c r="F45" i="77"/>
  <c r="F46" i="77"/>
  <c r="F47" i="77"/>
  <c r="F48" i="77"/>
  <c r="F49" i="77"/>
  <c r="F50" i="77"/>
  <c r="F51" i="77"/>
  <c r="F52" i="77"/>
  <c r="F53" i="77"/>
  <c r="F54" i="77"/>
  <c r="F55" i="77"/>
  <c r="F56" i="77"/>
  <c r="F57" i="77"/>
  <c r="F58" i="77"/>
  <c r="E4" i="77"/>
  <c r="E5" i="77"/>
  <c r="E6" i="77"/>
  <c r="E7" i="77"/>
  <c r="E8" i="77"/>
  <c r="E9" i="77"/>
  <c r="E10" i="77"/>
  <c r="E11" i="77"/>
  <c r="E12" i="77"/>
  <c r="E13" i="77"/>
  <c r="E14" i="77"/>
  <c r="E15" i="77"/>
  <c r="E16" i="77"/>
  <c r="E17" i="77"/>
  <c r="E18" i="77"/>
  <c r="E19" i="77"/>
  <c r="E20" i="77"/>
  <c r="E21" i="77"/>
  <c r="E22" i="77"/>
  <c r="E23" i="77"/>
  <c r="E24" i="77"/>
  <c r="E25" i="77"/>
  <c r="E26" i="77"/>
  <c r="E27" i="77"/>
  <c r="E28" i="77"/>
  <c r="E29" i="77"/>
  <c r="E30" i="77"/>
  <c r="E31" i="77"/>
  <c r="E32" i="77"/>
  <c r="E33" i="77"/>
  <c r="E34" i="77"/>
  <c r="E35" i="77"/>
  <c r="E36" i="77"/>
  <c r="E37" i="77"/>
  <c r="E38" i="77"/>
  <c r="E39" i="77"/>
  <c r="E40" i="77"/>
  <c r="E41" i="77"/>
  <c r="E42" i="77"/>
  <c r="E43" i="77"/>
  <c r="E44" i="77"/>
  <c r="E45" i="77"/>
  <c r="E46" i="77"/>
  <c r="E47" i="77"/>
  <c r="E48" i="77"/>
  <c r="E49" i="77"/>
  <c r="E50" i="77"/>
  <c r="E51" i="77"/>
  <c r="E52" i="77"/>
  <c r="E53" i="77"/>
  <c r="E54" i="77"/>
  <c r="E55" i="77"/>
  <c r="E56" i="77"/>
  <c r="E57" i="77"/>
  <c r="E58" i="77"/>
  <c r="F109" i="78"/>
  <c r="G109" i="78"/>
  <c r="H109" i="78"/>
  <c r="I109" i="78"/>
  <c r="J109" i="78"/>
  <c r="K109" i="78"/>
  <c r="L109" i="78"/>
  <c r="M109" i="78"/>
  <c r="N109" i="78"/>
  <c r="O109" i="78"/>
  <c r="P109" i="78"/>
  <c r="Q109" i="78"/>
  <c r="R109" i="78"/>
  <c r="F106" i="78"/>
  <c r="G106" i="78"/>
  <c r="H106" i="78"/>
  <c r="I106" i="78"/>
  <c r="J106" i="78"/>
  <c r="K106" i="78"/>
  <c r="L106" i="78"/>
  <c r="M106" i="78"/>
  <c r="N106" i="78"/>
  <c r="O106" i="78"/>
  <c r="P106" i="78"/>
  <c r="Q106" i="78"/>
  <c r="R106" i="78"/>
  <c r="F103" i="78"/>
  <c r="G103" i="78"/>
  <c r="H103" i="78"/>
  <c r="I103" i="78"/>
  <c r="J103" i="78"/>
  <c r="K103" i="78"/>
  <c r="L103" i="78"/>
  <c r="M103" i="78"/>
  <c r="N103" i="78"/>
  <c r="O103" i="78"/>
  <c r="P103" i="78"/>
  <c r="Q103" i="78"/>
  <c r="R103" i="78"/>
  <c r="F100" i="78"/>
  <c r="G100" i="78"/>
  <c r="H100" i="78"/>
  <c r="I100" i="78"/>
  <c r="J100" i="78"/>
  <c r="K100" i="78"/>
  <c r="L100" i="78"/>
  <c r="M100" i="78"/>
  <c r="N100" i="78"/>
  <c r="O100" i="78"/>
  <c r="P100" i="78"/>
  <c r="Q100" i="78"/>
  <c r="R100" i="78"/>
  <c r="F97" i="78"/>
  <c r="G97" i="78"/>
  <c r="H97" i="78"/>
  <c r="I97" i="78"/>
  <c r="J97" i="78"/>
  <c r="K97" i="78"/>
  <c r="L97" i="78"/>
  <c r="M97" i="78"/>
  <c r="N97" i="78"/>
  <c r="O97" i="78"/>
  <c r="P97" i="78"/>
  <c r="Q97" i="78"/>
  <c r="R97" i="78"/>
  <c r="F94" i="78"/>
  <c r="G94" i="78"/>
  <c r="H94" i="78"/>
  <c r="I94" i="78"/>
  <c r="J94" i="78"/>
  <c r="K94" i="78"/>
  <c r="L94" i="78"/>
  <c r="M94" i="78"/>
  <c r="N94" i="78"/>
  <c r="O94" i="78"/>
  <c r="P94" i="78"/>
  <c r="Q94" i="78"/>
  <c r="R94" i="78"/>
  <c r="F91" i="78"/>
  <c r="G91" i="78"/>
  <c r="H91" i="78"/>
  <c r="I91" i="78"/>
  <c r="J91" i="78"/>
  <c r="K91" i="78"/>
  <c r="L91" i="78"/>
  <c r="M91" i="78"/>
  <c r="N91" i="78"/>
  <c r="O91" i="78"/>
  <c r="P91" i="78"/>
  <c r="Q91" i="78"/>
  <c r="R91" i="78"/>
  <c r="F88" i="78"/>
  <c r="G88" i="78"/>
  <c r="H88" i="78"/>
  <c r="I88" i="78"/>
  <c r="J88" i="78"/>
  <c r="K88" i="78"/>
  <c r="L88" i="78"/>
  <c r="M88" i="78"/>
  <c r="N88" i="78"/>
  <c r="O88" i="78"/>
  <c r="P88" i="78"/>
  <c r="Q88" i="78"/>
  <c r="R88" i="78"/>
  <c r="F85" i="78"/>
  <c r="G85" i="78"/>
  <c r="H85" i="78"/>
  <c r="I85" i="78"/>
  <c r="J85" i="78"/>
  <c r="K85" i="78"/>
  <c r="L85" i="78"/>
  <c r="M85" i="78"/>
  <c r="N85" i="78"/>
  <c r="O85" i="78"/>
  <c r="P85" i="78"/>
  <c r="Q85" i="78"/>
  <c r="R85" i="78"/>
  <c r="F82" i="78"/>
  <c r="G82" i="78"/>
  <c r="H82" i="78"/>
  <c r="I82" i="78"/>
  <c r="J82" i="78"/>
  <c r="K82" i="78"/>
  <c r="L82" i="78"/>
  <c r="M82" i="78"/>
  <c r="N82" i="78"/>
  <c r="O82" i="78"/>
  <c r="P82" i="78"/>
  <c r="Q82" i="78"/>
  <c r="R82" i="78"/>
  <c r="F79" i="78"/>
  <c r="G79" i="78"/>
  <c r="H79" i="78"/>
  <c r="I79" i="78"/>
  <c r="J79" i="78"/>
  <c r="K79" i="78"/>
  <c r="L79" i="78"/>
  <c r="M79" i="78"/>
  <c r="N79" i="78"/>
  <c r="O79" i="78"/>
  <c r="P79" i="78"/>
  <c r="Q79" i="78"/>
  <c r="R79" i="78"/>
  <c r="F76" i="78"/>
  <c r="G76" i="78"/>
  <c r="H76" i="78"/>
  <c r="I76" i="78"/>
  <c r="J76" i="78"/>
  <c r="K76" i="78"/>
  <c r="L76" i="78"/>
  <c r="M76" i="78"/>
  <c r="N76" i="78"/>
  <c r="O76" i="78"/>
  <c r="P76" i="78"/>
  <c r="Q76" i="78"/>
  <c r="R76" i="78"/>
  <c r="F73" i="78"/>
  <c r="G73" i="78"/>
  <c r="H73" i="78"/>
  <c r="I73" i="78"/>
  <c r="J73" i="78"/>
  <c r="K73" i="78"/>
  <c r="L73" i="78"/>
  <c r="M73" i="78"/>
  <c r="N73" i="78"/>
  <c r="O73" i="78"/>
  <c r="P73" i="78"/>
  <c r="Q73" i="78"/>
  <c r="R73" i="78"/>
  <c r="F70" i="78"/>
  <c r="G70" i="78"/>
  <c r="H70" i="78"/>
  <c r="I70" i="78"/>
  <c r="J70" i="78"/>
  <c r="K70" i="78"/>
  <c r="L70" i="78"/>
  <c r="M70" i="78"/>
  <c r="N70" i="78"/>
  <c r="O70" i="78"/>
  <c r="P70" i="78"/>
  <c r="Q70" i="78"/>
  <c r="R70" i="78"/>
  <c r="F67" i="78"/>
  <c r="G67" i="78"/>
  <c r="H67" i="78"/>
  <c r="I67" i="78"/>
  <c r="J67" i="78"/>
  <c r="K67" i="78"/>
  <c r="L67" i="78"/>
  <c r="M67" i="78"/>
  <c r="N67" i="78"/>
  <c r="O67" i="78"/>
  <c r="P67" i="78"/>
  <c r="Q67" i="78"/>
  <c r="R67" i="78"/>
  <c r="F64" i="78"/>
  <c r="G64" i="78"/>
  <c r="H64" i="78"/>
  <c r="I64" i="78"/>
  <c r="J64" i="78"/>
  <c r="K64" i="78"/>
  <c r="L64" i="78"/>
  <c r="M64" i="78"/>
  <c r="N64" i="78"/>
  <c r="O64" i="78"/>
  <c r="P64" i="78"/>
  <c r="Q64" i="78"/>
  <c r="R64" i="78"/>
  <c r="F61" i="78"/>
  <c r="G61" i="78"/>
  <c r="H61" i="78"/>
  <c r="I61" i="78"/>
  <c r="J61" i="78"/>
  <c r="K61" i="78"/>
  <c r="L61" i="78"/>
  <c r="M61" i="78"/>
  <c r="N61" i="78"/>
  <c r="O61" i="78"/>
  <c r="P61" i="78"/>
  <c r="Q61" i="78"/>
  <c r="R61" i="78"/>
  <c r="F58" i="78"/>
  <c r="G58" i="78"/>
  <c r="H58" i="78"/>
  <c r="I58" i="78"/>
  <c r="J58" i="78"/>
  <c r="K58" i="78"/>
  <c r="L58" i="78"/>
  <c r="M58" i="78"/>
  <c r="N58" i="78"/>
  <c r="O58" i="78"/>
  <c r="P58" i="78"/>
  <c r="Q58" i="78"/>
  <c r="R58" i="78"/>
  <c r="F55" i="78"/>
  <c r="G55" i="78"/>
  <c r="H55" i="78"/>
  <c r="I55" i="78"/>
  <c r="J55" i="78"/>
  <c r="K55" i="78"/>
  <c r="L55" i="78"/>
  <c r="M55" i="78"/>
  <c r="N55" i="78"/>
  <c r="O55" i="78"/>
  <c r="P55" i="78"/>
  <c r="Q55" i="78"/>
  <c r="R55" i="78"/>
  <c r="F52" i="78"/>
  <c r="G52" i="78"/>
  <c r="H52" i="78"/>
  <c r="I52" i="78"/>
  <c r="J52" i="78"/>
  <c r="K52" i="78"/>
  <c r="L52" i="78"/>
  <c r="M52" i="78"/>
  <c r="N52" i="78"/>
  <c r="O52" i="78"/>
  <c r="P52" i="78"/>
  <c r="Q52" i="78"/>
  <c r="R52" i="78"/>
  <c r="F49" i="78"/>
  <c r="G49" i="78"/>
  <c r="H49" i="78"/>
  <c r="I49" i="78"/>
  <c r="J49" i="78"/>
  <c r="K49" i="78"/>
  <c r="L49" i="78"/>
  <c r="M49" i="78"/>
  <c r="N49" i="78"/>
  <c r="O49" i="78"/>
  <c r="P49" i="78"/>
  <c r="Q49" i="78"/>
  <c r="R49" i="78"/>
  <c r="F46" i="78"/>
  <c r="G46" i="78"/>
  <c r="H46" i="78"/>
  <c r="I46" i="78"/>
  <c r="J46" i="78"/>
  <c r="K46" i="78"/>
  <c r="L46" i="78"/>
  <c r="M46" i="78"/>
  <c r="N46" i="78"/>
  <c r="O46" i="78"/>
  <c r="P46" i="78"/>
  <c r="Q46" i="78"/>
  <c r="R46" i="78"/>
  <c r="F43" i="78"/>
  <c r="G43" i="78"/>
  <c r="H43" i="78"/>
  <c r="I43" i="78"/>
  <c r="J43" i="78"/>
  <c r="K43" i="78"/>
  <c r="L43" i="78"/>
  <c r="M43" i="78"/>
  <c r="N43" i="78"/>
  <c r="O43" i="78"/>
  <c r="P43" i="78"/>
  <c r="Q43" i="78"/>
  <c r="R43" i="78"/>
  <c r="F40" i="78"/>
  <c r="G40" i="78"/>
  <c r="H40" i="78"/>
  <c r="I40" i="78"/>
  <c r="J40" i="78"/>
  <c r="K40" i="78"/>
  <c r="L40" i="78"/>
  <c r="M40" i="78"/>
  <c r="N40" i="78"/>
  <c r="O40" i="78"/>
  <c r="P40" i="78"/>
  <c r="Q40" i="78"/>
  <c r="R40" i="78"/>
  <c r="F37" i="78"/>
  <c r="G37" i="78"/>
  <c r="H37" i="78"/>
  <c r="I37" i="78"/>
  <c r="J37" i="78"/>
  <c r="K37" i="78"/>
  <c r="L37" i="78"/>
  <c r="M37" i="78"/>
  <c r="N37" i="78"/>
  <c r="O37" i="78"/>
  <c r="P37" i="78"/>
  <c r="Q37" i="78"/>
  <c r="R37" i="78"/>
  <c r="F34" i="78"/>
  <c r="G34" i="78"/>
  <c r="H34" i="78"/>
  <c r="I34" i="78"/>
  <c r="J34" i="78"/>
  <c r="K34" i="78"/>
  <c r="L34" i="78"/>
  <c r="M34" i="78"/>
  <c r="N34" i="78"/>
  <c r="O34" i="78"/>
  <c r="P34" i="78"/>
  <c r="Q34" i="78"/>
  <c r="R34" i="78"/>
  <c r="F31" i="78"/>
  <c r="G31" i="78"/>
  <c r="H31" i="78"/>
  <c r="I31" i="78"/>
  <c r="J31" i="78"/>
  <c r="K31" i="78"/>
  <c r="L31" i="78"/>
  <c r="M31" i="78"/>
  <c r="N31" i="78"/>
  <c r="O31" i="78"/>
  <c r="P31" i="78"/>
  <c r="Q31" i="78"/>
  <c r="R31" i="78"/>
  <c r="F28" i="78"/>
  <c r="G28" i="78"/>
  <c r="H28" i="78"/>
  <c r="I28" i="78"/>
  <c r="J28" i="78"/>
  <c r="K28" i="78"/>
  <c r="L28" i="78"/>
  <c r="M28" i="78"/>
  <c r="N28" i="78"/>
  <c r="O28" i="78"/>
  <c r="P28" i="78"/>
  <c r="Q28" i="78"/>
  <c r="R28" i="78"/>
  <c r="F25" i="78"/>
  <c r="G25" i="78"/>
  <c r="H25" i="78"/>
  <c r="I25" i="78"/>
  <c r="J25" i="78"/>
  <c r="K25" i="78"/>
  <c r="L25" i="78"/>
  <c r="M25" i="78"/>
  <c r="N25" i="78"/>
  <c r="O25" i="78"/>
  <c r="P25" i="78"/>
  <c r="Q25" i="78"/>
  <c r="R25" i="78"/>
  <c r="F22" i="78"/>
  <c r="G22" i="78"/>
  <c r="H22" i="78"/>
  <c r="I22" i="78"/>
  <c r="J22" i="78"/>
  <c r="K22" i="78"/>
  <c r="L22" i="78"/>
  <c r="M22" i="78"/>
  <c r="N22" i="78"/>
  <c r="O22" i="78"/>
  <c r="P22" i="78"/>
  <c r="Q22" i="78"/>
  <c r="R22" i="78"/>
  <c r="F19" i="78"/>
  <c r="G19" i="78"/>
  <c r="H19" i="78"/>
  <c r="I19" i="78"/>
  <c r="J19" i="78"/>
  <c r="K19" i="78"/>
  <c r="L19" i="78"/>
  <c r="M19" i="78"/>
  <c r="N19" i="78"/>
  <c r="O19" i="78"/>
  <c r="P19" i="78"/>
  <c r="Q19" i="78"/>
  <c r="R19" i="78"/>
  <c r="F16" i="78"/>
  <c r="G16" i="78"/>
  <c r="H16" i="78"/>
  <c r="I16" i="78"/>
  <c r="J16" i="78"/>
  <c r="K16" i="78"/>
  <c r="L16" i="78"/>
  <c r="M16" i="78"/>
  <c r="N16" i="78"/>
  <c r="O16" i="78"/>
  <c r="P16" i="78"/>
  <c r="Q16" i="78"/>
  <c r="R16" i="78"/>
  <c r="F13" i="78"/>
  <c r="G13" i="78"/>
  <c r="H13" i="78"/>
  <c r="I13" i="78"/>
  <c r="J13" i="78"/>
  <c r="K13" i="78"/>
  <c r="L13" i="78"/>
  <c r="M13" i="78"/>
  <c r="N13" i="78"/>
  <c r="O13" i="78"/>
  <c r="P13" i="78"/>
  <c r="Q13" i="78"/>
  <c r="R13" i="78"/>
  <c r="F10" i="78"/>
  <c r="G10" i="78"/>
  <c r="H10" i="78"/>
  <c r="I10" i="78"/>
  <c r="J10" i="78"/>
  <c r="K10" i="78"/>
  <c r="L10" i="78"/>
  <c r="M10" i="78"/>
  <c r="N10" i="78"/>
  <c r="O10" i="78"/>
  <c r="P10" i="78"/>
  <c r="Q10" i="78"/>
  <c r="R10" i="78"/>
  <c r="F7" i="78"/>
  <c r="G7" i="78"/>
  <c r="H7" i="78"/>
  <c r="I7" i="78"/>
  <c r="J7" i="78"/>
  <c r="K7" i="78"/>
  <c r="L7" i="78"/>
  <c r="M7" i="78"/>
  <c r="N7" i="78"/>
  <c r="O7" i="78"/>
  <c r="P7" i="78"/>
  <c r="Q7" i="78"/>
  <c r="Q8" i="78" s="1"/>
  <c r="R7" i="78"/>
  <c r="F108" i="78"/>
  <c r="G108" i="78"/>
  <c r="G110" i="78" s="1"/>
  <c r="H108" i="78"/>
  <c r="I108" i="78"/>
  <c r="I110" i="78" s="1"/>
  <c r="J108" i="78"/>
  <c r="K108" i="78"/>
  <c r="K110" i="78" s="1"/>
  <c r="L108" i="78"/>
  <c r="M108" i="78"/>
  <c r="M110" i="78" s="1"/>
  <c r="N108" i="78"/>
  <c r="O108" i="78"/>
  <c r="O110" i="78" s="1"/>
  <c r="P108" i="78"/>
  <c r="Q108" i="78"/>
  <c r="Q110" i="78" s="1"/>
  <c r="R108" i="78"/>
  <c r="F105" i="78"/>
  <c r="F107" i="78" s="1"/>
  <c r="G105" i="78"/>
  <c r="H105" i="78"/>
  <c r="H107" i="78" s="1"/>
  <c r="I105" i="78"/>
  <c r="J105" i="78"/>
  <c r="J107" i="78" s="1"/>
  <c r="K105" i="78"/>
  <c r="L105" i="78"/>
  <c r="L107" i="78" s="1"/>
  <c r="M105" i="78"/>
  <c r="N105" i="78"/>
  <c r="N107" i="78" s="1"/>
  <c r="O105" i="78"/>
  <c r="P105" i="78"/>
  <c r="P107" i="78" s="1"/>
  <c r="Q105" i="78"/>
  <c r="R105" i="78"/>
  <c r="F102" i="78"/>
  <c r="G102" i="78"/>
  <c r="G104" i="78" s="1"/>
  <c r="H102" i="78"/>
  <c r="I102" i="78"/>
  <c r="I104" i="78" s="1"/>
  <c r="J102" i="78"/>
  <c r="K102" i="78"/>
  <c r="K104" i="78" s="1"/>
  <c r="L102" i="78"/>
  <c r="M102" i="78"/>
  <c r="M104" i="78" s="1"/>
  <c r="N102" i="78"/>
  <c r="O102" i="78"/>
  <c r="O104" i="78" s="1"/>
  <c r="P102" i="78"/>
  <c r="Q102" i="78"/>
  <c r="Q104" i="78" s="1"/>
  <c r="R102" i="78"/>
  <c r="F99" i="78"/>
  <c r="F101" i="78" s="1"/>
  <c r="G99" i="78"/>
  <c r="H99" i="78"/>
  <c r="H101" i="78" s="1"/>
  <c r="I99" i="78"/>
  <c r="J99" i="78"/>
  <c r="J101" i="78" s="1"/>
  <c r="K99" i="78"/>
  <c r="L99" i="78"/>
  <c r="L101" i="78" s="1"/>
  <c r="M99" i="78"/>
  <c r="N99" i="78"/>
  <c r="N101" i="78" s="1"/>
  <c r="O99" i="78"/>
  <c r="P99" i="78"/>
  <c r="P101" i="78" s="1"/>
  <c r="Q99" i="78"/>
  <c r="R99" i="78"/>
  <c r="F96" i="78"/>
  <c r="G96" i="78"/>
  <c r="G98" i="78" s="1"/>
  <c r="H96" i="78"/>
  <c r="I96" i="78"/>
  <c r="I98" i="78" s="1"/>
  <c r="J96" i="78"/>
  <c r="K96" i="78"/>
  <c r="K98" i="78" s="1"/>
  <c r="L96" i="78"/>
  <c r="M96" i="78"/>
  <c r="M98" i="78" s="1"/>
  <c r="N96" i="78"/>
  <c r="O96" i="78"/>
  <c r="O98" i="78" s="1"/>
  <c r="P96" i="78"/>
  <c r="Q96" i="78"/>
  <c r="Q98" i="78" s="1"/>
  <c r="R96" i="78"/>
  <c r="F93" i="78"/>
  <c r="F95" i="78" s="1"/>
  <c r="G93" i="78"/>
  <c r="H93" i="78"/>
  <c r="H95" i="78" s="1"/>
  <c r="I93" i="78"/>
  <c r="J93" i="78"/>
  <c r="J95" i="78" s="1"/>
  <c r="K93" i="78"/>
  <c r="L93" i="78"/>
  <c r="L95" i="78" s="1"/>
  <c r="M93" i="78"/>
  <c r="N93" i="78"/>
  <c r="N95" i="78" s="1"/>
  <c r="O93" i="78"/>
  <c r="P93" i="78"/>
  <c r="P95" i="78" s="1"/>
  <c r="Q93" i="78"/>
  <c r="R93" i="78"/>
  <c r="F90" i="78"/>
  <c r="G90" i="78"/>
  <c r="G92" i="78" s="1"/>
  <c r="H90" i="78"/>
  <c r="I90" i="78"/>
  <c r="I92" i="78" s="1"/>
  <c r="J90" i="78"/>
  <c r="K90" i="78"/>
  <c r="K92" i="78" s="1"/>
  <c r="L90" i="78"/>
  <c r="M90" i="78"/>
  <c r="M92" i="78" s="1"/>
  <c r="N90" i="78"/>
  <c r="O90" i="78"/>
  <c r="O92" i="78" s="1"/>
  <c r="P90" i="78"/>
  <c r="Q90" i="78"/>
  <c r="Q92" i="78" s="1"/>
  <c r="R90" i="78"/>
  <c r="F87" i="78"/>
  <c r="F89" i="78" s="1"/>
  <c r="G87" i="78"/>
  <c r="H87" i="78"/>
  <c r="H89" i="78" s="1"/>
  <c r="I87" i="78"/>
  <c r="J87" i="78"/>
  <c r="J89" i="78" s="1"/>
  <c r="K87" i="78"/>
  <c r="L87" i="78"/>
  <c r="L89" i="78" s="1"/>
  <c r="M87" i="78"/>
  <c r="N87" i="78"/>
  <c r="N89" i="78" s="1"/>
  <c r="O87" i="78"/>
  <c r="P87" i="78"/>
  <c r="P89" i="78" s="1"/>
  <c r="Q87" i="78"/>
  <c r="R87" i="78"/>
  <c r="F84" i="78"/>
  <c r="G84" i="78"/>
  <c r="G86" i="78" s="1"/>
  <c r="H84" i="78"/>
  <c r="I84" i="78"/>
  <c r="I86" i="78" s="1"/>
  <c r="J84" i="78"/>
  <c r="K84" i="78"/>
  <c r="K86" i="78" s="1"/>
  <c r="L84" i="78"/>
  <c r="M84" i="78"/>
  <c r="M86" i="78" s="1"/>
  <c r="N84" i="78"/>
  <c r="O84" i="78"/>
  <c r="O86" i="78" s="1"/>
  <c r="P84" i="78"/>
  <c r="Q84" i="78"/>
  <c r="Q86" i="78" s="1"/>
  <c r="R84" i="78"/>
  <c r="F81" i="78"/>
  <c r="F83" i="78" s="1"/>
  <c r="G81" i="78"/>
  <c r="H81" i="78"/>
  <c r="H83" i="78" s="1"/>
  <c r="I81" i="78"/>
  <c r="J81" i="78"/>
  <c r="J83" i="78" s="1"/>
  <c r="K81" i="78"/>
  <c r="L81" i="78"/>
  <c r="L83" i="78" s="1"/>
  <c r="M81" i="78"/>
  <c r="N81" i="78"/>
  <c r="N83" i="78" s="1"/>
  <c r="O81" i="78"/>
  <c r="P81" i="78"/>
  <c r="P83" i="78" s="1"/>
  <c r="Q81" i="78"/>
  <c r="R81" i="78"/>
  <c r="F78" i="78"/>
  <c r="G78" i="78"/>
  <c r="G80" i="78" s="1"/>
  <c r="H78" i="78"/>
  <c r="I78" i="78"/>
  <c r="I80" i="78" s="1"/>
  <c r="J78" i="78"/>
  <c r="K78" i="78"/>
  <c r="K80" i="78" s="1"/>
  <c r="L78" i="78"/>
  <c r="M78" i="78"/>
  <c r="M80" i="78" s="1"/>
  <c r="N78" i="78"/>
  <c r="O78" i="78"/>
  <c r="O80" i="78" s="1"/>
  <c r="P78" i="78"/>
  <c r="Q78" i="78"/>
  <c r="Q80" i="78" s="1"/>
  <c r="R78" i="78"/>
  <c r="F75" i="78"/>
  <c r="F77" i="78" s="1"/>
  <c r="G75" i="78"/>
  <c r="H75" i="78"/>
  <c r="H77" i="78" s="1"/>
  <c r="I75" i="78"/>
  <c r="J75" i="78"/>
  <c r="J77" i="78" s="1"/>
  <c r="K75" i="78"/>
  <c r="L75" i="78"/>
  <c r="L77" i="78" s="1"/>
  <c r="M75" i="78"/>
  <c r="N75" i="78"/>
  <c r="N77" i="78" s="1"/>
  <c r="O75" i="78"/>
  <c r="P75" i="78"/>
  <c r="P77" i="78" s="1"/>
  <c r="Q75" i="78"/>
  <c r="R75" i="78"/>
  <c r="F72" i="78"/>
  <c r="G72" i="78"/>
  <c r="G74" i="78" s="1"/>
  <c r="H72" i="78"/>
  <c r="I72" i="78"/>
  <c r="I74" i="78" s="1"/>
  <c r="J72" i="78"/>
  <c r="K72" i="78"/>
  <c r="K74" i="78" s="1"/>
  <c r="L72" i="78"/>
  <c r="M72" i="78"/>
  <c r="M74" i="78" s="1"/>
  <c r="N72" i="78"/>
  <c r="O72" i="78"/>
  <c r="O74" i="78" s="1"/>
  <c r="P72" i="78"/>
  <c r="Q72" i="78"/>
  <c r="Q74" i="78" s="1"/>
  <c r="R72" i="78"/>
  <c r="F69" i="78"/>
  <c r="F71" i="78" s="1"/>
  <c r="G69" i="78"/>
  <c r="H69" i="78"/>
  <c r="H71" i="78" s="1"/>
  <c r="I69" i="78"/>
  <c r="J69" i="78"/>
  <c r="J71" i="78" s="1"/>
  <c r="K69" i="78"/>
  <c r="L69" i="78"/>
  <c r="L71" i="78" s="1"/>
  <c r="M69" i="78"/>
  <c r="N69" i="78"/>
  <c r="N71" i="78" s="1"/>
  <c r="O69" i="78"/>
  <c r="P69" i="78"/>
  <c r="P71" i="78" s="1"/>
  <c r="Q69" i="78"/>
  <c r="R69" i="78"/>
  <c r="F66" i="78"/>
  <c r="G66" i="78"/>
  <c r="G68" i="78" s="1"/>
  <c r="H66" i="78"/>
  <c r="I66" i="78"/>
  <c r="I68" i="78" s="1"/>
  <c r="J66" i="78"/>
  <c r="K66" i="78"/>
  <c r="K68" i="78" s="1"/>
  <c r="L66" i="78"/>
  <c r="M66" i="78"/>
  <c r="M68" i="78" s="1"/>
  <c r="N66" i="78"/>
  <c r="O66" i="78"/>
  <c r="O68" i="78" s="1"/>
  <c r="P66" i="78"/>
  <c r="Q66" i="78"/>
  <c r="Q68" i="78" s="1"/>
  <c r="R66" i="78"/>
  <c r="F63" i="78"/>
  <c r="F65" i="78" s="1"/>
  <c r="G63" i="78"/>
  <c r="H63" i="78"/>
  <c r="H65" i="78" s="1"/>
  <c r="I63" i="78"/>
  <c r="J63" i="78"/>
  <c r="J65" i="78" s="1"/>
  <c r="K63" i="78"/>
  <c r="L63" i="78"/>
  <c r="L65" i="78" s="1"/>
  <c r="M63" i="78"/>
  <c r="N63" i="78"/>
  <c r="N65" i="78" s="1"/>
  <c r="O63" i="78"/>
  <c r="P63" i="78"/>
  <c r="P65" i="78" s="1"/>
  <c r="Q63" i="78"/>
  <c r="R63" i="78"/>
  <c r="F60" i="78"/>
  <c r="G60" i="78"/>
  <c r="G62" i="78" s="1"/>
  <c r="H60" i="78"/>
  <c r="I60" i="78"/>
  <c r="I62" i="78" s="1"/>
  <c r="J60" i="78"/>
  <c r="K60" i="78"/>
  <c r="K62" i="78" s="1"/>
  <c r="L60" i="78"/>
  <c r="M60" i="78"/>
  <c r="M62" i="78" s="1"/>
  <c r="N60" i="78"/>
  <c r="O60" i="78"/>
  <c r="O62" i="78" s="1"/>
  <c r="P60" i="78"/>
  <c r="Q60" i="78"/>
  <c r="Q62" i="78" s="1"/>
  <c r="R60" i="78"/>
  <c r="F57" i="78"/>
  <c r="F59" i="78" s="1"/>
  <c r="G57" i="78"/>
  <c r="H57" i="78"/>
  <c r="H59" i="78" s="1"/>
  <c r="I57" i="78"/>
  <c r="J57" i="78"/>
  <c r="J59" i="78" s="1"/>
  <c r="K57" i="78"/>
  <c r="L57" i="78"/>
  <c r="L59" i="78" s="1"/>
  <c r="M57" i="78"/>
  <c r="N57" i="78"/>
  <c r="N59" i="78" s="1"/>
  <c r="O57" i="78"/>
  <c r="P57" i="78"/>
  <c r="P59" i="78" s="1"/>
  <c r="Q57" i="78"/>
  <c r="R57" i="78"/>
  <c r="F54" i="78"/>
  <c r="G54" i="78"/>
  <c r="G56" i="78" s="1"/>
  <c r="H54" i="78"/>
  <c r="I54" i="78"/>
  <c r="I56" i="78" s="1"/>
  <c r="J54" i="78"/>
  <c r="K54" i="78"/>
  <c r="K56" i="78" s="1"/>
  <c r="L54" i="78"/>
  <c r="M54" i="78"/>
  <c r="M56" i="78" s="1"/>
  <c r="N54" i="78"/>
  <c r="O54" i="78"/>
  <c r="O56" i="78" s="1"/>
  <c r="P54" i="78"/>
  <c r="Q54" i="78"/>
  <c r="Q56" i="78" s="1"/>
  <c r="R54" i="78"/>
  <c r="F51" i="78"/>
  <c r="F53" i="78" s="1"/>
  <c r="G51" i="78"/>
  <c r="H51" i="78"/>
  <c r="H53" i="78" s="1"/>
  <c r="I51" i="78"/>
  <c r="J51" i="78"/>
  <c r="J53" i="78" s="1"/>
  <c r="K51" i="78"/>
  <c r="L51" i="78"/>
  <c r="L53" i="78" s="1"/>
  <c r="M51" i="78"/>
  <c r="N51" i="78"/>
  <c r="N53" i="78" s="1"/>
  <c r="O51" i="78"/>
  <c r="P51" i="78"/>
  <c r="P53" i="78" s="1"/>
  <c r="Q51" i="78"/>
  <c r="R51" i="78"/>
  <c r="F48" i="78"/>
  <c r="G48" i="78"/>
  <c r="G50" i="78" s="1"/>
  <c r="H48" i="78"/>
  <c r="I48" i="78"/>
  <c r="I50" i="78" s="1"/>
  <c r="J48" i="78"/>
  <c r="K48" i="78"/>
  <c r="K50" i="78" s="1"/>
  <c r="L48" i="78"/>
  <c r="M48" i="78"/>
  <c r="M50" i="78" s="1"/>
  <c r="N48" i="78"/>
  <c r="O48" i="78"/>
  <c r="O50" i="78" s="1"/>
  <c r="P48" i="78"/>
  <c r="Q48" i="78"/>
  <c r="Q50" i="78" s="1"/>
  <c r="R48" i="78"/>
  <c r="F45" i="78"/>
  <c r="F47" i="78" s="1"/>
  <c r="G45" i="78"/>
  <c r="H45" i="78"/>
  <c r="H47" i="78" s="1"/>
  <c r="I45" i="78"/>
  <c r="J45" i="78"/>
  <c r="J47" i="78" s="1"/>
  <c r="K45" i="78"/>
  <c r="L45" i="78"/>
  <c r="L47" i="78" s="1"/>
  <c r="M45" i="78"/>
  <c r="N45" i="78"/>
  <c r="N47" i="78" s="1"/>
  <c r="O45" i="78"/>
  <c r="P45" i="78"/>
  <c r="P47" i="78" s="1"/>
  <c r="Q45" i="78"/>
  <c r="R45" i="78"/>
  <c r="F42" i="78"/>
  <c r="G42" i="78"/>
  <c r="G44" i="78" s="1"/>
  <c r="H42" i="78"/>
  <c r="I42" i="78"/>
  <c r="I44" i="78" s="1"/>
  <c r="J42" i="78"/>
  <c r="K42" i="78"/>
  <c r="K44" i="78" s="1"/>
  <c r="L42" i="78"/>
  <c r="M42" i="78"/>
  <c r="M44" i="78" s="1"/>
  <c r="N42" i="78"/>
  <c r="O42" i="78"/>
  <c r="O44" i="78" s="1"/>
  <c r="P42" i="78"/>
  <c r="Q42" i="78"/>
  <c r="Q44" i="78" s="1"/>
  <c r="R42" i="78"/>
  <c r="F39" i="78"/>
  <c r="F41" i="78" s="1"/>
  <c r="G39" i="78"/>
  <c r="H39" i="78"/>
  <c r="H41" i="78" s="1"/>
  <c r="I39" i="78"/>
  <c r="J39" i="78"/>
  <c r="J41" i="78" s="1"/>
  <c r="K39" i="78"/>
  <c r="L39" i="78"/>
  <c r="L41" i="78" s="1"/>
  <c r="M39" i="78"/>
  <c r="N39" i="78"/>
  <c r="N41" i="78" s="1"/>
  <c r="O39" i="78"/>
  <c r="P39" i="78"/>
  <c r="P41" i="78" s="1"/>
  <c r="Q39" i="78"/>
  <c r="R39" i="78"/>
  <c r="F36" i="78"/>
  <c r="G36" i="78"/>
  <c r="G38" i="78" s="1"/>
  <c r="H36" i="78"/>
  <c r="I36" i="78"/>
  <c r="I38" i="78" s="1"/>
  <c r="J36" i="78"/>
  <c r="K36" i="78"/>
  <c r="K38" i="78" s="1"/>
  <c r="L36" i="78"/>
  <c r="M36" i="78"/>
  <c r="M38" i="78" s="1"/>
  <c r="N36" i="78"/>
  <c r="O36" i="78"/>
  <c r="O38" i="78" s="1"/>
  <c r="P36" i="78"/>
  <c r="Q36" i="78"/>
  <c r="Q38" i="78" s="1"/>
  <c r="R36" i="78"/>
  <c r="F33" i="78"/>
  <c r="F35" i="78" s="1"/>
  <c r="G33" i="78"/>
  <c r="H33" i="78"/>
  <c r="H35" i="78" s="1"/>
  <c r="I33" i="78"/>
  <c r="J33" i="78"/>
  <c r="J35" i="78" s="1"/>
  <c r="K33" i="78"/>
  <c r="L33" i="78"/>
  <c r="L35" i="78" s="1"/>
  <c r="M33" i="78"/>
  <c r="N33" i="78"/>
  <c r="N35" i="78" s="1"/>
  <c r="O33" i="78"/>
  <c r="P33" i="78"/>
  <c r="P35" i="78" s="1"/>
  <c r="Q33" i="78"/>
  <c r="R33" i="78"/>
  <c r="F30" i="78"/>
  <c r="G30" i="78"/>
  <c r="G32" i="78" s="1"/>
  <c r="H30" i="78"/>
  <c r="I30" i="78"/>
  <c r="I32" i="78" s="1"/>
  <c r="J30" i="78"/>
  <c r="K30" i="78"/>
  <c r="K32" i="78" s="1"/>
  <c r="L30" i="78"/>
  <c r="M30" i="78"/>
  <c r="M32" i="78" s="1"/>
  <c r="N30" i="78"/>
  <c r="O30" i="78"/>
  <c r="O32" i="78" s="1"/>
  <c r="P30" i="78"/>
  <c r="Q30" i="78"/>
  <c r="Q32" i="78" s="1"/>
  <c r="R30" i="78"/>
  <c r="F27" i="78"/>
  <c r="F29" i="78" s="1"/>
  <c r="G27" i="78"/>
  <c r="H27" i="78"/>
  <c r="H29" i="78" s="1"/>
  <c r="I27" i="78"/>
  <c r="J27" i="78"/>
  <c r="J29" i="78" s="1"/>
  <c r="K27" i="78"/>
  <c r="L27" i="78"/>
  <c r="L29" i="78" s="1"/>
  <c r="M27" i="78"/>
  <c r="N27" i="78"/>
  <c r="N29" i="78" s="1"/>
  <c r="O27" i="78"/>
  <c r="P27" i="78"/>
  <c r="P29" i="78" s="1"/>
  <c r="Q27" i="78"/>
  <c r="R27" i="78"/>
  <c r="F24" i="78"/>
  <c r="G24" i="78"/>
  <c r="G26" i="78" s="1"/>
  <c r="H24" i="78"/>
  <c r="I24" i="78"/>
  <c r="I26" i="78" s="1"/>
  <c r="J24" i="78"/>
  <c r="K24" i="78"/>
  <c r="K26" i="78" s="1"/>
  <c r="L24" i="78"/>
  <c r="M24" i="78"/>
  <c r="M26" i="78" s="1"/>
  <c r="N24" i="78"/>
  <c r="O24" i="78"/>
  <c r="O26" i="78" s="1"/>
  <c r="P24" i="78"/>
  <c r="Q24" i="78"/>
  <c r="Q26" i="78" s="1"/>
  <c r="R24" i="78"/>
  <c r="F21" i="78"/>
  <c r="F23" i="78" s="1"/>
  <c r="G21" i="78"/>
  <c r="H21" i="78"/>
  <c r="H23" i="78" s="1"/>
  <c r="I21" i="78"/>
  <c r="J21" i="78"/>
  <c r="J23" i="78" s="1"/>
  <c r="K21" i="78"/>
  <c r="L21" i="78"/>
  <c r="L23" i="78" s="1"/>
  <c r="M21" i="78"/>
  <c r="N21" i="78"/>
  <c r="N23" i="78" s="1"/>
  <c r="O21" i="78"/>
  <c r="P21" i="78"/>
  <c r="P23" i="78" s="1"/>
  <c r="Q21" i="78"/>
  <c r="R21" i="78"/>
  <c r="F18" i="78"/>
  <c r="G18" i="78"/>
  <c r="G20" i="78" s="1"/>
  <c r="H18" i="78"/>
  <c r="I18" i="78"/>
  <c r="I20" i="78" s="1"/>
  <c r="J18" i="78"/>
  <c r="K18" i="78"/>
  <c r="K20" i="78" s="1"/>
  <c r="L18" i="78"/>
  <c r="M18" i="78"/>
  <c r="M20" i="78" s="1"/>
  <c r="N18" i="78"/>
  <c r="O18" i="78"/>
  <c r="O20" i="78" s="1"/>
  <c r="P18" i="78"/>
  <c r="Q18" i="78"/>
  <c r="Q20" i="78" s="1"/>
  <c r="R18" i="78"/>
  <c r="F15" i="78"/>
  <c r="F17" i="78" s="1"/>
  <c r="G15" i="78"/>
  <c r="H15" i="78"/>
  <c r="H17" i="78" s="1"/>
  <c r="I15" i="78"/>
  <c r="J15" i="78"/>
  <c r="J17" i="78" s="1"/>
  <c r="K15" i="78"/>
  <c r="L15" i="78"/>
  <c r="L17" i="78" s="1"/>
  <c r="M15" i="78"/>
  <c r="N15" i="78"/>
  <c r="N17" i="78" s="1"/>
  <c r="O15" i="78"/>
  <c r="P15" i="78"/>
  <c r="P17" i="78" s="1"/>
  <c r="Q15" i="78"/>
  <c r="R15" i="78"/>
  <c r="F12" i="78"/>
  <c r="G12" i="78"/>
  <c r="G14" i="78" s="1"/>
  <c r="H12" i="78"/>
  <c r="I12" i="78"/>
  <c r="I14" i="78" s="1"/>
  <c r="J12" i="78"/>
  <c r="K12" i="78"/>
  <c r="K14" i="78" s="1"/>
  <c r="L12" i="78"/>
  <c r="M12" i="78"/>
  <c r="M14" i="78" s="1"/>
  <c r="N12" i="78"/>
  <c r="O12" i="78"/>
  <c r="O14" i="78" s="1"/>
  <c r="P12" i="78"/>
  <c r="Q12" i="78"/>
  <c r="Q14" i="78" s="1"/>
  <c r="R12" i="78"/>
  <c r="F9" i="78"/>
  <c r="F11" i="78" s="1"/>
  <c r="G9" i="78"/>
  <c r="H9" i="78"/>
  <c r="H11" i="78" s="1"/>
  <c r="I9" i="78"/>
  <c r="J9" i="78"/>
  <c r="J11" i="78" s="1"/>
  <c r="K9" i="78"/>
  <c r="L9" i="78"/>
  <c r="L11" i="78" s="1"/>
  <c r="M9" i="78"/>
  <c r="N9" i="78"/>
  <c r="N11" i="78" s="1"/>
  <c r="O9" i="78"/>
  <c r="P9" i="78"/>
  <c r="P11" i="78" s="1"/>
  <c r="Q9" i="78"/>
  <c r="R9" i="78"/>
  <c r="F6" i="78"/>
  <c r="G6" i="78"/>
  <c r="G8" i="78" s="1"/>
  <c r="H6" i="78"/>
  <c r="I6" i="78"/>
  <c r="I8" i="78" s="1"/>
  <c r="J6" i="78"/>
  <c r="K6" i="78"/>
  <c r="K8" i="78" s="1"/>
  <c r="L6" i="78"/>
  <c r="M6" i="78"/>
  <c r="M8" i="78" s="1"/>
  <c r="N6" i="78"/>
  <c r="O6" i="78"/>
  <c r="O8" i="78" s="1"/>
  <c r="P6" i="78"/>
  <c r="F154" i="15"/>
  <c r="G154" i="15"/>
  <c r="H154" i="15"/>
  <c r="I154" i="15"/>
  <c r="J154" i="15"/>
  <c r="K154" i="15"/>
  <c r="L154" i="15"/>
  <c r="M154" i="15"/>
  <c r="N154" i="15"/>
  <c r="O154" i="15"/>
  <c r="P154" i="15"/>
  <c r="Q154" i="15"/>
  <c r="R154" i="15"/>
  <c r="S154" i="15"/>
  <c r="T154" i="15"/>
  <c r="U154" i="15"/>
  <c r="F153" i="15"/>
  <c r="F155" i="15" s="1"/>
  <c r="G153" i="15"/>
  <c r="G155" i="15" s="1"/>
  <c r="H153" i="15"/>
  <c r="H155" i="15" s="1"/>
  <c r="I153" i="15"/>
  <c r="I155" i="15" s="1"/>
  <c r="J153" i="15"/>
  <c r="J155" i="15" s="1"/>
  <c r="K153" i="15"/>
  <c r="K155" i="15" s="1"/>
  <c r="L153" i="15"/>
  <c r="L155" i="15" s="1"/>
  <c r="M153" i="15"/>
  <c r="M155" i="15" s="1"/>
  <c r="N153" i="15"/>
  <c r="N155" i="15" s="1"/>
  <c r="O153" i="15"/>
  <c r="O155" i="15" s="1"/>
  <c r="P153" i="15"/>
  <c r="P155" i="15" s="1"/>
  <c r="Q153" i="15"/>
  <c r="Q155" i="15" s="1"/>
  <c r="R153" i="15"/>
  <c r="R155" i="15" s="1"/>
  <c r="S153" i="15"/>
  <c r="T153" i="15"/>
  <c r="T155" i="15" s="1"/>
  <c r="U153" i="15"/>
  <c r="U155" i="15" s="1"/>
  <c r="F154" i="11"/>
  <c r="G154" i="11"/>
  <c r="H154" i="11"/>
  <c r="I154" i="11"/>
  <c r="J154" i="11"/>
  <c r="K154" i="11"/>
  <c r="L154" i="11"/>
  <c r="M154" i="11"/>
  <c r="N154" i="11"/>
  <c r="O154" i="11"/>
  <c r="P154" i="11"/>
  <c r="Q154" i="11"/>
  <c r="R154" i="11"/>
  <c r="S154" i="11"/>
  <c r="T154" i="11"/>
  <c r="U154" i="11"/>
  <c r="U153" i="11"/>
  <c r="F153" i="11"/>
  <c r="G153" i="11"/>
  <c r="H153" i="11"/>
  <c r="I153" i="11"/>
  <c r="J153" i="11"/>
  <c r="K153" i="11"/>
  <c r="L153" i="11"/>
  <c r="M153" i="11"/>
  <c r="N153" i="11"/>
  <c r="O153" i="11"/>
  <c r="P153" i="11"/>
  <c r="Q153" i="11"/>
  <c r="R153" i="11"/>
  <c r="S153" i="11"/>
  <c r="T153" i="11"/>
  <c r="F6" i="1"/>
  <c r="G6" i="1"/>
  <c r="H6" i="1"/>
  <c r="I6" i="1"/>
  <c r="J6" i="1"/>
  <c r="K6" i="1"/>
  <c r="L6" i="1"/>
  <c r="M6" i="1"/>
  <c r="N6" i="1"/>
  <c r="O6" i="1"/>
  <c r="P6" i="1"/>
  <c r="Q6" i="1"/>
  <c r="R6" i="1"/>
  <c r="S6" i="1"/>
  <c r="T6" i="1"/>
  <c r="U6" i="1"/>
  <c r="F7" i="1"/>
  <c r="G7" i="1"/>
  <c r="H7" i="1"/>
  <c r="I7" i="1"/>
  <c r="J7" i="1"/>
  <c r="K7" i="1"/>
  <c r="L7" i="1"/>
  <c r="M7" i="1"/>
  <c r="N7" i="1"/>
  <c r="O7" i="1"/>
  <c r="P7" i="1"/>
  <c r="Q7" i="1"/>
  <c r="R7" i="1"/>
  <c r="S7" i="1"/>
  <c r="T7" i="1"/>
  <c r="U7" i="1"/>
  <c r="F8" i="1"/>
  <c r="G8" i="1"/>
  <c r="H8" i="1"/>
  <c r="I8" i="1"/>
  <c r="J8" i="1"/>
  <c r="K8" i="1"/>
  <c r="L8" i="1"/>
  <c r="M8" i="1"/>
  <c r="N8" i="1"/>
  <c r="O8" i="1"/>
  <c r="Q151" i="11"/>
  <c r="R151" i="11"/>
  <c r="I49" i="15"/>
  <c r="F169" i="74"/>
  <c r="G169" i="74"/>
  <c r="H169" i="74"/>
  <c r="I169" i="74"/>
  <c r="J169" i="74"/>
  <c r="K169" i="74"/>
  <c r="L169" i="74"/>
  <c r="M169" i="74"/>
  <c r="N169" i="74"/>
  <c r="O169" i="74"/>
  <c r="P169" i="74"/>
  <c r="Q169" i="74"/>
  <c r="R169" i="74"/>
  <c r="F166" i="74"/>
  <c r="G166" i="74"/>
  <c r="H166" i="74"/>
  <c r="I166" i="74"/>
  <c r="J166" i="74"/>
  <c r="K166" i="74"/>
  <c r="L166" i="74"/>
  <c r="M166" i="74"/>
  <c r="N166" i="74"/>
  <c r="O166" i="74"/>
  <c r="P166" i="74"/>
  <c r="Q166" i="74"/>
  <c r="R166" i="74"/>
  <c r="F163" i="74"/>
  <c r="G163" i="74"/>
  <c r="H163" i="74"/>
  <c r="I163" i="74"/>
  <c r="J163" i="74"/>
  <c r="K163" i="74"/>
  <c r="L163" i="74"/>
  <c r="M163" i="74"/>
  <c r="N163" i="74"/>
  <c r="O163" i="74"/>
  <c r="P163" i="74"/>
  <c r="Q163" i="74"/>
  <c r="R163" i="74"/>
  <c r="F160" i="74"/>
  <c r="G160" i="74"/>
  <c r="H160" i="74"/>
  <c r="I160" i="74"/>
  <c r="J160" i="74"/>
  <c r="K160" i="74"/>
  <c r="L160" i="74"/>
  <c r="M160" i="74"/>
  <c r="N160" i="74"/>
  <c r="O160" i="74"/>
  <c r="P160" i="74"/>
  <c r="Q160" i="74"/>
  <c r="R160" i="74"/>
  <c r="F157" i="74"/>
  <c r="G157" i="74"/>
  <c r="H157" i="74"/>
  <c r="I157" i="74"/>
  <c r="J157" i="74"/>
  <c r="K157" i="74"/>
  <c r="L157" i="74"/>
  <c r="M157" i="74"/>
  <c r="N157" i="74"/>
  <c r="O157" i="74"/>
  <c r="P157" i="74"/>
  <c r="Q157" i="74"/>
  <c r="R157" i="74"/>
  <c r="F154" i="74"/>
  <c r="G154" i="74"/>
  <c r="H154" i="74"/>
  <c r="I154" i="74"/>
  <c r="J154" i="74"/>
  <c r="K154" i="74"/>
  <c r="L154" i="74"/>
  <c r="M154" i="74"/>
  <c r="N154" i="74"/>
  <c r="O154" i="74"/>
  <c r="P154" i="74"/>
  <c r="Q154" i="74"/>
  <c r="R154" i="74"/>
  <c r="F151" i="74"/>
  <c r="G151" i="74"/>
  <c r="H151" i="74"/>
  <c r="I151" i="74"/>
  <c r="J151" i="74"/>
  <c r="K151" i="74"/>
  <c r="L151" i="74"/>
  <c r="M151" i="74"/>
  <c r="N151" i="74"/>
  <c r="O151" i="74"/>
  <c r="P151" i="74"/>
  <c r="Q151" i="74"/>
  <c r="R151" i="74"/>
  <c r="F148" i="74"/>
  <c r="G148" i="74"/>
  <c r="H148" i="74"/>
  <c r="I148" i="74"/>
  <c r="J148" i="74"/>
  <c r="K148" i="74"/>
  <c r="L148" i="74"/>
  <c r="M148" i="74"/>
  <c r="N148" i="74"/>
  <c r="O148" i="74"/>
  <c r="P148" i="74"/>
  <c r="Q148" i="74"/>
  <c r="R148" i="74"/>
  <c r="F145" i="74"/>
  <c r="G145" i="74"/>
  <c r="H145" i="74"/>
  <c r="I145" i="74"/>
  <c r="J145" i="74"/>
  <c r="K145" i="74"/>
  <c r="L145" i="74"/>
  <c r="M145" i="74"/>
  <c r="N145" i="74"/>
  <c r="O145" i="74"/>
  <c r="P145" i="74"/>
  <c r="Q145" i="74"/>
  <c r="R145" i="74"/>
  <c r="F142" i="74"/>
  <c r="G142" i="74"/>
  <c r="H142" i="74"/>
  <c r="I142" i="74"/>
  <c r="J142" i="74"/>
  <c r="K142" i="74"/>
  <c r="L142" i="74"/>
  <c r="M142" i="74"/>
  <c r="N142" i="74"/>
  <c r="O142" i="74"/>
  <c r="P142" i="74"/>
  <c r="Q142" i="74"/>
  <c r="R142" i="74"/>
  <c r="F139" i="74"/>
  <c r="G139" i="74"/>
  <c r="H139" i="74"/>
  <c r="I139" i="74"/>
  <c r="J139" i="74"/>
  <c r="K139" i="74"/>
  <c r="L139" i="74"/>
  <c r="M139" i="74"/>
  <c r="N139" i="74"/>
  <c r="O139" i="74"/>
  <c r="P139" i="74"/>
  <c r="Q139" i="74"/>
  <c r="R139" i="74"/>
  <c r="F136" i="74"/>
  <c r="G136" i="74"/>
  <c r="H136" i="74"/>
  <c r="I136" i="74"/>
  <c r="J136" i="74"/>
  <c r="K136" i="74"/>
  <c r="L136" i="74"/>
  <c r="M136" i="74"/>
  <c r="N136" i="74"/>
  <c r="O136" i="74"/>
  <c r="P136" i="74"/>
  <c r="Q136" i="74"/>
  <c r="R136" i="74"/>
  <c r="F133" i="74"/>
  <c r="G133" i="74"/>
  <c r="H133" i="74"/>
  <c r="I133" i="74"/>
  <c r="J133" i="74"/>
  <c r="K133" i="74"/>
  <c r="L133" i="74"/>
  <c r="M133" i="74"/>
  <c r="N133" i="74"/>
  <c r="O133" i="74"/>
  <c r="P133" i="74"/>
  <c r="Q133" i="74"/>
  <c r="R133" i="74"/>
  <c r="F130" i="74"/>
  <c r="G130" i="74"/>
  <c r="H130" i="74"/>
  <c r="I130" i="74"/>
  <c r="J130" i="74"/>
  <c r="K130" i="74"/>
  <c r="L130" i="74"/>
  <c r="M130" i="74"/>
  <c r="N130" i="74"/>
  <c r="O130" i="74"/>
  <c r="P130" i="74"/>
  <c r="Q130" i="74"/>
  <c r="R130" i="74"/>
  <c r="F127" i="74"/>
  <c r="G127" i="74"/>
  <c r="H127" i="74"/>
  <c r="I127" i="74"/>
  <c r="J127" i="74"/>
  <c r="K127" i="74"/>
  <c r="L127" i="74"/>
  <c r="M127" i="74"/>
  <c r="N127" i="74"/>
  <c r="O127" i="74"/>
  <c r="P127" i="74"/>
  <c r="Q127" i="74"/>
  <c r="R127" i="74"/>
  <c r="F124" i="74"/>
  <c r="G124" i="74"/>
  <c r="H124" i="74"/>
  <c r="I124" i="74"/>
  <c r="J124" i="74"/>
  <c r="K124" i="74"/>
  <c r="L124" i="74"/>
  <c r="M124" i="74"/>
  <c r="N124" i="74"/>
  <c r="O124" i="74"/>
  <c r="P124" i="74"/>
  <c r="Q124" i="74"/>
  <c r="R124" i="74"/>
  <c r="F121" i="74"/>
  <c r="G121" i="74"/>
  <c r="H121" i="74"/>
  <c r="I121" i="74"/>
  <c r="J121" i="74"/>
  <c r="K121" i="74"/>
  <c r="L121" i="74"/>
  <c r="M121" i="74"/>
  <c r="N121" i="74"/>
  <c r="O121" i="74"/>
  <c r="P121" i="74"/>
  <c r="Q121" i="74"/>
  <c r="R121" i="74"/>
  <c r="F118" i="74"/>
  <c r="G118" i="74"/>
  <c r="H118" i="74"/>
  <c r="I118" i="74"/>
  <c r="J118" i="74"/>
  <c r="K118" i="74"/>
  <c r="L118" i="74"/>
  <c r="M118" i="74"/>
  <c r="N118" i="74"/>
  <c r="O118" i="74"/>
  <c r="P118" i="74"/>
  <c r="Q118" i="74"/>
  <c r="R118" i="74"/>
  <c r="F115" i="74"/>
  <c r="G115" i="74"/>
  <c r="H115" i="74"/>
  <c r="I115" i="74"/>
  <c r="J115" i="74"/>
  <c r="K115" i="74"/>
  <c r="L115" i="74"/>
  <c r="M115" i="74"/>
  <c r="N115" i="74"/>
  <c r="O115" i="74"/>
  <c r="P115" i="74"/>
  <c r="Q115" i="74"/>
  <c r="R115" i="74"/>
  <c r="F112" i="74"/>
  <c r="G112" i="74"/>
  <c r="H112" i="74"/>
  <c r="I112" i="74"/>
  <c r="J112" i="74"/>
  <c r="K112" i="74"/>
  <c r="L112" i="74"/>
  <c r="M112" i="74"/>
  <c r="N112" i="74"/>
  <c r="O112" i="74"/>
  <c r="P112" i="74"/>
  <c r="Q112" i="74"/>
  <c r="R112" i="74"/>
  <c r="F109" i="74"/>
  <c r="G109" i="74"/>
  <c r="H109" i="74"/>
  <c r="I109" i="74"/>
  <c r="J109" i="74"/>
  <c r="K109" i="74"/>
  <c r="L109" i="74"/>
  <c r="M109" i="74"/>
  <c r="N109" i="74"/>
  <c r="O109" i="74"/>
  <c r="P109" i="74"/>
  <c r="Q109" i="74"/>
  <c r="R109" i="74"/>
  <c r="F106" i="74"/>
  <c r="G106" i="74"/>
  <c r="H106" i="74"/>
  <c r="I106" i="74"/>
  <c r="J106" i="74"/>
  <c r="K106" i="74"/>
  <c r="L106" i="74"/>
  <c r="M106" i="74"/>
  <c r="N106" i="74"/>
  <c r="O106" i="74"/>
  <c r="P106" i="74"/>
  <c r="Q106" i="74"/>
  <c r="R106" i="74"/>
  <c r="F103" i="74"/>
  <c r="G103" i="74"/>
  <c r="H103" i="74"/>
  <c r="I103" i="74"/>
  <c r="J103" i="74"/>
  <c r="K103" i="74"/>
  <c r="L103" i="74"/>
  <c r="M103" i="74"/>
  <c r="N103" i="74"/>
  <c r="O103" i="74"/>
  <c r="P103" i="74"/>
  <c r="Q103" i="74"/>
  <c r="R103" i="74"/>
  <c r="F100" i="74"/>
  <c r="G100" i="74"/>
  <c r="H100" i="74"/>
  <c r="I100" i="74"/>
  <c r="J100" i="74"/>
  <c r="K100" i="74"/>
  <c r="L100" i="74"/>
  <c r="M100" i="74"/>
  <c r="N100" i="74"/>
  <c r="O100" i="74"/>
  <c r="P100" i="74"/>
  <c r="Q100" i="74"/>
  <c r="R100" i="74"/>
  <c r="F97" i="74"/>
  <c r="G97" i="74"/>
  <c r="H97" i="74"/>
  <c r="I97" i="74"/>
  <c r="J97" i="74"/>
  <c r="K97" i="74"/>
  <c r="L97" i="74"/>
  <c r="M97" i="74"/>
  <c r="N97" i="74"/>
  <c r="O97" i="74"/>
  <c r="P97" i="74"/>
  <c r="Q97" i="74"/>
  <c r="R97" i="74"/>
  <c r="F94" i="74"/>
  <c r="G94" i="74"/>
  <c r="H94" i="74"/>
  <c r="I94" i="74"/>
  <c r="J94" i="74"/>
  <c r="K94" i="74"/>
  <c r="L94" i="74"/>
  <c r="M94" i="74"/>
  <c r="N94" i="74"/>
  <c r="O94" i="74"/>
  <c r="P94" i="74"/>
  <c r="Q94" i="74"/>
  <c r="R94" i="74"/>
  <c r="F91" i="74"/>
  <c r="G91" i="74"/>
  <c r="H91" i="74"/>
  <c r="I91" i="74"/>
  <c r="J91" i="74"/>
  <c r="K91" i="74"/>
  <c r="L91" i="74"/>
  <c r="M91" i="74"/>
  <c r="N91" i="74"/>
  <c r="O91" i="74"/>
  <c r="P91" i="74"/>
  <c r="Q91" i="74"/>
  <c r="R91" i="74"/>
  <c r="F88" i="74"/>
  <c r="G88" i="74"/>
  <c r="H88" i="74"/>
  <c r="I88" i="74"/>
  <c r="J88" i="74"/>
  <c r="K88" i="74"/>
  <c r="L88" i="74"/>
  <c r="M88" i="74"/>
  <c r="N88" i="74"/>
  <c r="O88" i="74"/>
  <c r="P88" i="74"/>
  <c r="Q88" i="74"/>
  <c r="R88" i="74"/>
  <c r="F85" i="74"/>
  <c r="G85" i="74"/>
  <c r="H85" i="74"/>
  <c r="I85" i="74"/>
  <c r="J85" i="74"/>
  <c r="K85" i="74"/>
  <c r="L85" i="74"/>
  <c r="M85" i="74"/>
  <c r="N85" i="74"/>
  <c r="O85" i="74"/>
  <c r="P85" i="74"/>
  <c r="Q85" i="74"/>
  <c r="R85" i="74"/>
  <c r="F82" i="74"/>
  <c r="G82" i="74"/>
  <c r="H82" i="74"/>
  <c r="I82" i="74"/>
  <c r="J82" i="74"/>
  <c r="K82" i="74"/>
  <c r="L82" i="74"/>
  <c r="M82" i="74"/>
  <c r="N82" i="74"/>
  <c r="O82" i="74"/>
  <c r="P82" i="74"/>
  <c r="Q82" i="74"/>
  <c r="R82" i="74"/>
  <c r="F79" i="74"/>
  <c r="G79" i="74"/>
  <c r="H79" i="74"/>
  <c r="I79" i="74"/>
  <c r="J79" i="74"/>
  <c r="K79" i="74"/>
  <c r="L79" i="74"/>
  <c r="M79" i="74"/>
  <c r="N79" i="74"/>
  <c r="O79" i="74"/>
  <c r="P79" i="74"/>
  <c r="Q79" i="74"/>
  <c r="R79" i="74"/>
  <c r="F76" i="74"/>
  <c r="G76" i="74"/>
  <c r="H76" i="74"/>
  <c r="I76" i="74"/>
  <c r="J76" i="74"/>
  <c r="K76" i="74"/>
  <c r="L76" i="74"/>
  <c r="M76" i="74"/>
  <c r="N76" i="74"/>
  <c r="O76" i="74"/>
  <c r="P76" i="74"/>
  <c r="Q76" i="74"/>
  <c r="R76" i="74"/>
  <c r="F73" i="74"/>
  <c r="G73" i="74"/>
  <c r="H73" i="74"/>
  <c r="I73" i="74"/>
  <c r="J73" i="74"/>
  <c r="K73" i="74"/>
  <c r="L73" i="74"/>
  <c r="M73" i="74"/>
  <c r="N73" i="74"/>
  <c r="O73" i="74"/>
  <c r="P73" i="74"/>
  <c r="Q73" i="74"/>
  <c r="R73" i="74"/>
  <c r="F70" i="74"/>
  <c r="G70" i="74"/>
  <c r="H70" i="74"/>
  <c r="I70" i="74"/>
  <c r="J70" i="74"/>
  <c r="K70" i="74"/>
  <c r="L70" i="74"/>
  <c r="M70" i="74"/>
  <c r="N70" i="74"/>
  <c r="O70" i="74"/>
  <c r="P70" i="74"/>
  <c r="Q70" i="74"/>
  <c r="R70" i="74"/>
  <c r="F67" i="74"/>
  <c r="G67" i="74"/>
  <c r="H67" i="74"/>
  <c r="I67" i="74"/>
  <c r="J67" i="74"/>
  <c r="K67" i="74"/>
  <c r="L67" i="74"/>
  <c r="M67" i="74"/>
  <c r="N67" i="74"/>
  <c r="O67" i="74"/>
  <c r="P67" i="74"/>
  <c r="Q67" i="74"/>
  <c r="R67" i="74"/>
  <c r="F64" i="74"/>
  <c r="G64" i="74"/>
  <c r="H64" i="74"/>
  <c r="I64" i="74"/>
  <c r="J64" i="74"/>
  <c r="K64" i="74"/>
  <c r="L64" i="74"/>
  <c r="M64" i="74"/>
  <c r="N64" i="74"/>
  <c r="O64" i="74"/>
  <c r="P64" i="74"/>
  <c r="Q64" i="74"/>
  <c r="R64" i="74"/>
  <c r="F61" i="74"/>
  <c r="G61" i="74"/>
  <c r="H61" i="74"/>
  <c r="I61" i="74"/>
  <c r="J61" i="74"/>
  <c r="K61" i="74"/>
  <c r="L61" i="74"/>
  <c r="M61" i="74"/>
  <c r="N61" i="74"/>
  <c r="O61" i="74"/>
  <c r="P61" i="74"/>
  <c r="Q61" i="74"/>
  <c r="R61" i="74"/>
  <c r="F58" i="74"/>
  <c r="G58" i="74"/>
  <c r="H58" i="74"/>
  <c r="I58" i="74"/>
  <c r="J58" i="74"/>
  <c r="K58" i="74"/>
  <c r="L58" i="74"/>
  <c r="M58" i="74"/>
  <c r="N58" i="74"/>
  <c r="O58" i="74"/>
  <c r="P58" i="74"/>
  <c r="Q58" i="74"/>
  <c r="R58" i="74"/>
  <c r="F55" i="74"/>
  <c r="G55" i="74"/>
  <c r="H55" i="74"/>
  <c r="I55" i="74"/>
  <c r="J55" i="74"/>
  <c r="K55" i="74"/>
  <c r="L55" i="74"/>
  <c r="M55" i="74"/>
  <c r="N55" i="74"/>
  <c r="O55" i="74"/>
  <c r="P55" i="74"/>
  <c r="Q55" i="74"/>
  <c r="R55" i="74"/>
  <c r="F52" i="74"/>
  <c r="G52" i="74"/>
  <c r="H52" i="74"/>
  <c r="I52" i="74"/>
  <c r="J52" i="74"/>
  <c r="K52" i="74"/>
  <c r="L52" i="74"/>
  <c r="M52" i="74"/>
  <c r="N52" i="74"/>
  <c r="O52" i="74"/>
  <c r="P52" i="74"/>
  <c r="Q52" i="74"/>
  <c r="R52" i="74"/>
  <c r="F49" i="74"/>
  <c r="G49" i="74"/>
  <c r="H49" i="74"/>
  <c r="I49" i="74"/>
  <c r="J49" i="74"/>
  <c r="K49" i="74"/>
  <c r="L49" i="74"/>
  <c r="M49" i="74"/>
  <c r="N49" i="74"/>
  <c r="O49" i="74"/>
  <c r="P49" i="74"/>
  <c r="Q49" i="74"/>
  <c r="R49" i="74"/>
  <c r="F46" i="74"/>
  <c r="G46" i="74"/>
  <c r="H46" i="74"/>
  <c r="I46" i="74"/>
  <c r="J46" i="74"/>
  <c r="K46" i="74"/>
  <c r="L46" i="74"/>
  <c r="M46" i="74"/>
  <c r="N46" i="74"/>
  <c r="O46" i="74"/>
  <c r="P46" i="74"/>
  <c r="Q46" i="74"/>
  <c r="R46" i="74"/>
  <c r="F43" i="74"/>
  <c r="G43" i="74"/>
  <c r="H43" i="74"/>
  <c r="I43" i="74"/>
  <c r="J43" i="74"/>
  <c r="K43" i="74"/>
  <c r="L43" i="74"/>
  <c r="M43" i="74"/>
  <c r="N43" i="74"/>
  <c r="O43" i="74"/>
  <c r="P43" i="74"/>
  <c r="Q43" i="74"/>
  <c r="R43" i="74"/>
  <c r="F40" i="74"/>
  <c r="G40" i="74"/>
  <c r="H40" i="74"/>
  <c r="I40" i="74"/>
  <c r="J40" i="74"/>
  <c r="K40" i="74"/>
  <c r="L40" i="74"/>
  <c r="M40" i="74"/>
  <c r="N40" i="74"/>
  <c r="O40" i="74"/>
  <c r="P40" i="74"/>
  <c r="Q40" i="74"/>
  <c r="R40" i="74"/>
  <c r="F37" i="74"/>
  <c r="G37" i="74"/>
  <c r="H37" i="74"/>
  <c r="I37" i="74"/>
  <c r="J37" i="74"/>
  <c r="K37" i="74"/>
  <c r="L37" i="74"/>
  <c r="M37" i="74"/>
  <c r="N37" i="74"/>
  <c r="O37" i="74"/>
  <c r="P37" i="74"/>
  <c r="Q37" i="74"/>
  <c r="R37" i="74"/>
  <c r="F34" i="74"/>
  <c r="G34" i="74"/>
  <c r="H34" i="74"/>
  <c r="I34" i="74"/>
  <c r="J34" i="74"/>
  <c r="K34" i="74"/>
  <c r="L34" i="74"/>
  <c r="M34" i="74"/>
  <c r="N34" i="74"/>
  <c r="O34" i="74"/>
  <c r="P34" i="74"/>
  <c r="Q34" i="74"/>
  <c r="R34" i="74"/>
  <c r="F31" i="74"/>
  <c r="G31" i="74"/>
  <c r="H31" i="74"/>
  <c r="I31" i="74"/>
  <c r="J31" i="74"/>
  <c r="K31" i="74"/>
  <c r="L31" i="74"/>
  <c r="M31" i="74"/>
  <c r="N31" i="74"/>
  <c r="O31" i="74"/>
  <c r="P31" i="74"/>
  <c r="Q31" i="74"/>
  <c r="R31" i="74"/>
  <c r="F28" i="74"/>
  <c r="G28" i="74"/>
  <c r="H28" i="74"/>
  <c r="I28" i="74"/>
  <c r="J28" i="74"/>
  <c r="K28" i="74"/>
  <c r="L28" i="74"/>
  <c r="M28" i="74"/>
  <c r="N28" i="74"/>
  <c r="O28" i="74"/>
  <c r="P28" i="74"/>
  <c r="Q28" i="74"/>
  <c r="R28" i="74"/>
  <c r="F25" i="74"/>
  <c r="G25" i="74"/>
  <c r="H25" i="74"/>
  <c r="I25" i="74"/>
  <c r="J25" i="74"/>
  <c r="K25" i="74"/>
  <c r="L25" i="74"/>
  <c r="M25" i="74"/>
  <c r="N25" i="74"/>
  <c r="O25" i="74"/>
  <c r="P25" i="74"/>
  <c r="Q25" i="74"/>
  <c r="R25" i="74"/>
  <c r="F22" i="74"/>
  <c r="G22" i="74"/>
  <c r="H22" i="74"/>
  <c r="I22" i="74"/>
  <c r="J22" i="74"/>
  <c r="K22" i="74"/>
  <c r="L22" i="74"/>
  <c r="M22" i="74"/>
  <c r="N22" i="74"/>
  <c r="O22" i="74"/>
  <c r="P22" i="74"/>
  <c r="Q22" i="74"/>
  <c r="R22" i="74"/>
  <c r="F19" i="74"/>
  <c r="G19" i="74"/>
  <c r="H19" i="74"/>
  <c r="I19" i="74"/>
  <c r="J19" i="74"/>
  <c r="K19" i="74"/>
  <c r="L19" i="74"/>
  <c r="M19" i="74"/>
  <c r="N19" i="74"/>
  <c r="O19" i="74"/>
  <c r="P19" i="74"/>
  <c r="Q19" i="74"/>
  <c r="R19" i="74"/>
  <c r="F16" i="74"/>
  <c r="G16" i="74"/>
  <c r="H16" i="74"/>
  <c r="I16" i="74"/>
  <c r="J16" i="74"/>
  <c r="K16" i="74"/>
  <c r="L16" i="74"/>
  <c r="M16" i="74"/>
  <c r="N16" i="74"/>
  <c r="O16" i="74"/>
  <c r="P16" i="74"/>
  <c r="Q16" i="74"/>
  <c r="R16" i="74"/>
  <c r="F13" i="74"/>
  <c r="G13" i="74"/>
  <c r="H13" i="74"/>
  <c r="I13" i="74"/>
  <c r="J13" i="74"/>
  <c r="K13" i="74"/>
  <c r="L13" i="74"/>
  <c r="M13" i="74"/>
  <c r="N13" i="74"/>
  <c r="O13" i="74"/>
  <c r="P13" i="74"/>
  <c r="Q13" i="74"/>
  <c r="R13" i="74"/>
  <c r="F10" i="74"/>
  <c r="G10" i="74"/>
  <c r="H10" i="74"/>
  <c r="I10" i="74"/>
  <c r="J10" i="74"/>
  <c r="K10" i="74"/>
  <c r="L10" i="74"/>
  <c r="M10" i="74"/>
  <c r="N10" i="74"/>
  <c r="O10" i="74"/>
  <c r="P10" i="74"/>
  <c r="Q10" i="74"/>
  <c r="R10" i="74"/>
  <c r="F7" i="74"/>
  <c r="G7" i="74"/>
  <c r="H7" i="74"/>
  <c r="I7" i="74"/>
  <c r="J7" i="74"/>
  <c r="K7" i="74"/>
  <c r="L7" i="74"/>
  <c r="M7" i="74"/>
  <c r="N7" i="74"/>
  <c r="O7" i="74"/>
  <c r="P7" i="74"/>
  <c r="Q7" i="74"/>
  <c r="R7" i="74"/>
  <c r="F168" i="74"/>
  <c r="G168" i="74"/>
  <c r="H168" i="74"/>
  <c r="I168" i="74"/>
  <c r="J168" i="74"/>
  <c r="K168" i="74"/>
  <c r="L168" i="74"/>
  <c r="M168" i="74"/>
  <c r="N168" i="74"/>
  <c r="O168" i="74"/>
  <c r="P168" i="74"/>
  <c r="Q168" i="74"/>
  <c r="R168" i="74"/>
  <c r="F165" i="74"/>
  <c r="G165" i="74"/>
  <c r="H165" i="74"/>
  <c r="I165" i="74"/>
  <c r="J165" i="74"/>
  <c r="K165" i="74"/>
  <c r="L165" i="74"/>
  <c r="M165" i="74"/>
  <c r="N165" i="74"/>
  <c r="O165" i="74"/>
  <c r="P165" i="74"/>
  <c r="Q165" i="74"/>
  <c r="R165" i="74"/>
  <c r="F162" i="74"/>
  <c r="G162" i="74"/>
  <c r="H162" i="74"/>
  <c r="I162" i="74"/>
  <c r="J162" i="74"/>
  <c r="K162" i="74"/>
  <c r="L162" i="74"/>
  <c r="M162" i="74"/>
  <c r="N162" i="74"/>
  <c r="O162" i="74"/>
  <c r="P162" i="74"/>
  <c r="Q162" i="74"/>
  <c r="R162" i="74"/>
  <c r="F159" i="74"/>
  <c r="G159" i="74"/>
  <c r="H159" i="74"/>
  <c r="I159" i="74"/>
  <c r="J159" i="74"/>
  <c r="K159" i="74"/>
  <c r="L159" i="74"/>
  <c r="M159" i="74"/>
  <c r="N159" i="74"/>
  <c r="O159" i="74"/>
  <c r="P159" i="74"/>
  <c r="Q159" i="74"/>
  <c r="R159" i="74"/>
  <c r="F156" i="74"/>
  <c r="G156" i="74"/>
  <c r="H156" i="74"/>
  <c r="I156" i="74"/>
  <c r="J156" i="74"/>
  <c r="K156" i="74"/>
  <c r="L156" i="74"/>
  <c r="M156" i="74"/>
  <c r="N156" i="74"/>
  <c r="O156" i="74"/>
  <c r="P156" i="74"/>
  <c r="Q156" i="74"/>
  <c r="R156" i="74"/>
  <c r="F153" i="74"/>
  <c r="G153" i="74"/>
  <c r="H153" i="74"/>
  <c r="I153" i="74"/>
  <c r="J153" i="74"/>
  <c r="K153" i="74"/>
  <c r="L153" i="74"/>
  <c r="M153" i="74"/>
  <c r="N153" i="74"/>
  <c r="O153" i="74"/>
  <c r="P153" i="74"/>
  <c r="Q153" i="74"/>
  <c r="R153" i="74"/>
  <c r="F150" i="74"/>
  <c r="G150" i="74"/>
  <c r="H150" i="74"/>
  <c r="I150" i="74"/>
  <c r="J150" i="74"/>
  <c r="K150" i="74"/>
  <c r="L150" i="74"/>
  <c r="M150" i="74"/>
  <c r="N150" i="74"/>
  <c r="O150" i="74"/>
  <c r="P150" i="74"/>
  <c r="Q150" i="74"/>
  <c r="R150" i="74"/>
  <c r="F147" i="74"/>
  <c r="G147" i="74"/>
  <c r="H147" i="74"/>
  <c r="I147" i="74"/>
  <c r="J147" i="74"/>
  <c r="K147" i="74"/>
  <c r="L147" i="74"/>
  <c r="M147" i="74"/>
  <c r="N147" i="74"/>
  <c r="O147" i="74"/>
  <c r="P147" i="74"/>
  <c r="Q147" i="74"/>
  <c r="R147" i="74"/>
  <c r="F144" i="74"/>
  <c r="G144" i="74"/>
  <c r="H144" i="74"/>
  <c r="I144" i="74"/>
  <c r="J144" i="74"/>
  <c r="K144" i="74"/>
  <c r="L144" i="74"/>
  <c r="M144" i="74"/>
  <c r="N144" i="74"/>
  <c r="O144" i="74"/>
  <c r="P144" i="74"/>
  <c r="Q144" i="74"/>
  <c r="R144" i="74"/>
  <c r="F141" i="74"/>
  <c r="G141" i="74"/>
  <c r="H141" i="74"/>
  <c r="I141" i="74"/>
  <c r="J141" i="74"/>
  <c r="K141" i="74"/>
  <c r="L141" i="74"/>
  <c r="M141" i="74"/>
  <c r="N141" i="74"/>
  <c r="O141" i="74"/>
  <c r="P141" i="74"/>
  <c r="Q141" i="74"/>
  <c r="R141" i="74"/>
  <c r="F138" i="74"/>
  <c r="G138" i="74"/>
  <c r="H138" i="74"/>
  <c r="I138" i="74"/>
  <c r="J138" i="74"/>
  <c r="K138" i="74"/>
  <c r="L138" i="74"/>
  <c r="M138" i="74"/>
  <c r="N138" i="74"/>
  <c r="O138" i="74"/>
  <c r="P138" i="74"/>
  <c r="Q138" i="74"/>
  <c r="R138" i="74"/>
  <c r="F135" i="74"/>
  <c r="G135" i="74"/>
  <c r="H135" i="74"/>
  <c r="I135" i="74"/>
  <c r="J135" i="74"/>
  <c r="K135" i="74"/>
  <c r="L135" i="74"/>
  <c r="M135" i="74"/>
  <c r="N135" i="74"/>
  <c r="O135" i="74"/>
  <c r="P135" i="74"/>
  <c r="Q135" i="74"/>
  <c r="R135" i="74"/>
  <c r="F132" i="74"/>
  <c r="G132" i="74"/>
  <c r="H132" i="74"/>
  <c r="I132" i="74"/>
  <c r="J132" i="74"/>
  <c r="K132" i="74"/>
  <c r="L132" i="74"/>
  <c r="M132" i="74"/>
  <c r="N132" i="74"/>
  <c r="O132" i="74"/>
  <c r="P132" i="74"/>
  <c r="Q132" i="74"/>
  <c r="R132" i="74"/>
  <c r="F129" i="74"/>
  <c r="G129" i="74"/>
  <c r="H129" i="74"/>
  <c r="I129" i="74"/>
  <c r="J129" i="74"/>
  <c r="K129" i="74"/>
  <c r="L129" i="74"/>
  <c r="M129" i="74"/>
  <c r="N129" i="74"/>
  <c r="O129" i="74"/>
  <c r="P129" i="74"/>
  <c r="Q129" i="74"/>
  <c r="R129" i="74"/>
  <c r="F126" i="74"/>
  <c r="G126" i="74"/>
  <c r="H126" i="74"/>
  <c r="I126" i="74"/>
  <c r="J126" i="74"/>
  <c r="K126" i="74"/>
  <c r="L126" i="74"/>
  <c r="M126" i="74"/>
  <c r="N126" i="74"/>
  <c r="O126" i="74"/>
  <c r="P126" i="74"/>
  <c r="Q126" i="74"/>
  <c r="R126" i="74"/>
  <c r="F123" i="74"/>
  <c r="G123" i="74"/>
  <c r="H123" i="74"/>
  <c r="I123" i="74"/>
  <c r="J123" i="74"/>
  <c r="K123" i="74"/>
  <c r="L123" i="74"/>
  <c r="M123" i="74"/>
  <c r="N123" i="74"/>
  <c r="O123" i="74"/>
  <c r="P123" i="74"/>
  <c r="Q123" i="74"/>
  <c r="R123" i="74"/>
  <c r="F120" i="74"/>
  <c r="G120" i="74"/>
  <c r="H120" i="74"/>
  <c r="I120" i="74"/>
  <c r="J120" i="74"/>
  <c r="K120" i="74"/>
  <c r="L120" i="74"/>
  <c r="M120" i="74"/>
  <c r="N120" i="74"/>
  <c r="O120" i="74"/>
  <c r="P120" i="74"/>
  <c r="Q120" i="74"/>
  <c r="R120" i="74"/>
  <c r="F117" i="74"/>
  <c r="G117" i="74"/>
  <c r="H117" i="74"/>
  <c r="I117" i="74"/>
  <c r="J117" i="74"/>
  <c r="K117" i="74"/>
  <c r="L117" i="74"/>
  <c r="M117" i="74"/>
  <c r="N117" i="74"/>
  <c r="O117" i="74"/>
  <c r="P117" i="74"/>
  <c r="Q117" i="74"/>
  <c r="R117" i="74"/>
  <c r="F114" i="74"/>
  <c r="G114" i="74"/>
  <c r="H114" i="74"/>
  <c r="I114" i="74"/>
  <c r="J114" i="74"/>
  <c r="K114" i="74"/>
  <c r="L114" i="74"/>
  <c r="M114" i="74"/>
  <c r="N114" i="74"/>
  <c r="O114" i="74"/>
  <c r="P114" i="74"/>
  <c r="Q114" i="74"/>
  <c r="R114" i="74"/>
  <c r="F111" i="74"/>
  <c r="G111" i="74"/>
  <c r="H111" i="74"/>
  <c r="I111" i="74"/>
  <c r="J111" i="74"/>
  <c r="K111" i="74"/>
  <c r="L111" i="74"/>
  <c r="M111" i="74"/>
  <c r="N111" i="74"/>
  <c r="O111" i="74"/>
  <c r="P111" i="74"/>
  <c r="Q111" i="74"/>
  <c r="R111" i="74"/>
  <c r="F108" i="74"/>
  <c r="G108" i="74"/>
  <c r="H108" i="74"/>
  <c r="I108" i="74"/>
  <c r="J108" i="74"/>
  <c r="K108" i="74"/>
  <c r="L108" i="74"/>
  <c r="M108" i="74"/>
  <c r="N108" i="74"/>
  <c r="O108" i="74"/>
  <c r="P108" i="74"/>
  <c r="Q108" i="74"/>
  <c r="R108" i="74"/>
  <c r="F105" i="74"/>
  <c r="G105" i="74"/>
  <c r="H105" i="74"/>
  <c r="I105" i="74"/>
  <c r="J105" i="74"/>
  <c r="K105" i="74"/>
  <c r="L105" i="74"/>
  <c r="M105" i="74"/>
  <c r="N105" i="74"/>
  <c r="O105" i="74"/>
  <c r="P105" i="74"/>
  <c r="Q105" i="74"/>
  <c r="R105" i="74"/>
  <c r="F102" i="74"/>
  <c r="G102" i="74"/>
  <c r="H102" i="74"/>
  <c r="I102" i="74"/>
  <c r="J102" i="74"/>
  <c r="K102" i="74"/>
  <c r="L102" i="74"/>
  <c r="M102" i="74"/>
  <c r="N102" i="74"/>
  <c r="O102" i="74"/>
  <c r="P102" i="74"/>
  <c r="Q102" i="74"/>
  <c r="R102" i="74"/>
  <c r="F99" i="74"/>
  <c r="G99" i="74"/>
  <c r="H99" i="74"/>
  <c r="I99" i="74"/>
  <c r="J99" i="74"/>
  <c r="K99" i="74"/>
  <c r="L99" i="74"/>
  <c r="M99" i="74"/>
  <c r="N99" i="74"/>
  <c r="O99" i="74"/>
  <c r="P99" i="74"/>
  <c r="Q99" i="74"/>
  <c r="R99" i="74"/>
  <c r="F96" i="74"/>
  <c r="G96" i="74"/>
  <c r="H96" i="74"/>
  <c r="I96" i="74"/>
  <c r="J96" i="74"/>
  <c r="K96" i="74"/>
  <c r="L96" i="74"/>
  <c r="M96" i="74"/>
  <c r="N96" i="74"/>
  <c r="O96" i="74"/>
  <c r="P96" i="74"/>
  <c r="Q96" i="74"/>
  <c r="R96" i="74"/>
  <c r="F93" i="74"/>
  <c r="G93" i="74"/>
  <c r="H93" i="74"/>
  <c r="I93" i="74"/>
  <c r="J93" i="74"/>
  <c r="K93" i="74"/>
  <c r="L93" i="74"/>
  <c r="M93" i="74"/>
  <c r="N93" i="74"/>
  <c r="O93" i="74"/>
  <c r="F90" i="74"/>
  <c r="G90" i="74"/>
  <c r="H90" i="74"/>
  <c r="I90" i="74"/>
  <c r="J90" i="74"/>
  <c r="K90" i="74"/>
  <c r="L90" i="74"/>
  <c r="M90" i="74"/>
  <c r="N90" i="74"/>
  <c r="O90" i="74"/>
  <c r="F87" i="74"/>
  <c r="G87" i="74"/>
  <c r="H87" i="74"/>
  <c r="I87" i="74"/>
  <c r="J87" i="74"/>
  <c r="K87" i="74"/>
  <c r="L87" i="74"/>
  <c r="M87" i="74"/>
  <c r="N87" i="74"/>
  <c r="O87" i="74"/>
  <c r="F84" i="74"/>
  <c r="G84" i="74"/>
  <c r="H84" i="74"/>
  <c r="I84" i="74"/>
  <c r="J84" i="74"/>
  <c r="K84" i="74"/>
  <c r="L84" i="74"/>
  <c r="M84" i="74"/>
  <c r="N84" i="74"/>
  <c r="O84" i="74"/>
  <c r="F81" i="74"/>
  <c r="G81" i="74"/>
  <c r="H81" i="74"/>
  <c r="I81" i="74"/>
  <c r="J81" i="74"/>
  <c r="K81" i="74"/>
  <c r="L81" i="74"/>
  <c r="M81" i="74"/>
  <c r="N81" i="74"/>
  <c r="O81" i="74"/>
  <c r="F78" i="74"/>
  <c r="G78" i="74"/>
  <c r="H78" i="74"/>
  <c r="I78" i="74"/>
  <c r="J78" i="74"/>
  <c r="K78" i="74"/>
  <c r="L78" i="74"/>
  <c r="M78" i="74"/>
  <c r="N78" i="74"/>
  <c r="O78" i="74"/>
  <c r="F75" i="74"/>
  <c r="G75" i="74"/>
  <c r="H75" i="74"/>
  <c r="I75" i="74"/>
  <c r="J75" i="74"/>
  <c r="K75" i="74"/>
  <c r="L75" i="74"/>
  <c r="M75" i="74"/>
  <c r="N75" i="74"/>
  <c r="O75" i="74"/>
  <c r="F72" i="74"/>
  <c r="G72" i="74"/>
  <c r="H72" i="74"/>
  <c r="I72" i="74"/>
  <c r="J72" i="74"/>
  <c r="K72" i="74"/>
  <c r="L72" i="74"/>
  <c r="M72" i="74"/>
  <c r="N72" i="74"/>
  <c r="O72" i="74"/>
  <c r="F69" i="74"/>
  <c r="G69" i="74"/>
  <c r="H69" i="74"/>
  <c r="I69" i="74"/>
  <c r="J69" i="74"/>
  <c r="K69" i="74"/>
  <c r="L69" i="74"/>
  <c r="M69" i="74"/>
  <c r="N69" i="74"/>
  <c r="O69" i="74"/>
  <c r="F66" i="74"/>
  <c r="G66" i="74"/>
  <c r="H66" i="74"/>
  <c r="I66" i="74"/>
  <c r="J66" i="74"/>
  <c r="K66" i="74"/>
  <c r="L66" i="74"/>
  <c r="M66" i="74"/>
  <c r="N66" i="74"/>
  <c r="O66" i="74"/>
  <c r="F63" i="74"/>
  <c r="G63" i="74"/>
  <c r="H63" i="74"/>
  <c r="I63" i="74"/>
  <c r="J63" i="74"/>
  <c r="K63" i="74"/>
  <c r="L63" i="74"/>
  <c r="M63" i="74"/>
  <c r="N63" i="74"/>
  <c r="O63" i="74"/>
  <c r="F60" i="74"/>
  <c r="G60" i="74"/>
  <c r="H60" i="74"/>
  <c r="I60" i="74"/>
  <c r="J60" i="74"/>
  <c r="K60" i="74"/>
  <c r="L60" i="74"/>
  <c r="M60" i="74"/>
  <c r="N60" i="74"/>
  <c r="O60" i="74"/>
  <c r="F57" i="74"/>
  <c r="G57" i="74"/>
  <c r="H57" i="74"/>
  <c r="I57" i="74"/>
  <c r="J57" i="74"/>
  <c r="K57" i="74"/>
  <c r="L57" i="74"/>
  <c r="M57" i="74"/>
  <c r="N57" i="74"/>
  <c r="O57" i="74"/>
  <c r="F54" i="74"/>
  <c r="G54" i="74"/>
  <c r="H54" i="74"/>
  <c r="I54" i="74"/>
  <c r="J54" i="74"/>
  <c r="K54" i="74"/>
  <c r="L54" i="74"/>
  <c r="M54" i="74"/>
  <c r="N54" i="74"/>
  <c r="O54" i="74"/>
  <c r="F51" i="74"/>
  <c r="G51" i="74"/>
  <c r="H51" i="74"/>
  <c r="I51" i="74"/>
  <c r="J51" i="74"/>
  <c r="K51" i="74"/>
  <c r="L51" i="74"/>
  <c r="M51" i="74"/>
  <c r="N51" i="74"/>
  <c r="O51" i="74"/>
  <c r="F48" i="74"/>
  <c r="G48" i="74"/>
  <c r="H48" i="74"/>
  <c r="I48" i="74"/>
  <c r="J48" i="74"/>
  <c r="K48" i="74"/>
  <c r="L48" i="74"/>
  <c r="M48" i="74"/>
  <c r="N48" i="74"/>
  <c r="O48" i="74"/>
  <c r="F45" i="74"/>
  <c r="G45" i="74"/>
  <c r="H45" i="74"/>
  <c r="I45" i="74"/>
  <c r="J45" i="74"/>
  <c r="K45" i="74"/>
  <c r="L45" i="74"/>
  <c r="M45" i="74"/>
  <c r="N45" i="74"/>
  <c r="O45" i="74"/>
  <c r="F42" i="74"/>
  <c r="G42" i="74"/>
  <c r="H42" i="74"/>
  <c r="I42" i="74"/>
  <c r="J42" i="74"/>
  <c r="K42" i="74"/>
  <c r="L42" i="74"/>
  <c r="M42" i="74"/>
  <c r="N42" i="74"/>
  <c r="O42" i="74"/>
  <c r="F39" i="74"/>
  <c r="G39" i="74"/>
  <c r="H39" i="74"/>
  <c r="I39" i="74"/>
  <c r="J39" i="74"/>
  <c r="K39" i="74"/>
  <c r="L39" i="74"/>
  <c r="M39" i="74"/>
  <c r="N39" i="74"/>
  <c r="O39" i="74"/>
  <c r="F36" i="74"/>
  <c r="G36" i="74"/>
  <c r="H36" i="74"/>
  <c r="I36" i="74"/>
  <c r="J36" i="74"/>
  <c r="K36" i="74"/>
  <c r="L36" i="74"/>
  <c r="M36" i="74"/>
  <c r="N36" i="74"/>
  <c r="O36" i="74"/>
  <c r="F33" i="74"/>
  <c r="G33" i="74"/>
  <c r="H33" i="74"/>
  <c r="I33" i="74"/>
  <c r="J33" i="74"/>
  <c r="K33" i="74"/>
  <c r="L33" i="74"/>
  <c r="M33" i="74"/>
  <c r="N33" i="74"/>
  <c r="O33" i="74"/>
  <c r="F30" i="74"/>
  <c r="G30" i="74"/>
  <c r="H30" i="74"/>
  <c r="I30" i="74"/>
  <c r="J30" i="74"/>
  <c r="K30" i="74"/>
  <c r="L30" i="74"/>
  <c r="M30" i="74"/>
  <c r="N30" i="74"/>
  <c r="O30" i="74"/>
  <c r="F27" i="74"/>
  <c r="G27" i="74"/>
  <c r="H27" i="74"/>
  <c r="I27" i="74"/>
  <c r="J27" i="74"/>
  <c r="K27" i="74"/>
  <c r="L27" i="74"/>
  <c r="M27" i="74"/>
  <c r="N27" i="74"/>
  <c r="O27" i="74"/>
  <c r="F24" i="74"/>
  <c r="G24" i="74"/>
  <c r="H24" i="74"/>
  <c r="I24" i="74"/>
  <c r="J24" i="74"/>
  <c r="K24" i="74"/>
  <c r="L24" i="74"/>
  <c r="M24" i="74"/>
  <c r="N24" i="74"/>
  <c r="O24" i="74"/>
  <c r="F21" i="74"/>
  <c r="G21" i="74"/>
  <c r="H21" i="74"/>
  <c r="I21" i="74"/>
  <c r="J21" i="74"/>
  <c r="K21" i="74"/>
  <c r="L21" i="74"/>
  <c r="M21" i="74"/>
  <c r="N21" i="74"/>
  <c r="O21" i="74"/>
  <c r="F18" i="74"/>
  <c r="G18" i="74"/>
  <c r="H18" i="74"/>
  <c r="I18" i="74"/>
  <c r="J18" i="74"/>
  <c r="K18" i="74"/>
  <c r="L18" i="74"/>
  <c r="M18" i="74"/>
  <c r="N18" i="74"/>
  <c r="O18" i="74"/>
  <c r="F15" i="74"/>
  <c r="G15" i="74"/>
  <c r="H15" i="74"/>
  <c r="I15" i="74"/>
  <c r="J15" i="74"/>
  <c r="K15" i="74"/>
  <c r="L15" i="74"/>
  <c r="M15" i="74"/>
  <c r="N15" i="74"/>
  <c r="O15" i="74"/>
  <c r="F12" i="74"/>
  <c r="G12" i="74"/>
  <c r="H12" i="74"/>
  <c r="I12" i="74"/>
  <c r="J12" i="74"/>
  <c r="K12" i="74"/>
  <c r="L12" i="74"/>
  <c r="M12" i="74"/>
  <c r="N12" i="74"/>
  <c r="O12" i="74"/>
  <c r="F9" i="74"/>
  <c r="G9" i="74"/>
  <c r="H9" i="74"/>
  <c r="I9" i="74"/>
  <c r="J9" i="74"/>
  <c r="K9" i="74"/>
  <c r="L9" i="74"/>
  <c r="M9" i="74"/>
  <c r="N9" i="74"/>
  <c r="O9" i="74"/>
  <c r="F6" i="74"/>
  <c r="F8" i="74" s="1"/>
  <c r="G6" i="74"/>
  <c r="H6" i="74"/>
  <c r="I6" i="74"/>
  <c r="J6" i="74"/>
  <c r="K6" i="74"/>
  <c r="L6" i="74"/>
  <c r="M6" i="74"/>
  <c r="N6" i="74"/>
  <c r="O6" i="74"/>
  <c r="J93" i="87" l="1"/>
  <c r="H12" i="87"/>
  <c r="H15" i="87"/>
  <c r="P15" i="87"/>
  <c r="H18" i="87"/>
  <c r="P18" i="87"/>
  <c r="H21" i="87"/>
  <c r="P21" i="87"/>
  <c r="H24" i="87"/>
  <c r="P24" i="87"/>
  <c r="H27" i="87"/>
  <c r="P27" i="87"/>
  <c r="H30" i="87"/>
  <c r="P30" i="87"/>
  <c r="H33" i="87"/>
  <c r="P33" i="87"/>
  <c r="H36" i="87"/>
  <c r="P36" i="87"/>
  <c r="H39" i="87"/>
  <c r="P39" i="87"/>
  <c r="H42" i="87"/>
  <c r="P42" i="87"/>
  <c r="H45" i="87"/>
  <c r="P45" i="87"/>
  <c r="H48" i="87"/>
  <c r="P48" i="87"/>
  <c r="H51" i="87"/>
  <c r="P51" i="87"/>
  <c r="N93" i="87"/>
  <c r="F93" i="87"/>
  <c r="O90" i="87"/>
  <c r="I93" i="87"/>
  <c r="H54" i="87"/>
  <c r="P54" i="87"/>
  <c r="H57" i="87"/>
  <c r="P57" i="87"/>
  <c r="H60" i="87"/>
  <c r="P60" i="87"/>
  <c r="H63" i="87"/>
  <c r="P63" i="87"/>
  <c r="H66" i="87"/>
  <c r="J6" i="87"/>
  <c r="J9" i="87"/>
  <c r="J12" i="87"/>
  <c r="J15" i="87"/>
  <c r="J18" i="87"/>
  <c r="J21" i="87"/>
  <c r="J24" i="87"/>
  <c r="J27" i="87"/>
  <c r="J30" i="87"/>
  <c r="J33" i="87"/>
  <c r="J36" i="87"/>
  <c r="J39" i="87"/>
  <c r="J42" i="87"/>
  <c r="J45" i="87"/>
  <c r="J48" i="87"/>
  <c r="J51" i="87"/>
  <c r="J54" i="87"/>
  <c r="J57" i="87"/>
  <c r="J60" i="87"/>
  <c r="J63" i="87"/>
  <c r="J66" i="87"/>
  <c r="J69" i="87"/>
  <c r="J72" i="87"/>
  <c r="J75" i="87"/>
  <c r="J78" i="87"/>
  <c r="J81" i="87"/>
  <c r="J84" i="87"/>
  <c r="J87" i="87"/>
  <c r="G52" i="90"/>
  <c r="G44" i="90"/>
  <c r="G36" i="90"/>
  <c r="G8" i="49"/>
  <c r="K6" i="87"/>
  <c r="K9" i="87"/>
  <c r="K12" i="87"/>
  <c r="K15" i="87"/>
  <c r="K18" i="87"/>
  <c r="K21" i="87"/>
  <c r="K30" i="87"/>
  <c r="K33" i="87"/>
  <c r="K39" i="87"/>
  <c r="K42" i="87"/>
  <c r="K45" i="87"/>
  <c r="K48" i="87"/>
  <c r="K51" i="87"/>
  <c r="K54" i="87"/>
  <c r="K57" i="87"/>
  <c r="K60" i="87"/>
  <c r="K63" i="87"/>
  <c r="K66" i="87"/>
  <c r="K69" i="87"/>
  <c r="K72" i="87"/>
  <c r="K75" i="87"/>
  <c r="K78" i="87"/>
  <c r="K81" i="87"/>
  <c r="K84" i="87"/>
  <c r="K87" i="87"/>
  <c r="K90" i="87"/>
  <c r="Q167" i="82"/>
  <c r="I167" i="82"/>
  <c r="N170" i="82"/>
  <c r="F170" i="82"/>
  <c r="L6" i="87"/>
  <c r="L9" i="87"/>
  <c r="L15" i="87"/>
  <c r="L18" i="87"/>
  <c r="L21" i="87"/>
  <c r="L24" i="87"/>
  <c r="L27" i="87"/>
  <c r="L30" i="87"/>
  <c r="L33" i="87"/>
  <c r="L36" i="87"/>
  <c r="L39" i="87"/>
  <c r="L42" i="87"/>
  <c r="L45" i="87"/>
  <c r="M6" i="87"/>
  <c r="M9" i="87"/>
  <c r="M12" i="87"/>
  <c r="M15" i="87"/>
  <c r="M18" i="87"/>
  <c r="M21" i="87"/>
  <c r="M24" i="87"/>
  <c r="M27" i="87"/>
  <c r="M30" i="87"/>
  <c r="M33" i="87"/>
  <c r="M36" i="87"/>
  <c r="M39" i="87"/>
  <c r="M42" i="87"/>
  <c r="M45" i="87"/>
  <c r="M48" i="87"/>
  <c r="M51" i="87"/>
  <c r="M54" i="87"/>
  <c r="M57" i="87"/>
  <c r="M60" i="87"/>
  <c r="M63" i="87"/>
  <c r="M66" i="87"/>
  <c r="M69" i="87"/>
  <c r="M72" i="87"/>
  <c r="M75" i="87"/>
  <c r="M78" i="87"/>
  <c r="M81" i="87"/>
  <c r="M84" i="87"/>
  <c r="M87" i="87"/>
  <c r="M90" i="87"/>
  <c r="N8" i="82"/>
  <c r="F8" i="82"/>
  <c r="K11" i="82"/>
  <c r="P14" i="82"/>
  <c r="H14" i="82"/>
  <c r="M17" i="82"/>
  <c r="J20" i="82"/>
  <c r="O23" i="82"/>
  <c r="G23" i="82"/>
  <c r="L26" i="82"/>
  <c r="Q29" i="82"/>
  <c r="I29" i="82"/>
  <c r="N32" i="82"/>
  <c r="F32" i="82"/>
  <c r="K35" i="82"/>
  <c r="P38" i="82"/>
  <c r="H38" i="82"/>
  <c r="M41" i="82"/>
  <c r="J44" i="82"/>
  <c r="O47" i="82"/>
  <c r="G47" i="82"/>
  <c r="L50" i="82"/>
  <c r="Q53" i="82"/>
  <c r="I53" i="82"/>
  <c r="N56" i="82"/>
  <c r="F56" i="82"/>
  <c r="K59" i="82"/>
  <c r="P62" i="82"/>
  <c r="H62" i="82"/>
  <c r="J68" i="82"/>
  <c r="O71" i="82"/>
  <c r="G71" i="82"/>
  <c r="L74" i="82"/>
  <c r="Q77" i="82"/>
  <c r="I77" i="82"/>
  <c r="N80" i="82"/>
  <c r="F80" i="82"/>
  <c r="K83" i="82"/>
  <c r="P86" i="82"/>
  <c r="H86" i="82"/>
  <c r="M89" i="82"/>
  <c r="J92" i="82"/>
  <c r="G95" i="82"/>
  <c r="L98" i="82"/>
  <c r="Q101" i="82"/>
  <c r="I101" i="82"/>
  <c r="N104" i="82"/>
  <c r="F104" i="82"/>
  <c r="K107" i="82"/>
  <c r="P110" i="82"/>
  <c r="H110" i="82"/>
  <c r="M113" i="82"/>
  <c r="J116" i="82"/>
  <c r="O119" i="82"/>
  <c r="G119" i="82"/>
  <c r="L122" i="82"/>
  <c r="Q125" i="82"/>
  <c r="I125" i="82"/>
  <c r="N128" i="82"/>
  <c r="F128" i="82"/>
  <c r="K131" i="82"/>
  <c r="P134" i="82"/>
  <c r="H134" i="82"/>
  <c r="M137" i="82"/>
  <c r="J140" i="82"/>
  <c r="O143" i="82"/>
  <c r="G143" i="82"/>
  <c r="L146" i="82"/>
  <c r="Q149" i="82"/>
  <c r="I149" i="82"/>
  <c r="N152" i="82"/>
  <c r="F152" i="82"/>
  <c r="K155" i="82"/>
  <c r="P158" i="82"/>
  <c r="H158" i="82"/>
  <c r="M161" i="82"/>
  <c r="J164" i="82"/>
  <c r="O167" i="82"/>
  <c r="G167" i="82"/>
  <c r="L170" i="82"/>
  <c r="G56" i="90"/>
  <c r="G48" i="90"/>
  <c r="G40" i="90"/>
  <c r="G4" i="49"/>
  <c r="P66" i="87"/>
  <c r="H69" i="87"/>
  <c r="P69" i="87"/>
  <c r="H72" i="87"/>
  <c r="P72" i="87"/>
  <c r="H75" i="87"/>
  <c r="P75" i="87"/>
  <c r="H78" i="87"/>
  <c r="P78" i="87"/>
  <c r="H81" i="87"/>
  <c r="P81" i="87"/>
  <c r="H84" i="87"/>
  <c r="P84" i="87"/>
  <c r="H87" i="87"/>
  <c r="P87" i="87"/>
  <c r="H90" i="87"/>
  <c r="P90" i="87"/>
  <c r="G54" i="90"/>
  <c r="G46" i="90"/>
  <c r="G38" i="90"/>
  <c r="N8" i="78"/>
  <c r="L8" i="78"/>
  <c r="Q11" i="78"/>
  <c r="P14" i="78"/>
  <c r="N14" i="78"/>
  <c r="L14" i="78"/>
  <c r="Q17" i="78"/>
  <c r="P20" i="78"/>
  <c r="N20" i="78"/>
  <c r="L20" i="78"/>
  <c r="F20" i="78"/>
  <c r="Q23" i="78"/>
  <c r="P26" i="78"/>
  <c r="N26" i="78"/>
  <c r="L26" i="78"/>
  <c r="Q29" i="78"/>
  <c r="P32" i="78"/>
  <c r="N32" i="78"/>
  <c r="L32" i="78"/>
  <c r="Q35" i="78"/>
  <c r="P38" i="78"/>
  <c r="N38" i="78"/>
  <c r="L38" i="78"/>
  <c r="Q41" i="78"/>
  <c r="P44" i="78"/>
  <c r="N44" i="78"/>
  <c r="L44" i="78"/>
  <c r="Q47" i="78"/>
  <c r="P50" i="78"/>
  <c r="N50" i="78"/>
  <c r="L50" i="78"/>
  <c r="Q53" i="78"/>
  <c r="P56" i="78"/>
  <c r="N56" i="78"/>
  <c r="L56" i="78"/>
  <c r="Q59" i="78"/>
  <c r="P62" i="78"/>
  <c r="N62" i="78"/>
  <c r="L62" i="78"/>
  <c r="Q65" i="78"/>
  <c r="P68" i="78"/>
  <c r="N68" i="78"/>
  <c r="L68" i="78"/>
  <c r="Q71" i="78"/>
  <c r="O71" i="78"/>
  <c r="M71" i="78"/>
  <c r="K71" i="78"/>
  <c r="I71" i="78"/>
  <c r="G71" i="78"/>
  <c r="P74" i="78"/>
  <c r="N74" i="78"/>
  <c r="L74" i="78"/>
  <c r="Q77" i="78"/>
  <c r="P80" i="78"/>
  <c r="N80" i="78"/>
  <c r="L80" i="78"/>
  <c r="Q83" i="78"/>
  <c r="I83" i="78"/>
  <c r="P86" i="78"/>
  <c r="N86" i="78"/>
  <c r="L86" i="78"/>
  <c r="Q89" i="78"/>
  <c r="P92" i="78"/>
  <c r="N92" i="78"/>
  <c r="L92" i="78"/>
  <c r="Q95" i="78"/>
  <c r="P98" i="78"/>
  <c r="N98" i="78"/>
  <c r="L98" i="78"/>
  <c r="Q101" i="78"/>
  <c r="P104" i="78"/>
  <c r="N104" i="78"/>
  <c r="L104" i="78"/>
  <c r="Q107" i="78"/>
  <c r="P110" i="78"/>
  <c r="N110" i="78"/>
  <c r="L110" i="78"/>
  <c r="G34" i="90"/>
  <c r="P8" i="78"/>
  <c r="K107" i="78"/>
  <c r="K101" i="78"/>
  <c r="K95" i="78"/>
  <c r="K89" i="78"/>
  <c r="K83" i="78"/>
  <c r="K77" i="78"/>
  <c r="K65" i="78"/>
  <c r="K59" i="78"/>
  <c r="K53" i="78"/>
  <c r="K47" i="78"/>
  <c r="K41" i="78"/>
  <c r="K35" i="78"/>
  <c r="K29" i="78"/>
  <c r="K23" i="78"/>
  <c r="K17" i="78"/>
  <c r="K11" i="78"/>
  <c r="F110" i="78"/>
  <c r="F104" i="78"/>
  <c r="F98" i="78"/>
  <c r="F92" i="78"/>
  <c r="F86" i="78"/>
  <c r="F80" i="78"/>
  <c r="F74" i="78"/>
  <c r="F68" i="78"/>
  <c r="F62" i="78"/>
  <c r="F56" i="78"/>
  <c r="F50" i="78"/>
  <c r="F44" i="78"/>
  <c r="F38" i="78"/>
  <c r="F32" i="78"/>
  <c r="F26" i="78"/>
  <c r="F14" i="78"/>
  <c r="F8" i="78"/>
  <c r="G107" i="78"/>
  <c r="G101" i="78"/>
  <c r="G95" i="78"/>
  <c r="G89" i="78"/>
  <c r="G83" i="78"/>
  <c r="G77" i="78"/>
  <c r="G65" i="78"/>
  <c r="G59" i="78"/>
  <c r="G53" i="78"/>
  <c r="G47" i="78"/>
  <c r="G41" i="78"/>
  <c r="G35" i="78"/>
  <c r="G29" i="78"/>
  <c r="G23" i="78"/>
  <c r="G17" i="78"/>
  <c r="G11" i="78"/>
  <c r="J110" i="78"/>
  <c r="J104" i="78"/>
  <c r="J98" i="78"/>
  <c r="J92" i="78"/>
  <c r="J86" i="78"/>
  <c r="J80" i="78"/>
  <c r="J74" i="78"/>
  <c r="J68" i="78"/>
  <c r="J62" i="78"/>
  <c r="J56" i="78"/>
  <c r="J50" i="78"/>
  <c r="J44" i="78"/>
  <c r="J38" i="78"/>
  <c r="J32" i="78"/>
  <c r="J26" i="78"/>
  <c r="J20" i="78"/>
  <c r="J14" i="78"/>
  <c r="J8" i="78"/>
  <c r="O107" i="78"/>
  <c r="O101" i="78"/>
  <c r="O95" i="78"/>
  <c r="O89" i="78"/>
  <c r="O83" i="78"/>
  <c r="O77" i="78"/>
  <c r="O65" i="78"/>
  <c r="O59" i="78"/>
  <c r="O53" i="78"/>
  <c r="O47" i="78"/>
  <c r="O41" i="78"/>
  <c r="O35" i="78"/>
  <c r="O29" i="78"/>
  <c r="O23" i="78"/>
  <c r="O17" i="78"/>
  <c r="O11" i="78"/>
  <c r="H110" i="78"/>
  <c r="H104" i="78"/>
  <c r="H98" i="78"/>
  <c r="H92" i="78"/>
  <c r="H86" i="78"/>
  <c r="H80" i="78"/>
  <c r="H74" i="78"/>
  <c r="H68" i="78"/>
  <c r="H62" i="78"/>
  <c r="H56" i="78"/>
  <c r="H50" i="78"/>
  <c r="H44" i="78"/>
  <c r="H38" i="78"/>
  <c r="H32" i="78"/>
  <c r="H26" i="78"/>
  <c r="H20" i="78"/>
  <c r="H14" i="78"/>
  <c r="H8" i="78"/>
  <c r="M107" i="78"/>
  <c r="M101" i="78"/>
  <c r="M95" i="78"/>
  <c r="M89" i="78"/>
  <c r="M83" i="78"/>
  <c r="M77" i="78"/>
  <c r="M65" i="78"/>
  <c r="M59" i="78"/>
  <c r="M53" i="78"/>
  <c r="M47" i="78"/>
  <c r="M41" i="78"/>
  <c r="M35" i="78"/>
  <c r="M29" i="78"/>
  <c r="M23" i="78"/>
  <c r="M17" i="78"/>
  <c r="M11" i="78"/>
  <c r="I107" i="78"/>
  <c r="I101" i="78"/>
  <c r="I95" i="78"/>
  <c r="I89" i="78"/>
  <c r="I77" i="78"/>
  <c r="I65" i="78"/>
  <c r="I59" i="78"/>
  <c r="I53" i="78"/>
  <c r="I47" i="78"/>
  <c r="I41" i="78"/>
  <c r="I35" i="78"/>
  <c r="I29" i="78"/>
  <c r="I23" i="78"/>
  <c r="I17" i="78"/>
  <c r="I11" i="78"/>
  <c r="H8" i="10"/>
  <c r="H6" i="4"/>
  <c r="H8" i="4"/>
  <c r="H10" i="4"/>
  <c r="H12" i="4"/>
  <c r="H14" i="4"/>
  <c r="H16" i="4"/>
  <c r="H18" i="4"/>
  <c r="H20" i="4"/>
  <c r="H22" i="4"/>
  <c r="H24" i="4"/>
  <c r="H26" i="4"/>
  <c r="H28" i="4"/>
  <c r="H30" i="4"/>
  <c r="H32" i="4"/>
  <c r="H34" i="4"/>
  <c r="H36" i="4"/>
  <c r="H38" i="4"/>
  <c r="H40" i="4"/>
  <c r="H42" i="4"/>
  <c r="H44" i="4"/>
  <c r="H46" i="4"/>
  <c r="H48" i="4"/>
  <c r="H50" i="4"/>
  <c r="H52" i="4"/>
  <c r="H54" i="4"/>
  <c r="H4" i="4"/>
  <c r="S8" i="1" s="1"/>
  <c r="H5" i="4"/>
  <c r="H7" i="4"/>
  <c r="H9" i="4"/>
  <c r="H11" i="4"/>
  <c r="H13" i="4"/>
  <c r="H15" i="4"/>
  <c r="H17" i="4"/>
  <c r="H19" i="4"/>
  <c r="H21" i="4"/>
  <c r="H23" i="4"/>
  <c r="H25" i="4"/>
  <c r="H27" i="4"/>
  <c r="H29" i="4"/>
  <c r="H31" i="4"/>
  <c r="H33" i="4"/>
  <c r="H35" i="4"/>
  <c r="H37" i="4"/>
  <c r="H39" i="4"/>
  <c r="H41" i="4"/>
  <c r="H43" i="4"/>
  <c r="H45" i="4"/>
  <c r="H47" i="4"/>
  <c r="H49" i="4"/>
  <c r="H51" i="4"/>
  <c r="H53" i="4"/>
  <c r="H55" i="4"/>
  <c r="O95" i="82"/>
  <c r="O41" i="82"/>
  <c r="M65" i="82"/>
  <c r="F89" i="82"/>
  <c r="H5" i="18"/>
  <c r="H7" i="18"/>
  <c r="H9" i="18"/>
  <c r="H11" i="18"/>
  <c r="H13" i="18"/>
  <c r="H15" i="18"/>
  <c r="H17" i="18"/>
  <c r="S47" i="15" s="1"/>
  <c r="H19" i="18"/>
  <c r="H21" i="18"/>
  <c r="H23" i="18"/>
  <c r="H25" i="18"/>
  <c r="H27" i="18"/>
  <c r="H29" i="18"/>
  <c r="H31" i="18"/>
  <c r="H33" i="18"/>
  <c r="H35" i="18"/>
  <c r="H37" i="18"/>
  <c r="H39" i="18"/>
  <c r="H41" i="18"/>
  <c r="H43" i="18"/>
  <c r="H45" i="18"/>
  <c r="H47" i="18"/>
  <c r="H49" i="18"/>
  <c r="H51" i="18"/>
  <c r="H53" i="18"/>
  <c r="S155" i="15" s="1"/>
  <c r="H55" i="18"/>
  <c r="S161" i="15" s="1"/>
  <c r="H57" i="18"/>
  <c r="S167" i="15" s="1"/>
  <c r="H4" i="18"/>
  <c r="S8" i="15" s="1"/>
  <c r="H6" i="18"/>
  <c r="S14" i="15" s="1"/>
  <c r="H8" i="18"/>
  <c r="H10" i="18"/>
  <c r="H12" i="18"/>
  <c r="H14" i="18"/>
  <c r="H16" i="18"/>
  <c r="H18" i="18"/>
  <c r="H20" i="18"/>
  <c r="H22" i="18"/>
  <c r="H24" i="18"/>
  <c r="H26" i="18"/>
  <c r="H28" i="18"/>
  <c r="H30" i="18"/>
  <c r="H32" i="18"/>
  <c r="H34" i="18"/>
  <c r="H36" i="18"/>
  <c r="H38" i="18"/>
  <c r="H40" i="18"/>
  <c r="H42" i="18"/>
  <c r="H44" i="18"/>
  <c r="H46" i="18"/>
  <c r="H48" i="18"/>
  <c r="H50" i="18"/>
  <c r="H52" i="18"/>
  <c r="H54" i="18"/>
  <c r="S158" i="15" s="1"/>
  <c r="H56" i="18"/>
  <c r="S164" i="15" s="1"/>
  <c r="H58" i="18"/>
  <c r="S170" i="15" s="1"/>
  <c r="H6" i="14"/>
  <c r="S14" i="11" s="1"/>
  <c r="H8" i="14"/>
  <c r="H10" i="14"/>
  <c r="H12" i="14"/>
  <c r="H14" i="14"/>
  <c r="H16" i="14"/>
  <c r="H18" i="14"/>
  <c r="H20" i="14"/>
  <c r="H22" i="14"/>
  <c r="H24" i="14"/>
  <c r="H26" i="14"/>
  <c r="H28" i="14"/>
  <c r="H30" i="14"/>
  <c r="H32" i="14"/>
  <c r="H34" i="14"/>
  <c r="H36" i="14"/>
  <c r="H38" i="14"/>
  <c r="H40" i="14"/>
  <c r="H42" i="14"/>
  <c r="H44" i="14"/>
  <c r="H46" i="14"/>
  <c r="H48" i="14"/>
  <c r="H50" i="14"/>
  <c r="H52" i="14"/>
  <c r="H5" i="14"/>
  <c r="H7" i="14"/>
  <c r="H9" i="14"/>
  <c r="H11" i="14"/>
  <c r="H13" i="14"/>
  <c r="H15" i="14"/>
  <c r="H17" i="14"/>
  <c r="H19" i="14"/>
  <c r="H21" i="14"/>
  <c r="H23" i="14"/>
  <c r="H25" i="14"/>
  <c r="H27" i="14"/>
  <c r="H29" i="14"/>
  <c r="H31" i="14"/>
  <c r="H33" i="14"/>
  <c r="H35" i="14"/>
  <c r="H37" i="14"/>
  <c r="H39" i="14"/>
  <c r="H41" i="14"/>
  <c r="H43" i="14"/>
  <c r="H45" i="14"/>
  <c r="H47" i="14"/>
  <c r="H49" i="14"/>
  <c r="H51" i="14"/>
  <c r="H53" i="14"/>
  <c r="H4" i="14"/>
  <c r="H53" i="10"/>
  <c r="H49" i="10"/>
  <c r="H45" i="10"/>
  <c r="H41" i="10"/>
  <c r="H37" i="10"/>
  <c r="H33" i="10"/>
  <c r="H29" i="10"/>
  <c r="H25" i="10"/>
  <c r="H21" i="10"/>
  <c r="H17" i="10"/>
  <c r="H13" i="10"/>
  <c r="H9" i="10"/>
  <c r="H5" i="10"/>
  <c r="H54" i="10"/>
  <c r="H50" i="10"/>
  <c r="H46" i="10"/>
  <c r="H42" i="10"/>
  <c r="H38" i="10"/>
  <c r="H34" i="10"/>
  <c r="H30" i="10"/>
  <c r="H26" i="10"/>
  <c r="H22" i="10"/>
  <c r="H18" i="10"/>
  <c r="H14" i="10"/>
  <c r="H10" i="10"/>
  <c r="H6" i="10"/>
  <c r="H55" i="10"/>
  <c r="H51" i="10"/>
  <c r="H47" i="10"/>
  <c r="H43" i="10"/>
  <c r="H39" i="10"/>
  <c r="H35" i="10"/>
  <c r="H31" i="10"/>
  <c r="H27" i="10"/>
  <c r="H23" i="10"/>
  <c r="H19" i="10"/>
  <c r="H15" i="10"/>
  <c r="H11" i="10"/>
  <c r="H7" i="10"/>
  <c r="H4" i="10"/>
  <c r="H52" i="10"/>
  <c r="H48" i="10"/>
  <c r="H44" i="10"/>
  <c r="H40" i="10"/>
  <c r="H36" i="10"/>
  <c r="H32" i="10"/>
  <c r="H28" i="10"/>
  <c r="H24" i="10"/>
  <c r="H20" i="10"/>
  <c r="H16" i="10"/>
  <c r="H12" i="10"/>
  <c r="Q8" i="1"/>
  <c r="G58" i="77"/>
  <c r="G56" i="77"/>
  <c r="G54" i="77"/>
  <c r="G52" i="77"/>
  <c r="G50" i="77"/>
  <c r="G48" i="77"/>
  <c r="G46" i="77"/>
  <c r="G44" i="77"/>
  <c r="G42" i="77"/>
  <c r="G40" i="77"/>
  <c r="G38" i="77"/>
  <c r="G36" i="77"/>
  <c r="G34" i="77"/>
  <c r="G32" i="77"/>
  <c r="G30" i="77"/>
  <c r="G28" i="77"/>
  <c r="G26" i="77"/>
  <c r="G24" i="77"/>
  <c r="G22" i="77"/>
  <c r="G20" i="77"/>
  <c r="G32" i="90"/>
  <c r="G30" i="90"/>
  <c r="G28" i="90"/>
  <c r="G26" i="90"/>
  <c r="G24" i="90"/>
  <c r="G22" i="90"/>
  <c r="G20" i="90"/>
  <c r="G18" i="90"/>
  <c r="S155" i="11"/>
  <c r="Q155" i="11"/>
  <c r="O155" i="11"/>
  <c r="M155" i="11"/>
  <c r="K155" i="11"/>
  <c r="I155" i="11"/>
  <c r="G155" i="11"/>
  <c r="U155" i="11"/>
  <c r="G57" i="77"/>
  <c r="G55" i="77"/>
  <c r="G53" i="77"/>
  <c r="G51" i="77"/>
  <c r="G49" i="77"/>
  <c r="G47" i="77"/>
  <c r="G45" i="77"/>
  <c r="G43" i="77"/>
  <c r="G41" i="77"/>
  <c r="G39" i="77"/>
  <c r="G37" i="77"/>
  <c r="G35" i="77"/>
  <c r="G18" i="77"/>
  <c r="G16" i="77"/>
  <c r="G14" i="77"/>
  <c r="G12" i="77"/>
  <c r="G10" i="77"/>
  <c r="G58" i="81"/>
  <c r="G56" i="81"/>
  <c r="G54" i="81"/>
  <c r="G52" i="81"/>
  <c r="G50" i="81"/>
  <c r="G48" i="81"/>
  <c r="G46" i="81"/>
  <c r="G44" i="81"/>
  <c r="G42" i="81"/>
  <c r="G16" i="90"/>
  <c r="G14" i="90"/>
  <c r="G33" i="77"/>
  <c r="G31" i="77"/>
  <c r="G29" i="77"/>
  <c r="G27" i="77"/>
  <c r="G25" i="77"/>
  <c r="G23" i="77"/>
  <c r="G21" i="77"/>
  <c r="G19" i="77"/>
  <c r="G17" i="77"/>
  <c r="G15" i="77"/>
  <c r="G13" i="77"/>
  <c r="G11" i="77"/>
  <c r="G9" i="77"/>
  <c r="G7" i="77"/>
  <c r="G5" i="77"/>
  <c r="G57" i="81"/>
  <c r="G55" i="81"/>
  <c r="G53" i="81"/>
  <c r="G51" i="81"/>
  <c r="G49" i="81"/>
  <c r="G47" i="81"/>
  <c r="G45" i="81"/>
  <c r="G43" i="81"/>
  <c r="G41" i="81"/>
  <c r="G39" i="81"/>
  <c r="G37" i="81"/>
  <c r="G35" i="81"/>
  <c r="G33" i="81"/>
  <c r="G31" i="81"/>
  <c r="G29" i="81"/>
  <c r="G27" i="81"/>
  <c r="G25" i="81"/>
  <c r="G23" i="81"/>
  <c r="G21" i="81"/>
  <c r="G19" i="81"/>
  <c r="G17" i="81"/>
  <c r="G15" i="81"/>
  <c r="G13" i="81"/>
  <c r="G11" i="81"/>
  <c r="G9" i="81"/>
  <c r="G7" i="81"/>
  <c r="G5" i="81"/>
  <c r="G12" i="90"/>
  <c r="G10" i="90"/>
  <c r="G8" i="90"/>
  <c r="G6" i="90"/>
  <c r="G4" i="90"/>
  <c r="G8" i="77"/>
  <c r="G6" i="77"/>
  <c r="G4" i="77"/>
  <c r="G40" i="81"/>
  <c r="G38" i="81"/>
  <c r="G36" i="81"/>
  <c r="G34" i="81"/>
  <c r="G32" i="81"/>
  <c r="G30" i="81"/>
  <c r="G28" i="81"/>
  <c r="G26" i="81"/>
  <c r="G24" i="81"/>
  <c r="G22" i="81"/>
  <c r="G20" i="81"/>
  <c r="G18" i="81"/>
  <c r="G16" i="81"/>
  <c r="G14" i="81"/>
  <c r="G12" i="81"/>
  <c r="G10" i="81"/>
  <c r="G8" i="81"/>
  <c r="G6" i="81"/>
  <c r="G4" i="81"/>
  <c r="G58" i="85"/>
  <c r="G56" i="85"/>
  <c r="G54" i="85"/>
  <c r="G52" i="85"/>
  <c r="G50" i="85"/>
  <c r="G48" i="85"/>
  <c r="G46" i="85"/>
  <c r="G44" i="85"/>
  <c r="G42" i="85"/>
  <c r="G40" i="85"/>
  <c r="G38" i="85"/>
  <c r="G36" i="85"/>
  <c r="G34" i="85"/>
  <c r="R8" i="1"/>
  <c r="T155" i="11"/>
  <c r="R155" i="11"/>
  <c r="P155" i="11"/>
  <c r="N155" i="11"/>
  <c r="L155" i="11"/>
  <c r="J155" i="11"/>
  <c r="H155" i="11"/>
  <c r="F155" i="11"/>
  <c r="U8" i="1"/>
  <c r="G32" i="85"/>
  <c r="G30" i="85"/>
  <c r="G28" i="85"/>
  <c r="G26" i="85"/>
  <c r="G24" i="85"/>
  <c r="G22" i="85"/>
  <c r="G20" i="85"/>
  <c r="G18" i="85"/>
  <c r="G16" i="85"/>
  <c r="G14" i="85"/>
  <c r="G12" i="85"/>
  <c r="G10" i="85"/>
  <c r="G8" i="85"/>
  <c r="G6" i="85"/>
  <c r="G4" i="85"/>
  <c r="T8" i="1"/>
  <c r="P8" i="1"/>
  <c r="L12" i="87"/>
  <c r="P12" i="87"/>
  <c r="G55" i="90"/>
  <c r="G51" i="90"/>
  <c r="G47" i="90"/>
  <c r="G43" i="90"/>
  <c r="G39" i="90"/>
  <c r="G35" i="90"/>
  <c r="G31" i="90"/>
  <c r="G27" i="90"/>
  <c r="G23" i="90"/>
  <c r="G19" i="90"/>
  <c r="G15" i="90"/>
  <c r="G11" i="90"/>
  <c r="G7" i="90"/>
  <c r="G58" i="49"/>
  <c r="G54" i="49"/>
  <c r="G50" i="49"/>
  <c r="G46" i="49"/>
  <c r="G42" i="49"/>
  <c r="G38" i="49"/>
  <c r="G34" i="49"/>
  <c r="G30" i="49"/>
  <c r="G26" i="49"/>
  <c r="G22" i="49"/>
  <c r="G18" i="49"/>
  <c r="G14" i="49"/>
  <c r="G10" i="49"/>
  <c r="G56" i="49"/>
  <c r="G52" i="49"/>
  <c r="G48" i="49"/>
  <c r="G44" i="49"/>
  <c r="G40" i="49"/>
  <c r="G36" i="49"/>
  <c r="G32" i="49"/>
  <c r="G28" i="49"/>
  <c r="G24" i="49"/>
  <c r="G20" i="49"/>
  <c r="G16" i="49"/>
  <c r="G12" i="49"/>
  <c r="K24" i="87"/>
  <c r="K36" i="87"/>
  <c r="K93" i="87"/>
  <c r="K27" i="87"/>
  <c r="S7" i="15"/>
  <c r="G170" i="74"/>
  <c r="H170" i="74"/>
  <c r="I170" i="74"/>
  <c r="J170" i="74"/>
  <c r="K170" i="74"/>
  <c r="L170" i="74"/>
  <c r="M170" i="74"/>
  <c r="N170" i="74"/>
  <c r="O170" i="74"/>
  <c r="P170" i="74"/>
  <c r="Q170" i="74"/>
  <c r="F170" i="74"/>
  <c r="G167" i="74"/>
  <c r="H167" i="74"/>
  <c r="I167" i="74"/>
  <c r="J167" i="74"/>
  <c r="K167" i="74"/>
  <c r="L167" i="74"/>
  <c r="M167" i="74"/>
  <c r="N167" i="74"/>
  <c r="O167" i="74"/>
  <c r="P167" i="74"/>
  <c r="Q167" i="74"/>
  <c r="F167" i="74"/>
  <c r="G164" i="74"/>
  <c r="H164" i="74"/>
  <c r="I164" i="74"/>
  <c r="J164" i="74"/>
  <c r="K164" i="74"/>
  <c r="L164" i="74"/>
  <c r="M164" i="74"/>
  <c r="N164" i="74"/>
  <c r="O164" i="74"/>
  <c r="P164" i="74"/>
  <c r="Q164" i="74"/>
  <c r="F164" i="74"/>
  <c r="G161" i="74"/>
  <c r="H161" i="74"/>
  <c r="I161" i="74"/>
  <c r="J161" i="74"/>
  <c r="K161" i="74"/>
  <c r="L161" i="74"/>
  <c r="M161" i="74"/>
  <c r="N161" i="74"/>
  <c r="O161" i="74"/>
  <c r="P161" i="74"/>
  <c r="Q161" i="74"/>
  <c r="F161" i="74"/>
  <c r="G158" i="74"/>
  <c r="H158" i="74"/>
  <c r="I158" i="74"/>
  <c r="J158" i="74"/>
  <c r="K158" i="74"/>
  <c r="L158" i="74"/>
  <c r="M158" i="74"/>
  <c r="N158" i="74"/>
  <c r="O158" i="74"/>
  <c r="P158" i="74"/>
  <c r="Q158" i="74"/>
  <c r="F158" i="74"/>
  <c r="G155" i="74"/>
  <c r="H155" i="74"/>
  <c r="I155" i="74"/>
  <c r="J155" i="74"/>
  <c r="K155" i="74"/>
  <c r="L155" i="74"/>
  <c r="M155" i="74"/>
  <c r="N155" i="74"/>
  <c r="O155" i="74"/>
  <c r="P155" i="74"/>
  <c r="Q155" i="74"/>
  <c r="F155" i="74"/>
  <c r="G152" i="74"/>
  <c r="H152" i="74"/>
  <c r="I152" i="74"/>
  <c r="J152" i="74"/>
  <c r="K152" i="74"/>
  <c r="L152" i="74"/>
  <c r="M152" i="74"/>
  <c r="N152" i="74"/>
  <c r="O152" i="74"/>
  <c r="P152" i="74"/>
  <c r="Q152" i="74"/>
  <c r="F152" i="74"/>
  <c r="G149" i="74"/>
  <c r="H149" i="74"/>
  <c r="I149" i="74"/>
  <c r="J149" i="74"/>
  <c r="K149" i="74"/>
  <c r="L149" i="74"/>
  <c r="M149" i="74"/>
  <c r="N149" i="74"/>
  <c r="O149" i="74"/>
  <c r="P149" i="74"/>
  <c r="Q149" i="74"/>
  <c r="F149" i="74"/>
  <c r="G146" i="74"/>
  <c r="H146" i="74"/>
  <c r="I146" i="74"/>
  <c r="J146" i="74"/>
  <c r="K146" i="74"/>
  <c r="L146" i="74"/>
  <c r="M146" i="74"/>
  <c r="N146" i="74"/>
  <c r="O146" i="74"/>
  <c r="P146" i="74"/>
  <c r="Q146" i="74"/>
  <c r="F146" i="74"/>
  <c r="G143" i="74"/>
  <c r="H143" i="74"/>
  <c r="I143" i="74"/>
  <c r="J143" i="74"/>
  <c r="K143" i="74"/>
  <c r="L143" i="74"/>
  <c r="M143" i="74"/>
  <c r="N143" i="74"/>
  <c r="O143" i="74"/>
  <c r="P143" i="74"/>
  <c r="Q143" i="74"/>
  <c r="F143" i="74"/>
  <c r="G140" i="74"/>
  <c r="H140" i="74"/>
  <c r="I140" i="74"/>
  <c r="J140" i="74"/>
  <c r="K140" i="74"/>
  <c r="L140" i="74"/>
  <c r="M140" i="74"/>
  <c r="N140" i="74"/>
  <c r="O140" i="74"/>
  <c r="P140" i="74"/>
  <c r="Q140" i="74"/>
  <c r="F140" i="74"/>
  <c r="G137" i="74"/>
  <c r="H137" i="74"/>
  <c r="I137" i="74"/>
  <c r="J137" i="74"/>
  <c r="K137" i="74"/>
  <c r="L137" i="74"/>
  <c r="M137" i="74"/>
  <c r="N137" i="74"/>
  <c r="O137" i="74"/>
  <c r="P137" i="74"/>
  <c r="Q137" i="74"/>
  <c r="F137" i="74"/>
  <c r="G134" i="74"/>
  <c r="H134" i="74"/>
  <c r="I134" i="74"/>
  <c r="J134" i="74"/>
  <c r="K134" i="74"/>
  <c r="L134" i="74"/>
  <c r="M134" i="74"/>
  <c r="N134" i="74"/>
  <c r="O134" i="74"/>
  <c r="P134" i="74"/>
  <c r="Q134" i="74"/>
  <c r="F134" i="74"/>
  <c r="G131" i="74"/>
  <c r="H131" i="74"/>
  <c r="I131" i="74"/>
  <c r="J131" i="74"/>
  <c r="K131" i="74"/>
  <c r="L131" i="74"/>
  <c r="M131" i="74"/>
  <c r="N131" i="74"/>
  <c r="O131" i="74"/>
  <c r="P131" i="74"/>
  <c r="Q131" i="74"/>
  <c r="F131" i="74"/>
  <c r="G128" i="74"/>
  <c r="H128" i="74"/>
  <c r="I128" i="74"/>
  <c r="J128" i="74"/>
  <c r="K128" i="74"/>
  <c r="L128" i="74"/>
  <c r="M128" i="74"/>
  <c r="N128" i="74"/>
  <c r="O128" i="74"/>
  <c r="P128" i="74"/>
  <c r="Q128" i="74"/>
  <c r="F128" i="74"/>
  <c r="G125" i="74"/>
  <c r="H125" i="74"/>
  <c r="I125" i="74"/>
  <c r="J125" i="74"/>
  <c r="K125" i="74"/>
  <c r="L125" i="74"/>
  <c r="M125" i="74"/>
  <c r="N125" i="74"/>
  <c r="O125" i="74"/>
  <c r="P125" i="74"/>
  <c r="Q125" i="74"/>
  <c r="F125" i="74"/>
  <c r="G122" i="74"/>
  <c r="H122" i="74"/>
  <c r="I122" i="74"/>
  <c r="J122" i="74"/>
  <c r="K122" i="74"/>
  <c r="L122" i="74"/>
  <c r="M122" i="74"/>
  <c r="N122" i="74"/>
  <c r="O122" i="74"/>
  <c r="P122" i="74"/>
  <c r="Q122" i="74"/>
  <c r="F122" i="74"/>
  <c r="G119" i="74"/>
  <c r="H119" i="74"/>
  <c r="I119" i="74"/>
  <c r="J119" i="74"/>
  <c r="K119" i="74"/>
  <c r="L119" i="74"/>
  <c r="M119" i="74"/>
  <c r="N119" i="74"/>
  <c r="O119" i="74"/>
  <c r="P119" i="74"/>
  <c r="Q119" i="74"/>
  <c r="F119" i="74"/>
  <c r="G116" i="74"/>
  <c r="H116" i="74"/>
  <c r="I116" i="74"/>
  <c r="J116" i="74"/>
  <c r="K116" i="74"/>
  <c r="L116" i="74"/>
  <c r="M116" i="74"/>
  <c r="N116" i="74"/>
  <c r="O116" i="74"/>
  <c r="P116" i="74"/>
  <c r="Q116" i="74"/>
  <c r="F116" i="74"/>
  <c r="G113" i="74"/>
  <c r="H113" i="74"/>
  <c r="I113" i="74"/>
  <c r="J113" i="74"/>
  <c r="K113" i="74"/>
  <c r="L113" i="74"/>
  <c r="M113" i="74"/>
  <c r="N113" i="74"/>
  <c r="O113" i="74"/>
  <c r="P113" i="74"/>
  <c r="Q113" i="74"/>
  <c r="F113" i="74"/>
  <c r="G110" i="74"/>
  <c r="H110" i="74"/>
  <c r="I110" i="74"/>
  <c r="J110" i="74"/>
  <c r="K110" i="74"/>
  <c r="L110" i="74"/>
  <c r="M110" i="74"/>
  <c r="N110" i="74"/>
  <c r="O110" i="74"/>
  <c r="P110" i="74"/>
  <c r="Q110" i="74"/>
  <c r="F110" i="74"/>
  <c r="G107" i="74"/>
  <c r="H107" i="74"/>
  <c r="I107" i="74"/>
  <c r="J107" i="74"/>
  <c r="K107" i="74"/>
  <c r="L107" i="74"/>
  <c r="M107" i="74"/>
  <c r="N107" i="74"/>
  <c r="O107" i="74"/>
  <c r="P107" i="74"/>
  <c r="Q107" i="74"/>
  <c r="F107" i="74"/>
  <c r="G104" i="74"/>
  <c r="H104" i="74"/>
  <c r="I104" i="74"/>
  <c r="J104" i="74"/>
  <c r="K104" i="74"/>
  <c r="L104" i="74"/>
  <c r="M104" i="74"/>
  <c r="N104" i="74"/>
  <c r="O104" i="74"/>
  <c r="P104" i="74"/>
  <c r="Q104" i="74"/>
  <c r="F104" i="74"/>
  <c r="G101" i="74"/>
  <c r="H101" i="74"/>
  <c r="I101" i="74"/>
  <c r="J101" i="74"/>
  <c r="K101" i="74"/>
  <c r="L101" i="74"/>
  <c r="M101" i="74"/>
  <c r="N101" i="74"/>
  <c r="O101" i="74"/>
  <c r="P101" i="74"/>
  <c r="Q101" i="74"/>
  <c r="F101" i="74"/>
  <c r="G98" i="74"/>
  <c r="H98" i="74"/>
  <c r="I98" i="74"/>
  <c r="J98" i="74"/>
  <c r="K98" i="74"/>
  <c r="L98" i="74"/>
  <c r="M98" i="74"/>
  <c r="N98" i="74"/>
  <c r="O98" i="74"/>
  <c r="P98" i="74"/>
  <c r="Q98" i="74"/>
  <c r="F98" i="74"/>
  <c r="F169" i="15"/>
  <c r="G169" i="15"/>
  <c r="H169" i="15"/>
  <c r="I169" i="15"/>
  <c r="J169" i="15"/>
  <c r="K169" i="15"/>
  <c r="L169" i="15"/>
  <c r="M169" i="15"/>
  <c r="N169" i="15"/>
  <c r="O169" i="15"/>
  <c r="P169" i="15"/>
  <c r="Q169" i="15"/>
  <c r="R169" i="15"/>
  <c r="S169" i="15"/>
  <c r="F166" i="15"/>
  <c r="G166" i="15"/>
  <c r="H166" i="15"/>
  <c r="I166" i="15"/>
  <c r="J166" i="15"/>
  <c r="K166" i="15"/>
  <c r="L166" i="15"/>
  <c r="M166" i="15"/>
  <c r="N166" i="15"/>
  <c r="O166" i="15"/>
  <c r="P166" i="15"/>
  <c r="Q166" i="15"/>
  <c r="R166" i="15"/>
  <c r="S166" i="15"/>
  <c r="F163" i="15"/>
  <c r="G163" i="15"/>
  <c r="H163" i="15"/>
  <c r="I163" i="15"/>
  <c r="J163" i="15"/>
  <c r="K163" i="15"/>
  <c r="L163" i="15"/>
  <c r="M163" i="15"/>
  <c r="N163" i="15"/>
  <c r="O163" i="15"/>
  <c r="P163" i="15"/>
  <c r="Q163" i="15"/>
  <c r="R163" i="15"/>
  <c r="S163" i="15"/>
  <c r="F160" i="15"/>
  <c r="G160" i="15"/>
  <c r="H160" i="15"/>
  <c r="I160" i="15"/>
  <c r="J160" i="15"/>
  <c r="K160" i="15"/>
  <c r="L160" i="15"/>
  <c r="M160" i="15"/>
  <c r="N160" i="15"/>
  <c r="O160" i="15"/>
  <c r="P160" i="15"/>
  <c r="Q160" i="15"/>
  <c r="R160" i="15"/>
  <c r="S160" i="15"/>
  <c r="F157" i="15"/>
  <c r="G157" i="15"/>
  <c r="H157" i="15"/>
  <c r="H158" i="15" s="1"/>
  <c r="I157" i="15"/>
  <c r="J157" i="15"/>
  <c r="K157" i="15"/>
  <c r="L157" i="15"/>
  <c r="L158" i="15" s="1"/>
  <c r="M157" i="15"/>
  <c r="N157" i="15"/>
  <c r="O157" i="15"/>
  <c r="P157" i="15"/>
  <c r="P158" i="15" s="1"/>
  <c r="Q157" i="15"/>
  <c r="R157" i="15"/>
  <c r="S157" i="15"/>
  <c r="F168" i="15"/>
  <c r="G168" i="15"/>
  <c r="H168" i="15"/>
  <c r="I168" i="15"/>
  <c r="J168" i="15"/>
  <c r="K168" i="15"/>
  <c r="L168" i="15"/>
  <c r="M168" i="15"/>
  <c r="M170" i="15" s="1"/>
  <c r="N168" i="15"/>
  <c r="O168" i="15"/>
  <c r="P168" i="15"/>
  <c r="Q168" i="15"/>
  <c r="Q170" i="15" s="1"/>
  <c r="R168" i="15"/>
  <c r="S168" i="15"/>
  <c r="F165" i="15"/>
  <c r="G165" i="15"/>
  <c r="G167" i="15" s="1"/>
  <c r="H165" i="15"/>
  <c r="I165" i="15"/>
  <c r="J165" i="15"/>
  <c r="K165" i="15"/>
  <c r="K167" i="15" s="1"/>
  <c r="L165" i="15"/>
  <c r="M165" i="15"/>
  <c r="N165" i="15"/>
  <c r="O165" i="15"/>
  <c r="O167" i="15" s="1"/>
  <c r="P165" i="15"/>
  <c r="Q165" i="15"/>
  <c r="R165" i="15"/>
  <c r="S165" i="15"/>
  <c r="F162" i="15"/>
  <c r="G162" i="15"/>
  <c r="H162" i="15"/>
  <c r="H164" i="15" s="1"/>
  <c r="I162" i="15"/>
  <c r="I164" i="15" s="1"/>
  <c r="J162" i="15"/>
  <c r="K162" i="15"/>
  <c r="L162" i="15"/>
  <c r="M162" i="15"/>
  <c r="M164" i="15" s="1"/>
  <c r="N162" i="15"/>
  <c r="O162" i="15"/>
  <c r="P162" i="15"/>
  <c r="P164" i="15" s="1"/>
  <c r="Q162" i="15"/>
  <c r="Q164" i="15" s="1"/>
  <c r="R162" i="15"/>
  <c r="S162" i="15"/>
  <c r="F159" i="15"/>
  <c r="G159" i="15"/>
  <c r="G161" i="15" s="1"/>
  <c r="H159" i="15"/>
  <c r="I159" i="15"/>
  <c r="J159" i="15"/>
  <c r="J161" i="15" s="1"/>
  <c r="K159" i="15"/>
  <c r="K161" i="15" s="1"/>
  <c r="L159" i="15"/>
  <c r="M159" i="15"/>
  <c r="N159" i="15"/>
  <c r="O159" i="15"/>
  <c r="O161" i="15" s="1"/>
  <c r="P159" i="15"/>
  <c r="Q159" i="15"/>
  <c r="R159" i="15"/>
  <c r="R161" i="15" s="1"/>
  <c r="S159" i="15"/>
  <c r="G158" i="15"/>
  <c r="I158" i="15"/>
  <c r="K158" i="15"/>
  <c r="M158" i="15"/>
  <c r="O158" i="15"/>
  <c r="Q158" i="15"/>
  <c r="G160" i="7"/>
  <c r="H160" i="7"/>
  <c r="I160" i="7"/>
  <c r="J160" i="7"/>
  <c r="K160" i="7"/>
  <c r="L160" i="7"/>
  <c r="M160" i="7"/>
  <c r="M161" i="7" s="1"/>
  <c r="N160" i="7"/>
  <c r="N161" i="7" s="1"/>
  <c r="O160" i="7"/>
  <c r="P160" i="7"/>
  <c r="Q160" i="7"/>
  <c r="R160" i="7"/>
  <c r="S160" i="7"/>
  <c r="G157" i="7"/>
  <c r="H157" i="7"/>
  <c r="H158" i="7" s="1"/>
  <c r="I157" i="7"/>
  <c r="I158" i="7" s="1"/>
  <c r="J157" i="7"/>
  <c r="K157" i="7"/>
  <c r="L157" i="7"/>
  <c r="M157" i="7"/>
  <c r="N157" i="7"/>
  <c r="O157" i="7"/>
  <c r="P157" i="7"/>
  <c r="P158" i="7" s="1"/>
  <c r="Q157" i="7"/>
  <c r="Q158" i="7" s="1"/>
  <c r="S157" i="7"/>
  <c r="G154" i="7"/>
  <c r="H154" i="7"/>
  <c r="I154" i="7"/>
  <c r="J154" i="7"/>
  <c r="K154" i="7"/>
  <c r="L154" i="7"/>
  <c r="M154" i="7"/>
  <c r="M155" i="7" s="1"/>
  <c r="N154" i="7"/>
  <c r="O154" i="7"/>
  <c r="P154" i="7"/>
  <c r="Q154" i="7"/>
  <c r="S154" i="7"/>
  <c r="G151" i="7"/>
  <c r="H151" i="7"/>
  <c r="I151" i="7"/>
  <c r="J151" i="7"/>
  <c r="K151" i="7"/>
  <c r="L151" i="7"/>
  <c r="M151" i="7"/>
  <c r="N151" i="7"/>
  <c r="O151" i="7"/>
  <c r="P151" i="7"/>
  <c r="Q151" i="7"/>
  <c r="S151" i="7"/>
  <c r="G148" i="7"/>
  <c r="H148" i="7"/>
  <c r="I148" i="7"/>
  <c r="J148" i="7"/>
  <c r="K148" i="7"/>
  <c r="L148" i="7"/>
  <c r="M148" i="7"/>
  <c r="N148" i="7"/>
  <c r="O148" i="7"/>
  <c r="P148" i="7"/>
  <c r="Q148" i="7"/>
  <c r="S148" i="7"/>
  <c r="G145" i="7"/>
  <c r="H145" i="7"/>
  <c r="I145" i="7"/>
  <c r="J145" i="7"/>
  <c r="K145" i="7"/>
  <c r="L145" i="7"/>
  <c r="M145" i="7"/>
  <c r="N145" i="7"/>
  <c r="O145" i="7"/>
  <c r="P145" i="7"/>
  <c r="Q145" i="7"/>
  <c r="S145" i="7"/>
  <c r="G142" i="7"/>
  <c r="H142" i="7"/>
  <c r="I142" i="7"/>
  <c r="J142" i="7"/>
  <c r="K142" i="7"/>
  <c r="L142" i="7"/>
  <c r="M142" i="7"/>
  <c r="N142" i="7"/>
  <c r="O142" i="7"/>
  <c r="P142" i="7"/>
  <c r="Q142" i="7"/>
  <c r="S142" i="7"/>
  <c r="G139" i="7"/>
  <c r="H139" i="7"/>
  <c r="I139" i="7"/>
  <c r="J139" i="7"/>
  <c r="K139" i="7"/>
  <c r="L139" i="7"/>
  <c r="M139" i="7"/>
  <c r="N139" i="7"/>
  <c r="O139" i="7"/>
  <c r="P139" i="7"/>
  <c r="Q139" i="7"/>
  <c r="S139" i="7"/>
  <c r="G136" i="7"/>
  <c r="H136" i="7"/>
  <c r="I136" i="7"/>
  <c r="J136" i="7"/>
  <c r="K136" i="7"/>
  <c r="L136" i="7"/>
  <c r="M136" i="7"/>
  <c r="N136" i="7"/>
  <c r="O136" i="7"/>
  <c r="P136" i="7"/>
  <c r="Q136" i="7"/>
  <c r="S136" i="7"/>
  <c r="G133" i="7"/>
  <c r="H133" i="7"/>
  <c r="I133" i="7"/>
  <c r="J133" i="7"/>
  <c r="K133" i="7"/>
  <c r="L133" i="7"/>
  <c r="M133" i="7"/>
  <c r="N133" i="7"/>
  <c r="O133" i="7"/>
  <c r="P133" i="7"/>
  <c r="Q133" i="7"/>
  <c r="S133" i="7"/>
  <c r="G130" i="7"/>
  <c r="H130" i="7"/>
  <c r="I130" i="7"/>
  <c r="J130" i="7"/>
  <c r="K130" i="7"/>
  <c r="L130" i="7"/>
  <c r="M130" i="7"/>
  <c r="N130" i="7"/>
  <c r="O130" i="7"/>
  <c r="P130" i="7"/>
  <c r="Q130" i="7"/>
  <c r="S130" i="7"/>
  <c r="G161" i="7"/>
  <c r="H161" i="7"/>
  <c r="I161" i="7"/>
  <c r="J161" i="7"/>
  <c r="K161" i="7"/>
  <c r="L161" i="7"/>
  <c r="O161" i="7"/>
  <c r="P161" i="7"/>
  <c r="Q161" i="7"/>
  <c r="R161" i="7"/>
  <c r="G158" i="7"/>
  <c r="J158" i="7"/>
  <c r="K158" i="7"/>
  <c r="L158" i="7"/>
  <c r="M158" i="7"/>
  <c r="N158" i="7"/>
  <c r="O158" i="7"/>
  <c r="G155" i="7"/>
  <c r="H155" i="7"/>
  <c r="I155" i="7"/>
  <c r="J155" i="7"/>
  <c r="K155" i="7"/>
  <c r="L155" i="7"/>
  <c r="N155" i="7"/>
  <c r="O153" i="7"/>
  <c r="O155" i="7" s="1"/>
  <c r="P155" i="7"/>
  <c r="Q155" i="7"/>
  <c r="G147" i="7"/>
  <c r="H147" i="7"/>
  <c r="I147" i="7"/>
  <c r="I149" i="7" s="1"/>
  <c r="J147" i="7"/>
  <c r="J149" i="7" s="1"/>
  <c r="K147" i="7"/>
  <c r="L147" i="7"/>
  <c r="M147" i="7"/>
  <c r="N147" i="7"/>
  <c r="N149" i="7" s="1"/>
  <c r="O147" i="7"/>
  <c r="P147" i="7"/>
  <c r="Q147" i="7"/>
  <c r="Q149" i="7" s="1"/>
  <c r="S147" i="7"/>
  <c r="G144" i="7"/>
  <c r="H144" i="7"/>
  <c r="I144" i="7"/>
  <c r="J144" i="7"/>
  <c r="K144" i="7"/>
  <c r="L144" i="7"/>
  <c r="L146" i="7" s="1"/>
  <c r="M144" i="7"/>
  <c r="M146" i="7" s="1"/>
  <c r="N144" i="7"/>
  <c r="O144" i="7"/>
  <c r="P144" i="7"/>
  <c r="Q144" i="7"/>
  <c r="S144" i="7"/>
  <c r="G141" i="7"/>
  <c r="G143" i="7" s="1"/>
  <c r="H141" i="7"/>
  <c r="I141" i="7"/>
  <c r="J141" i="7"/>
  <c r="J143" i="7" s="1"/>
  <c r="K141" i="7"/>
  <c r="K143" i="7" s="1"/>
  <c r="L141" i="7"/>
  <c r="M141" i="7"/>
  <c r="N141" i="7"/>
  <c r="N143" i="7" s="1"/>
  <c r="O141" i="7"/>
  <c r="O143" i="7" s="1"/>
  <c r="P141" i="7"/>
  <c r="Q141" i="7"/>
  <c r="S141" i="7"/>
  <c r="G138" i="7"/>
  <c r="H138" i="7"/>
  <c r="I138" i="7"/>
  <c r="J138" i="7"/>
  <c r="K138" i="7"/>
  <c r="L138" i="7"/>
  <c r="L140" i="7" s="1"/>
  <c r="M138" i="7"/>
  <c r="M140" i="7" s="1"/>
  <c r="N138" i="7"/>
  <c r="O138" i="7"/>
  <c r="P138" i="7"/>
  <c r="Q138" i="7"/>
  <c r="S138" i="7"/>
  <c r="G135" i="7"/>
  <c r="G137" i="7" s="1"/>
  <c r="H135" i="7"/>
  <c r="I135" i="7"/>
  <c r="J135" i="7"/>
  <c r="J137" i="7" s="1"/>
  <c r="K135" i="7"/>
  <c r="K137" i="7" s="1"/>
  <c r="L135" i="7"/>
  <c r="M135" i="7"/>
  <c r="N135" i="7"/>
  <c r="N137" i="7" s="1"/>
  <c r="O135" i="7"/>
  <c r="O137" i="7" s="1"/>
  <c r="P135" i="7"/>
  <c r="Q135" i="7"/>
  <c r="S135" i="7"/>
  <c r="G132" i="7"/>
  <c r="H132" i="7"/>
  <c r="I132" i="7"/>
  <c r="J132" i="7"/>
  <c r="K132" i="7"/>
  <c r="L132" i="7"/>
  <c r="L134" i="7" s="1"/>
  <c r="M132" i="7"/>
  <c r="M134" i="7" s="1"/>
  <c r="N132" i="7"/>
  <c r="O132" i="7"/>
  <c r="P132" i="7"/>
  <c r="Q132" i="7"/>
  <c r="S132" i="7"/>
  <c r="G129" i="7"/>
  <c r="G131" i="7" s="1"/>
  <c r="H129" i="7"/>
  <c r="I129" i="7"/>
  <c r="J129" i="7"/>
  <c r="J131" i="7" s="1"/>
  <c r="K129" i="7"/>
  <c r="K131" i="7" s="1"/>
  <c r="L129" i="7"/>
  <c r="M129" i="7"/>
  <c r="N129" i="7"/>
  <c r="N131" i="7" s="1"/>
  <c r="O129" i="7"/>
  <c r="O131" i="7" s="1"/>
  <c r="P129" i="7"/>
  <c r="Q129" i="7"/>
  <c r="S129" i="7"/>
  <c r="S145" i="1"/>
  <c r="F160" i="1"/>
  <c r="G160" i="1"/>
  <c r="H160" i="1"/>
  <c r="I160" i="1"/>
  <c r="J160" i="1"/>
  <c r="K160" i="1"/>
  <c r="L160" i="1"/>
  <c r="M160" i="1"/>
  <c r="N160" i="1"/>
  <c r="O160" i="1"/>
  <c r="P160" i="1"/>
  <c r="Q160" i="1"/>
  <c r="R160" i="1"/>
  <c r="S160" i="1"/>
  <c r="F157" i="1"/>
  <c r="G157" i="1"/>
  <c r="H157" i="1"/>
  <c r="I157" i="1"/>
  <c r="J157" i="1"/>
  <c r="K157" i="1"/>
  <c r="L157" i="1"/>
  <c r="M157" i="1"/>
  <c r="N157" i="1"/>
  <c r="O157" i="1"/>
  <c r="P157" i="1"/>
  <c r="Q157" i="1"/>
  <c r="R157" i="1"/>
  <c r="S157" i="1"/>
  <c r="F154" i="1"/>
  <c r="G154" i="1"/>
  <c r="H154" i="1"/>
  <c r="I154" i="1"/>
  <c r="J154" i="1"/>
  <c r="K154" i="1"/>
  <c r="L154" i="1"/>
  <c r="M154" i="1"/>
  <c r="N154" i="1"/>
  <c r="O154" i="1"/>
  <c r="P154" i="1"/>
  <c r="Q154" i="1"/>
  <c r="R154" i="1"/>
  <c r="S154" i="1"/>
  <c r="F151" i="1"/>
  <c r="G151" i="1"/>
  <c r="H151" i="1"/>
  <c r="I151" i="1"/>
  <c r="J151" i="1"/>
  <c r="K151" i="1"/>
  <c r="L151" i="1"/>
  <c r="M151" i="1"/>
  <c r="N151" i="1"/>
  <c r="O151" i="1"/>
  <c r="P151" i="1"/>
  <c r="Q151" i="1"/>
  <c r="R151" i="1"/>
  <c r="S151" i="1"/>
  <c r="F148" i="1"/>
  <c r="G148" i="1"/>
  <c r="H148" i="1"/>
  <c r="I148" i="1"/>
  <c r="J148" i="1"/>
  <c r="K148" i="1"/>
  <c r="L148" i="1"/>
  <c r="M148" i="1"/>
  <c r="N148" i="1"/>
  <c r="O148" i="1"/>
  <c r="P148" i="1"/>
  <c r="Q148" i="1"/>
  <c r="R148" i="1"/>
  <c r="S148" i="1"/>
  <c r="F145" i="1"/>
  <c r="G145" i="1"/>
  <c r="H145" i="1"/>
  <c r="I145" i="1"/>
  <c r="J145" i="1"/>
  <c r="K145" i="1"/>
  <c r="L145" i="1"/>
  <c r="M145" i="1"/>
  <c r="N145" i="1"/>
  <c r="O145" i="1"/>
  <c r="P145" i="1"/>
  <c r="Q145" i="1"/>
  <c r="R145" i="1"/>
  <c r="F142" i="1"/>
  <c r="G142" i="1"/>
  <c r="H142" i="1"/>
  <c r="I142" i="1"/>
  <c r="J142" i="1"/>
  <c r="K142" i="1"/>
  <c r="L142" i="1"/>
  <c r="M142" i="1"/>
  <c r="N142" i="1"/>
  <c r="O142" i="1"/>
  <c r="P142" i="1"/>
  <c r="Q142" i="1"/>
  <c r="R142" i="1"/>
  <c r="S142" i="1"/>
  <c r="F159" i="1"/>
  <c r="G159" i="1"/>
  <c r="G161" i="1" s="1"/>
  <c r="H159" i="1"/>
  <c r="I159" i="1"/>
  <c r="J159" i="1"/>
  <c r="K159" i="1"/>
  <c r="K161" i="1" s="1"/>
  <c r="L159" i="1"/>
  <c r="M159" i="1"/>
  <c r="N159" i="1"/>
  <c r="O159" i="1"/>
  <c r="O161" i="1" s="1"/>
  <c r="P159" i="1"/>
  <c r="Q159" i="1"/>
  <c r="S159" i="1"/>
  <c r="F156" i="1"/>
  <c r="F158" i="1" s="1"/>
  <c r="G156" i="1"/>
  <c r="H156" i="1"/>
  <c r="I156" i="1"/>
  <c r="I158" i="1" s="1"/>
  <c r="J156" i="1"/>
  <c r="J158" i="1" s="1"/>
  <c r="K156" i="1"/>
  <c r="L156" i="1"/>
  <c r="M156" i="1"/>
  <c r="M158" i="1" s="1"/>
  <c r="N156" i="1"/>
  <c r="N158" i="1" s="1"/>
  <c r="O156" i="1"/>
  <c r="P156" i="1"/>
  <c r="Q156" i="1"/>
  <c r="Q158" i="1" s="1"/>
  <c r="S156" i="1"/>
  <c r="F153" i="1"/>
  <c r="G153" i="1"/>
  <c r="H153" i="1"/>
  <c r="I153" i="1"/>
  <c r="J153" i="1"/>
  <c r="K153" i="1"/>
  <c r="L153" i="1"/>
  <c r="M153" i="1"/>
  <c r="N153" i="1"/>
  <c r="O153" i="1"/>
  <c r="P153" i="1"/>
  <c r="Q153" i="1"/>
  <c r="R153" i="1"/>
  <c r="S153" i="1"/>
  <c r="F150" i="1"/>
  <c r="G150" i="1"/>
  <c r="H150" i="1"/>
  <c r="I150" i="1"/>
  <c r="J150" i="1"/>
  <c r="K150" i="1"/>
  <c r="L150" i="1"/>
  <c r="M150" i="1"/>
  <c r="N150" i="1"/>
  <c r="O150" i="1"/>
  <c r="P150" i="1"/>
  <c r="Q150" i="1"/>
  <c r="S150" i="1"/>
  <c r="F147" i="1"/>
  <c r="G147" i="1"/>
  <c r="H147" i="1"/>
  <c r="I147" i="1"/>
  <c r="J147" i="1"/>
  <c r="J149" i="1" s="1"/>
  <c r="K147" i="1"/>
  <c r="K149" i="1" s="1"/>
  <c r="L147" i="1"/>
  <c r="M147" i="1"/>
  <c r="N147" i="1"/>
  <c r="N149" i="1" s="1"/>
  <c r="O147" i="1"/>
  <c r="O149" i="1" s="1"/>
  <c r="P147" i="1"/>
  <c r="Q147" i="1"/>
  <c r="S147" i="1"/>
  <c r="F144" i="1"/>
  <c r="G144" i="1"/>
  <c r="H144" i="1"/>
  <c r="I144" i="1"/>
  <c r="I146" i="1" s="1"/>
  <c r="J144" i="1"/>
  <c r="K144" i="1"/>
  <c r="L144" i="1"/>
  <c r="M144" i="1"/>
  <c r="M146" i="1" s="1"/>
  <c r="N144" i="1"/>
  <c r="O144" i="1"/>
  <c r="P144" i="1"/>
  <c r="Q144" i="1"/>
  <c r="Q146" i="1" s="1"/>
  <c r="S144" i="1"/>
  <c r="F141" i="1"/>
  <c r="G141" i="1"/>
  <c r="H141" i="1"/>
  <c r="H143" i="1" s="1"/>
  <c r="I141" i="1"/>
  <c r="J141" i="1"/>
  <c r="K141" i="1"/>
  <c r="L141" i="1"/>
  <c r="L143" i="1" s="1"/>
  <c r="M141" i="1"/>
  <c r="N141" i="1"/>
  <c r="O141" i="1"/>
  <c r="P141" i="1"/>
  <c r="P143" i="1" s="1"/>
  <c r="Q141" i="1"/>
  <c r="R141" i="1"/>
  <c r="S141" i="1"/>
  <c r="F139" i="1"/>
  <c r="G139" i="1"/>
  <c r="H139" i="1"/>
  <c r="I139" i="1"/>
  <c r="J139" i="1"/>
  <c r="K139" i="1"/>
  <c r="L139" i="1"/>
  <c r="M139" i="1"/>
  <c r="N139" i="1"/>
  <c r="O139" i="1"/>
  <c r="P139" i="1"/>
  <c r="Q139" i="1"/>
  <c r="R139" i="1"/>
  <c r="S139" i="1"/>
  <c r="F136" i="1"/>
  <c r="G136" i="1"/>
  <c r="H136" i="1"/>
  <c r="I136" i="1"/>
  <c r="J136" i="1"/>
  <c r="K136" i="1"/>
  <c r="L136" i="1"/>
  <c r="M136" i="1"/>
  <c r="N136" i="1"/>
  <c r="O136" i="1"/>
  <c r="P136" i="1"/>
  <c r="Q136" i="1"/>
  <c r="R136" i="1"/>
  <c r="S136" i="1"/>
  <c r="F138" i="1"/>
  <c r="F140" i="1" s="1"/>
  <c r="G138" i="1"/>
  <c r="G140" i="1" s="1"/>
  <c r="H138" i="1"/>
  <c r="I138" i="1"/>
  <c r="I140" i="1" s="1"/>
  <c r="J138" i="1"/>
  <c r="K138" i="1"/>
  <c r="K140" i="1" s="1"/>
  <c r="L138" i="1"/>
  <c r="M138" i="1"/>
  <c r="N138" i="1"/>
  <c r="O138" i="1"/>
  <c r="O140" i="1" s="1"/>
  <c r="P138" i="1"/>
  <c r="Q138" i="1"/>
  <c r="Q140" i="1" s="1"/>
  <c r="S138" i="1"/>
  <c r="F135" i="1"/>
  <c r="G135" i="1"/>
  <c r="H135" i="1"/>
  <c r="I135" i="1"/>
  <c r="J135" i="1"/>
  <c r="K135" i="1"/>
  <c r="L135" i="1"/>
  <c r="M135" i="1"/>
  <c r="N135" i="1"/>
  <c r="O135" i="1"/>
  <c r="P135" i="1"/>
  <c r="Q135" i="1"/>
  <c r="S135" i="1"/>
  <c r="R135" i="1"/>
  <c r="R137" i="1" s="1"/>
  <c r="R138" i="1"/>
  <c r="R144" i="1"/>
  <c r="R147" i="1"/>
  <c r="R149" i="1" s="1"/>
  <c r="R150" i="1"/>
  <c r="R156" i="1"/>
  <c r="R159" i="1"/>
  <c r="R161" i="1" s="1"/>
  <c r="P9" i="74"/>
  <c r="P12" i="74"/>
  <c r="P15" i="74"/>
  <c r="P18" i="74"/>
  <c r="P21" i="74"/>
  <c r="P24" i="74"/>
  <c r="P27" i="74"/>
  <c r="P30" i="74"/>
  <c r="P33" i="74"/>
  <c r="P36" i="74"/>
  <c r="P39" i="74"/>
  <c r="P42" i="74"/>
  <c r="P45" i="74"/>
  <c r="P48" i="74"/>
  <c r="P51" i="74"/>
  <c r="P54" i="74"/>
  <c r="P57" i="74"/>
  <c r="P60" i="74"/>
  <c r="P63" i="74"/>
  <c r="P66" i="74"/>
  <c r="P69" i="74"/>
  <c r="P72" i="74"/>
  <c r="P75" i="74"/>
  <c r="P78" i="74"/>
  <c r="P81" i="74"/>
  <c r="P84" i="74"/>
  <c r="P87" i="74"/>
  <c r="P90" i="74"/>
  <c r="P93" i="74"/>
  <c r="P6" i="74"/>
  <c r="P5" i="25"/>
  <c r="P8" i="25"/>
  <c r="P11" i="25"/>
  <c r="P14" i="25"/>
  <c r="P17" i="25"/>
  <c r="P20" i="25"/>
  <c r="P23" i="25"/>
  <c r="P26" i="25"/>
  <c r="P29" i="25"/>
  <c r="P32" i="25"/>
  <c r="P35" i="25"/>
  <c r="P38" i="25"/>
  <c r="P41" i="25"/>
  <c r="P44" i="25"/>
  <c r="P47" i="25"/>
  <c r="P50" i="25"/>
  <c r="P53" i="25"/>
  <c r="P56" i="25"/>
  <c r="P59" i="25"/>
  <c r="P62" i="25"/>
  <c r="P65" i="25"/>
  <c r="P68" i="25"/>
  <c r="P71" i="25"/>
  <c r="P74" i="25"/>
  <c r="P77" i="25"/>
  <c r="P80" i="25"/>
  <c r="P83" i="25"/>
  <c r="P86" i="25"/>
  <c r="P134" i="7" l="1"/>
  <c r="H134" i="7"/>
  <c r="P140" i="7"/>
  <c r="H140" i="7"/>
  <c r="P146" i="7"/>
  <c r="H146" i="7"/>
  <c r="Q137" i="1"/>
  <c r="Q149" i="1"/>
  <c r="I149" i="1"/>
  <c r="R152" i="1"/>
  <c r="O137" i="1"/>
  <c r="G137" i="1"/>
  <c r="N143" i="1"/>
  <c r="F143" i="1"/>
  <c r="M152" i="1"/>
  <c r="K155" i="1"/>
  <c r="M137" i="1"/>
  <c r="M149" i="1"/>
  <c r="K137" i="1"/>
  <c r="R143" i="1"/>
  <c r="J143" i="1"/>
  <c r="L149" i="1"/>
  <c r="Q152" i="1"/>
  <c r="I152" i="1"/>
  <c r="O155" i="1"/>
  <c r="G155" i="1"/>
  <c r="I137" i="1"/>
  <c r="M140" i="1"/>
  <c r="I170" i="15"/>
  <c r="P149" i="1"/>
  <c r="H149" i="1"/>
  <c r="N161" i="15"/>
  <c r="F161" i="15"/>
  <c r="L164" i="15"/>
  <c r="R167" i="15"/>
  <c r="J167" i="15"/>
  <c r="P170" i="15"/>
  <c r="H170" i="15"/>
  <c r="I12" i="49"/>
  <c r="R30" i="25" s="1"/>
  <c r="Q134" i="7"/>
  <c r="I134" i="7"/>
  <c r="Q140" i="7"/>
  <c r="I140" i="7"/>
  <c r="Q146" i="7"/>
  <c r="I146" i="7"/>
  <c r="M149" i="7"/>
  <c r="H4" i="81"/>
  <c r="R8" i="78" s="1"/>
  <c r="R146" i="1"/>
  <c r="H6" i="81"/>
  <c r="R14" i="78" s="1"/>
  <c r="N167" i="15"/>
  <c r="F167" i="15"/>
  <c r="L170" i="15"/>
  <c r="Q161" i="15"/>
  <c r="H10" i="81"/>
  <c r="R26" i="78" s="1"/>
  <c r="H14" i="81"/>
  <c r="R38" i="78" s="1"/>
  <c r="H18" i="81"/>
  <c r="R50" i="78" s="1"/>
  <c r="H22" i="81"/>
  <c r="R62" i="78" s="1"/>
  <c r="H26" i="81"/>
  <c r="R74" i="78" s="1"/>
  <c r="H30" i="81"/>
  <c r="R86" i="78" s="1"/>
  <c r="H34" i="81"/>
  <c r="R98" i="78" s="1"/>
  <c r="H38" i="81"/>
  <c r="R110" i="78" s="1"/>
  <c r="H5" i="81"/>
  <c r="R11" i="78" s="1"/>
  <c r="H9" i="81"/>
  <c r="R23" i="78" s="1"/>
  <c r="H13" i="81"/>
  <c r="R35" i="78" s="1"/>
  <c r="H17" i="81"/>
  <c r="R47" i="78" s="1"/>
  <c r="H21" i="81"/>
  <c r="R59" i="78" s="1"/>
  <c r="H25" i="81"/>
  <c r="R71" i="78" s="1"/>
  <c r="H29" i="81"/>
  <c r="R83" i="78" s="1"/>
  <c r="H33" i="81"/>
  <c r="R95" i="78" s="1"/>
  <c r="H37" i="81"/>
  <c r="R107" i="78" s="1"/>
  <c r="H8" i="81"/>
  <c r="R20" i="78" s="1"/>
  <c r="H12" i="81"/>
  <c r="R32" i="78" s="1"/>
  <c r="H16" i="81"/>
  <c r="R44" i="78" s="1"/>
  <c r="H20" i="81"/>
  <c r="R56" i="78" s="1"/>
  <c r="H24" i="81"/>
  <c r="R68" i="78" s="1"/>
  <c r="H28" i="81"/>
  <c r="R80" i="78" s="1"/>
  <c r="H32" i="81"/>
  <c r="R92" i="78" s="1"/>
  <c r="H36" i="81"/>
  <c r="R104" i="78" s="1"/>
  <c r="H7" i="81"/>
  <c r="R17" i="78" s="1"/>
  <c r="H11" i="81"/>
  <c r="R29" i="78" s="1"/>
  <c r="H15" i="81"/>
  <c r="R41" i="78" s="1"/>
  <c r="H19" i="81"/>
  <c r="R53" i="78" s="1"/>
  <c r="H23" i="81"/>
  <c r="R65" i="78" s="1"/>
  <c r="H27" i="81"/>
  <c r="R77" i="78" s="1"/>
  <c r="H31" i="81"/>
  <c r="R89" i="78" s="1"/>
  <c r="H35" i="81"/>
  <c r="R101" i="78" s="1"/>
  <c r="H8" i="77"/>
  <c r="R20" i="74" s="1"/>
  <c r="H46" i="77"/>
  <c r="R134" i="74" s="1"/>
  <c r="H33" i="77"/>
  <c r="R95" i="74" s="1"/>
  <c r="H24" i="77"/>
  <c r="R68" i="74" s="1"/>
  <c r="H4" i="77"/>
  <c r="R8" i="74" s="1"/>
  <c r="H17" i="77"/>
  <c r="R47" i="74" s="1"/>
  <c r="H41" i="77"/>
  <c r="R119" i="74" s="1"/>
  <c r="H25" i="77"/>
  <c r="R71" i="74" s="1"/>
  <c r="H9" i="77"/>
  <c r="R23" i="74" s="1"/>
  <c r="H38" i="77"/>
  <c r="R110" i="74" s="1"/>
  <c r="H12" i="77"/>
  <c r="R32" i="74" s="1"/>
  <c r="H16" i="77"/>
  <c r="R44" i="74" s="1"/>
  <c r="H45" i="77"/>
  <c r="R131" i="74" s="1"/>
  <c r="H37" i="77"/>
  <c r="R107" i="74" s="1"/>
  <c r="H29" i="77"/>
  <c r="R83" i="74" s="1"/>
  <c r="H21" i="77"/>
  <c r="R59" i="74" s="1"/>
  <c r="H13" i="77"/>
  <c r="R35" i="74" s="1"/>
  <c r="H5" i="77"/>
  <c r="R11" i="74" s="1"/>
  <c r="H42" i="77"/>
  <c r="R122" i="74" s="1"/>
  <c r="H32" i="77"/>
  <c r="R92" i="74" s="1"/>
  <c r="H47" i="77"/>
  <c r="R137" i="74" s="1"/>
  <c r="H43" i="77"/>
  <c r="R125" i="74" s="1"/>
  <c r="H39" i="77"/>
  <c r="R113" i="74" s="1"/>
  <c r="H35" i="77"/>
  <c r="R101" i="74" s="1"/>
  <c r="H31" i="77"/>
  <c r="R89" i="74" s="1"/>
  <c r="H27" i="77"/>
  <c r="R77" i="74" s="1"/>
  <c r="H23" i="77"/>
  <c r="R65" i="74" s="1"/>
  <c r="H19" i="77"/>
  <c r="R53" i="74" s="1"/>
  <c r="H15" i="77"/>
  <c r="R41" i="74" s="1"/>
  <c r="H11" i="77"/>
  <c r="R29" i="74" s="1"/>
  <c r="H7" i="77"/>
  <c r="R17" i="74" s="1"/>
  <c r="H48" i="77"/>
  <c r="R140" i="74" s="1"/>
  <c r="H44" i="77"/>
  <c r="R128" i="74" s="1"/>
  <c r="H40" i="77"/>
  <c r="R116" i="74" s="1"/>
  <c r="H36" i="77"/>
  <c r="R104" i="74" s="1"/>
  <c r="H28" i="77"/>
  <c r="R80" i="74" s="1"/>
  <c r="H20" i="77"/>
  <c r="R56" i="74" s="1"/>
  <c r="H6" i="77"/>
  <c r="R14" i="74" s="1"/>
  <c r="I20" i="49"/>
  <c r="R54" i="25" s="1"/>
  <c r="I28" i="49"/>
  <c r="R78" i="25" s="1"/>
  <c r="I6" i="49"/>
  <c r="R12" i="25" s="1"/>
  <c r="I18" i="49"/>
  <c r="R48" i="25" s="1"/>
  <c r="I26" i="49"/>
  <c r="R72" i="25" s="1"/>
  <c r="I16" i="49"/>
  <c r="R42" i="25" s="1"/>
  <c r="I24" i="49"/>
  <c r="R66" i="25" s="1"/>
  <c r="I14" i="49"/>
  <c r="R36" i="25" s="1"/>
  <c r="I22" i="49"/>
  <c r="R60" i="25" s="1"/>
  <c r="I30" i="49"/>
  <c r="R84" i="25" s="1"/>
  <c r="I31" i="49"/>
  <c r="R87" i="25" s="1"/>
  <c r="I27" i="49"/>
  <c r="R75" i="25" s="1"/>
  <c r="I23" i="49"/>
  <c r="R63" i="25" s="1"/>
  <c r="I19" i="49"/>
  <c r="R51" i="25" s="1"/>
  <c r="I15" i="49"/>
  <c r="R39" i="25" s="1"/>
  <c r="I11" i="49"/>
  <c r="R27" i="25" s="1"/>
  <c r="I7" i="49"/>
  <c r="R15" i="25" s="1"/>
  <c r="I4" i="49"/>
  <c r="R6" i="25" s="1"/>
  <c r="I8" i="49"/>
  <c r="R18" i="25" s="1"/>
  <c r="H34" i="77"/>
  <c r="R98" i="74" s="1"/>
  <c r="H30" i="77"/>
  <c r="R86" i="74" s="1"/>
  <c r="H26" i="77"/>
  <c r="R74" i="74" s="1"/>
  <c r="H22" i="77"/>
  <c r="R62" i="74" s="1"/>
  <c r="H18" i="77"/>
  <c r="R50" i="74" s="1"/>
  <c r="H14" i="77"/>
  <c r="R38" i="74" s="1"/>
  <c r="H10" i="77"/>
  <c r="R26" i="74" s="1"/>
  <c r="I29" i="49"/>
  <c r="R81" i="25" s="1"/>
  <c r="I25" i="49"/>
  <c r="R69" i="25" s="1"/>
  <c r="I21" i="49"/>
  <c r="R57" i="25" s="1"/>
  <c r="I17" i="49"/>
  <c r="R45" i="25" s="1"/>
  <c r="I13" i="49"/>
  <c r="R33" i="25" s="1"/>
  <c r="I9" i="49"/>
  <c r="R21" i="25" s="1"/>
  <c r="I5" i="49"/>
  <c r="R9" i="25" s="1"/>
  <c r="I10" i="49"/>
  <c r="R24" i="25" s="1"/>
  <c r="I6" i="90"/>
  <c r="R12" i="87" s="1"/>
  <c r="I8" i="90"/>
  <c r="R18" i="87" s="1"/>
  <c r="I10" i="90"/>
  <c r="R24" i="87" s="1"/>
  <c r="I12" i="90"/>
  <c r="R30" i="87" s="1"/>
  <c r="I14" i="90"/>
  <c r="R36" i="87" s="1"/>
  <c r="I16" i="90"/>
  <c r="R42" i="87" s="1"/>
  <c r="I18" i="90"/>
  <c r="R48" i="87" s="1"/>
  <c r="I20" i="90"/>
  <c r="R54" i="87" s="1"/>
  <c r="I22" i="90"/>
  <c r="R60" i="87" s="1"/>
  <c r="I24" i="90"/>
  <c r="R66" i="87" s="1"/>
  <c r="I26" i="90"/>
  <c r="R72" i="87" s="1"/>
  <c r="I28" i="90"/>
  <c r="R78" i="87" s="1"/>
  <c r="I30" i="90"/>
  <c r="R84" i="87" s="1"/>
  <c r="I32" i="90"/>
  <c r="R90" i="87" s="1"/>
  <c r="I4" i="90"/>
  <c r="R6" i="87" s="1"/>
  <c r="I5" i="90"/>
  <c r="R9" i="87" s="1"/>
  <c r="I7" i="90"/>
  <c r="R15" i="87" s="1"/>
  <c r="I9" i="90"/>
  <c r="R21" i="87" s="1"/>
  <c r="I11" i="90"/>
  <c r="R27" i="87" s="1"/>
  <c r="I13" i="90"/>
  <c r="R33" i="87" s="1"/>
  <c r="I15" i="90"/>
  <c r="R39" i="87" s="1"/>
  <c r="I17" i="90"/>
  <c r="R45" i="87" s="1"/>
  <c r="I19" i="90"/>
  <c r="R51" i="87" s="1"/>
  <c r="I21" i="90"/>
  <c r="R57" i="87" s="1"/>
  <c r="I23" i="90"/>
  <c r="R63" i="87" s="1"/>
  <c r="I25" i="90"/>
  <c r="R69" i="87" s="1"/>
  <c r="I27" i="90"/>
  <c r="R75" i="87" s="1"/>
  <c r="I29" i="90"/>
  <c r="R81" i="87" s="1"/>
  <c r="I31" i="90"/>
  <c r="R87" i="87" s="1"/>
  <c r="I33" i="90"/>
  <c r="R93" i="87" s="1"/>
  <c r="H6" i="85"/>
  <c r="R14" i="82" s="1"/>
  <c r="H8" i="85"/>
  <c r="R20" i="82" s="1"/>
  <c r="H10" i="85"/>
  <c r="R26" i="82" s="1"/>
  <c r="H12" i="85"/>
  <c r="R32" i="82" s="1"/>
  <c r="H14" i="85"/>
  <c r="R38" i="82" s="1"/>
  <c r="H16" i="85"/>
  <c r="R44" i="82" s="1"/>
  <c r="H18" i="85"/>
  <c r="R50" i="82" s="1"/>
  <c r="H20" i="85"/>
  <c r="R56" i="82" s="1"/>
  <c r="H22" i="85"/>
  <c r="R62" i="82" s="1"/>
  <c r="H24" i="85"/>
  <c r="R68" i="82" s="1"/>
  <c r="H26" i="85"/>
  <c r="R74" i="82" s="1"/>
  <c r="H28" i="85"/>
  <c r="R80" i="82" s="1"/>
  <c r="H30" i="85"/>
  <c r="R86" i="82" s="1"/>
  <c r="H32" i="85"/>
  <c r="R92" i="82" s="1"/>
  <c r="H4" i="85"/>
  <c r="R8" i="82" s="1"/>
  <c r="H5" i="85"/>
  <c r="R11" i="82" s="1"/>
  <c r="H7" i="85"/>
  <c r="R17" i="82" s="1"/>
  <c r="H9" i="85"/>
  <c r="R23" i="82" s="1"/>
  <c r="H11" i="85"/>
  <c r="R29" i="82" s="1"/>
  <c r="H13" i="85"/>
  <c r="R35" i="82" s="1"/>
  <c r="H15" i="85"/>
  <c r="R41" i="82" s="1"/>
  <c r="H17" i="85"/>
  <c r="R47" i="82" s="1"/>
  <c r="H19" i="85"/>
  <c r="R53" i="82" s="1"/>
  <c r="H21" i="85"/>
  <c r="R59" i="82" s="1"/>
  <c r="H23" i="85"/>
  <c r="R65" i="82" s="1"/>
  <c r="H25" i="85"/>
  <c r="R71" i="82" s="1"/>
  <c r="H27" i="85"/>
  <c r="R77" i="82" s="1"/>
  <c r="H29" i="85"/>
  <c r="R83" i="82" s="1"/>
  <c r="H31" i="85"/>
  <c r="R89" i="82" s="1"/>
  <c r="H33" i="85"/>
  <c r="R95" i="82" s="1"/>
  <c r="R158" i="1"/>
  <c r="R140" i="1"/>
  <c r="P137" i="1"/>
  <c r="N137" i="1"/>
  <c r="L137" i="1"/>
  <c r="J137" i="1"/>
  <c r="H137" i="1"/>
  <c r="F137" i="1"/>
  <c r="Q143" i="1"/>
  <c r="O143" i="1"/>
  <c r="M143" i="1"/>
  <c r="K143" i="1"/>
  <c r="I143" i="1"/>
  <c r="G143" i="1"/>
  <c r="N146" i="1"/>
  <c r="J146" i="1"/>
  <c r="F146" i="1"/>
  <c r="N152" i="1"/>
  <c r="J152" i="1"/>
  <c r="F152" i="1"/>
  <c r="R155" i="1"/>
  <c r="P155" i="1"/>
  <c r="L155" i="1"/>
  <c r="H155" i="1"/>
  <c r="P161" i="1"/>
  <c r="L161" i="1"/>
  <c r="H161" i="1"/>
  <c r="Q75" i="74"/>
  <c r="Q39" i="74"/>
  <c r="Q63" i="74"/>
  <c r="Q27" i="74"/>
  <c r="Q84" i="74"/>
  <c r="Q60" i="74"/>
  <c r="Q36" i="74"/>
  <c r="Q12" i="74"/>
  <c r="P146" i="1"/>
  <c r="H146" i="1"/>
  <c r="L152" i="1"/>
  <c r="H152" i="1"/>
  <c r="N155" i="1"/>
  <c r="F155" i="1"/>
  <c r="L158" i="1"/>
  <c r="J161" i="1"/>
  <c r="Q93" i="74"/>
  <c r="Q81" i="74"/>
  <c r="Q69" i="74"/>
  <c r="Q57" i="74"/>
  <c r="Q45" i="74"/>
  <c r="Q33" i="74"/>
  <c r="Q21" i="74"/>
  <c r="Q9" i="74"/>
  <c r="O146" i="1"/>
  <c r="K146" i="1"/>
  <c r="G146" i="1"/>
  <c r="G149" i="1" s="1"/>
  <c r="O152" i="1"/>
  <c r="K152" i="1"/>
  <c r="G152" i="1"/>
  <c r="Q155" i="1"/>
  <c r="M155" i="1"/>
  <c r="I155" i="1"/>
  <c r="O158" i="1"/>
  <c r="K158" i="1"/>
  <c r="G158" i="1"/>
  <c r="Q161" i="1"/>
  <c r="M161" i="1"/>
  <c r="I161" i="1"/>
  <c r="Q131" i="7"/>
  <c r="M131" i="7"/>
  <c r="I131" i="7"/>
  <c r="O134" i="7"/>
  <c r="K134" i="7"/>
  <c r="G134" i="7"/>
  <c r="Q137" i="7"/>
  <c r="M137" i="7"/>
  <c r="I137" i="7"/>
  <c r="O140" i="7"/>
  <c r="K140" i="7"/>
  <c r="G140" i="7"/>
  <c r="Q143" i="7"/>
  <c r="M143" i="7"/>
  <c r="I143" i="7"/>
  <c r="O146" i="7"/>
  <c r="K146" i="7"/>
  <c r="G146" i="7"/>
  <c r="P149" i="7"/>
  <c r="L149" i="7"/>
  <c r="H149" i="7"/>
  <c r="Q87" i="74"/>
  <c r="Q51" i="74"/>
  <c r="Q15" i="74"/>
  <c r="Q6" i="74"/>
  <c r="Q72" i="74"/>
  <c r="Q48" i="74"/>
  <c r="Q24" i="74"/>
  <c r="L146" i="1"/>
  <c r="P152" i="1"/>
  <c r="J155" i="1"/>
  <c r="P158" i="1"/>
  <c r="H158" i="1"/>
  <c r="N161" i="1"/>
  <c r="F161" i="1"/>
  <c r="Q90" i="74"/>
  <c r="Q78" i="74"/>
  <c r="Q66" i="74"/>
  <c r="Q54" i="74"/>
  <c r="Q42" i="74"/>
  <c r="Q30" i="74"/>
  <c r="Q18" i="74"/>
  <c r="P131" i="7"/>
  <c r="L131" i="7"/>
  <c r="H131" i="7"/>
  <c r="N134" i="7"/>
  <c r="J134" i="7"/>
  <c r="P137" i="7"/>
  <c r="L137" i="7"/>
  <c r="H137" i="7"/>
  <c r="N140" i="7"/>
  <c r="J140" i="7"/>
  <c r="P143" i="7"/>
  <c r="L143" i="7"/>
  <c r="H143" i="7"/>
  <c r="N146" i="7"/>
  <c r="J146" i="7"/>
  <c r="O149" i="7"/>
  <c r="K149" i="7"/>
  <c r="G149" i="7"/>
  <c r="M161" i="15"/>
  <c r="I161" i="15"/>
  <c r="O164" i="15"/>
  <c r="K164" i="15"/>
  <c r="G164" i="15"/>
  <c r="Q167" i="15"/>
  <c r="M167" i="15"/>
  <c r="I167" i="15"/>
  <c r="O170" i="15"/>
  <c r="K170" i="15"/>
  <c r="G170" i="15"/>
  <c r="R158" i="15"/>
  <c r="N158" i="15"/>
  <c r="J158" i="15"/>
  <c r="F158" i="15"/>
  <c r="P161" i="15"/>
  <c r="L161" i="15"/>
  <c r="H161" i="15"/>
  <c r="R164" i="15"/>
  <c r="N164" i="15"/>
  <c r="J164" i="15"/>
  <c r="F164" i="15"/>
  <c r="P167" i="15"/>
  <c r="L167" i="15"/>
  <c r="H167" i="15"/>
  <c r="R170" i="15"/>
  <c r="N170" i="15"/>
  <c r="J170" i="15"/>
  <c r="F170" i="15"/>
  <c r="P140" i="1"/>
  <c r="N140" i="1"/>
  <c r="L140" i="1"/>
  <c r="J140" i="1"/>
  <c r="H140" i="1"/>
  <c r="R12" i="74"/>
  <c r="R93" i="74"/>
  <c r="R87" i="74"/>
  <c r="R81" i="74"/>
  <c r="R75" i="74"/>
  <c r="R69" i="74"/>
  <c r="R63" i="74"/>
  <c r="R57" i="74"/>
  <c r="R51" i="74"/>
  <c r="R45" i="74"/>
  <c r="R39" i="74"/>
  <c r="R33" i="74"/>
  <c r="R27" i="74"/>
  <c r="R21" i="74"/>
  <c r="R15" i="74"/>
  <c r="R9" i="74"/>
  <c r="R6" i="74"/>
  <c r="R90" i="74"/>
  <c r="R84" i="74"/>
  <c r="R78" i="74"/>
  <c r="R72" i="74"/>
  <c r="R66" i="74"/>
  <c r="R60" i="74"/>
  <c r="R54" i="74"/>
  <c r="R48" i="74"/>
  <c r="R42" i="74"/>
  <c r="R36" i="74"/>
  <c r="R30" i="74"/>
  <c r="R24" i="74"/>
  <c r="R18" i="74"/>
  <c r="S6" i="15"/>
  <c r="P22" i="25" l="1"/>
  <c r="P24" i="25" s="1"/>
  <c r="P85" i="25"/>
  <c r="P87" i="25" s="1"/>
  <c r="P73" i="25"/>
  <c r="P75" i="25" s="1"/>
  <c r="P61" i="25"/>
  <c r="P63" i="25" s="1"/>
  <c r="P49" i="25"/>
  <c r="P51" i="25" s="1"/>
  <c r="P37" i="25"/>
  <c r="P39" i="25" s="1"/>
  <c r="P25" i="25"/>
  <c r="P27" i="25" s="1"/>
  <c r="P13" i="25"/>
  <c r="P15" i="25" s="1"/>
  <c r="P82" i="25"/>
  <c r="P84" i="25" s="1"/>
  <c r="P58" i="25"/>
  <c r="P60" i="25" s="1"/>
  <c r="P34" i="25"/>
  <c r="P36" i="25" s="1"/>
  <c r="P10" i="25"/>
  <c r="P12" i="25" s="1"/>
  <c r="P70" i="25"/>
  <c r="P72" i="25" s="1"/>
  <c r="P79" i="25"/>
  <c r="P81" i="25" s="1"/>
  <c r="P67" i="25"/>
  <c r="P69" i="25" s="1"/>
  <c r="P55" i="25"/>
  <c r="P57" i="25" s="1"/>
  <c r="P43" i="25"/>
  <c r="P45" i="25" s="1"/>
  <c r="P31" i="25"/>
  <c r="P33" i="25" s="1"/>
  <c r="P19" i="25"/>
  <c r="P21" i="25" s="1"/>
  <c r="P7" i="25"/>
  <c r="P9" i="25" s="1"/>
  <c r="P46" i="25"/>
  <c r="P48" i="25" s="1"/>
  <c r="P76" i="25"/>
  <c r="P78" i="25" s="1"/>
  <c r="P64" i="25"/>
  <c r="P66" i="25" s="1"/>
  <c r="P52" i="25"/>
  <c r="P54" i="25" s="1"/>
  <c r="P40" i="25"/>
  <c r="P42" i="25" s="1"/>
  <c r="P28" i="25"/>
  <c r="P30" i="25" s="1"/>
  <c r="P16" i="25"/>
  <c r="P18" i="25" s="1"/>
  <c r="T94" i="74"/>
  <c r="S94" i="74"/>
  <c r="O95" i="74"/>
  <c r="M95" i="74"/>
  <c r="K95" i="74"/>
  <c r="I95" i="74"/>
  <c r="G95" i="74"/>
  <c r="T93" i="74"/>
  <c r="T95" i="74" s="1"/>
  <c r="S93" i="74"/>
  <c r="S95" i="74" s="1"/>
  <c r="P95" i="74"/>
  <c r="N95" i="74"/>
  <c r="L95" i="74"/>
  <c r="J95" i="74"/>
  <c r="H95" i="74"/>
  <c r="F95" i="74"/>
  <c r="T91" i="74"/>
  <c r="S91" i="74"/>
  <c r="O92" i="74"/>
  <c r="M92" i="74"/>
  <c r="K92" i="74"/>
  <c r="I92" i="74"/>
  <c r="G92" i="74"/>
  <c r="T90" i="74"/>
  <c r="S90" i="74"/>
  <c r="S92" i="74" s="1"/>
  <c r="P92" i="74"/>
  <c r="N92" i="74"/>
  <c r="L92" i="74"/>
  <c r="J92" i="74"/>
  <c r="H92" i="74"/>
  <c r="F92" i="74"/>
  <c r="T88" i="74"/>
  <c r="S88" i="74"/>
  <c r="O89" i="74"/>
  <c r="M89" i="74"/>
  <c r="K89" i="74"/>
  <c r="I89" i="74"/>
  <c r="G89" i="74"/>
  <c r="T87" i="74"/>
  <c r="S87" i="74"/>
  <c r="P89" i="74"/>
  <c r="N89" i="74"/>
  <c r="L89" i="74"/>
  <c r="J89" i="74"/>
  <c r="H89" i="74"/>
  <c r="F89" i="74"/>
  <c r="T85" i="74"/>
  <c r="S85" i="74"/>
  <c r="O86" i="74"/>
  <c r="M86" i="74"/>
  <c r="K86" i="74"/>
  <c r="I86" i="74"/>
  <c r="G86" i="74"/>
  <c r="T84" i="74"/>
  <c r="S84" i="74"/>
  <c r="S86" i="74" s="1"/>
  <c r="P86" i="74"/>
  <c r="N86" i="74"/>
  <c r="L86" i="74"/>
  <c r="J86" i="74"/>
  <c r="H86" i="74"/>
  <c r="F86" i="74"/>
  <c r="T82" i="74"/>
  <c r="S82" i="74"/>
  <c r="O83" i="74"/>
  <c r="M83" i="74"/>
  <c r="K83" i="74"/>
  <c r="I83" i="74"/>
  <c r="G83" i="74"/>
  <c r="T81" i="74"/>
  <c r="T83" i="74" s="1"/>
  <c r="S81" i="74"/>
  <c r="P83" i="74"/>
  <c r="N83" i="74"/>
  <c r="L83" i="74"/>
  <c r="J83" i="74"/>
  <c r="H83" i="74"/>
  <c r="F83" i="74"/>
  <c r="T79" i="74"/>
  <c r="S79" i="74"/>
  <c r="O80" i="74"/>
  <c r="M80" i="74"/>
  <c r="K80" i="74"/>
  <c r="I80" i="74"/>
  <c r="G80" i="74"/>
  <c r="T78" i="74"/>
  <c r="S78" i="74"/>
  <c r="S80" i="74" s="1"/>
  <c r="P80" i="74"/>
  <c r="N80" i="74"/>
  <c r="L80" i="74"/>
  <c r="J80" i="74"/>
  <c r="H80" i="74"/>
  <c r="F80" i="74"/>
  <c r="T76" i="74"/>
  <c r="S76" i="74"/>
  <c r="O77" i="74"/>
  <c r="M77" i="74"/>
  <c r="K77" i="74"/>
  <c r="I77" i="74"/>
  <c r="G77" i="74"/>
  <c r="T75" i="74"/>
  <c r="S75" i="74"/>
  <c r="P77" i="74"/>
  <c r="N77" i="74"/>
  <c r="L77" i="74"/>
  <c r="J77" i="74"/>
  <c r="H77" i="74"/>
  <c r="F77" i="74"/>
  <c r="T73" i="74"/>
  <c r="S73" i="74"/>
  <c r="O74" i="74"/>
  <c r="M74" i="74"/>
  <c r="K74" i="74"/>
  <c r="I74" i="74"/>
  <c r="G74" i="74"/>
  <c r="T72" i="74"/>
  <c r="T74" i="74" s="1"/>
  <c r="S72" i="74"/>
  <c r="P74" i="74"/>
  <c r="N74" i="74"/>
  <c r="L74" i="74"/>
  <c r="J74" i="74"/>
  <c r="H74" i="74"/>
  <c r="F74" i="74"/>
  <c r="T70" i="74"/>
  <c r="S70" i="74"/>
  <c r="O71" i="74"/>
  <c r="M71" i="74"/>
  <c r="K71" i="74"/>
  <c r="I71" i="74"/>
  <c r="G71" i="74"/>
  <c r="T69" i="74"/>
  <c r="T71" i="74" s="1"/>
  <c r="S69" i="74"/>
  <c r="S71" i="74" s="1"/>
  <c r="P71" i="74"/>
  <c r="N71" i="74"/>
  <c r="L71" i="74"/>
  <c r="J71" i="74"/>
  <c r="H71" i="74"/>
  <c r="F71" i="74"/>
  <c r="T67" i="74"/>
  <c r="S67" i="74"/>
  <c r="O68" i="74"/>
  <c r="M68" i="74"/>
  <c r="K68" i="74"/>
  <c r="I68" i="74"/>
  <c r="G68" i="74"/>
  <c r="T66" i="74"/>
  <c r="T68" i="74" s="1"/>
  <c r="S66" i="74"/>
  <c r="S68" i="74" s="1"/>
  <c r="P68" i="74"/>
  <c r="N68" i="74"/>
  <c r="L68" i="74"/>
  <c r="J68" i="74"/>
  <c r="H68" i="74"/>
  <c r="F68" i="74"/>
  <c r="T64" i="74"/>
  <c r="S64" i="74"/>
  <c r="O65" i="74"/>
  <c r="M65" i="74"/>
  <c r="K65" i="74"/>
  <c r="I65" i="74"/>
  <c r="G65" i="74"/>
  <c r="T63" i="74"/>
  <c r="T65" i="74" s="1"/>
  <c r="S63" i="74"/>
  <c r="S65" i="74" s="1"/>
  <c r="P65" i="74"/>
  <c r="N65" i="74"/>
  <c r="L65" i="74"/>
  <c r="J65" i="74"/>
  <c r="H65" i="74"/>
  <c r="F65" i="74"/>
  <c r="T61" i="74"/>
  <c r="S61" i="74"/>
  <c r="O62" i="74"/>
  <c r="M62" i="74"/>
  <c r="K62" i="74"/>
  <c r="I62" i="74"/>
  <c r="G62" i="74"/>
  <c r="T60" i="74"/>
  <c r="S60" i="74"/>
  <c r="S62" i="74" s="1"/>
  <c r="P62" i="74"/>
  <c r="N62" i="74"/>
  <c r="L62" i="74"/>
  <c r="J62" i="74"/>
  <c r="H62" i="74"/>
  <c r="F62" i="74"/>
  <c r="T58" i="74"/>
  <c r="S58" i="74"/>
  <c r="N59" i="74"/>
  <c r="M59" i="74"/>
  <c r="J59" i="74"/>
  <c r="I59" i="74"/>
  <c r="F59" i="74"/>
  <c r="T57" i="74"/>
  <c r="T59" i="74" s="1"/>
  <c r="S57" i="74"/>
  <c r="P59" i="74"/>
  <c r="O59" i="74"/>
  <c r="L59" i="74"/>
  <c r="K59" i="74"/>
  <c r="H59" i="74"/>
  <c r="G59" i="74"/>
  <c r="T55" i="74"/>
  <c r="S55" i="74"/>
  <c r="N56" i="74"/>
  <c r="L56" i="74"/>
  <c r="J56" i="74"/>
  <c r="H56" i="74"/>
  <c r="F56" i="74"/>
  <c r="T54" i="74"/>
  <c r="S54" i="74"/>
  <c r="S56" i="74" s="1"/>
  <c r="Q56" i="74"/>
  <c r="O56" i="74"/>
  <c r="M56" i="74"/>
  <c r="K56" i="74"/>
  <c r="I56" i="74"/>
  <c r="G56" i="74"/>
  <c r="T52" i="74"/>
  <c r="S52" i="74"/>
  <c r="N53" i="74"/>
  <c r="L53" i="74"/>
  <c r="J53" i="74"/>
  <c r="H53" i="74"/>
  <c r="F53" i="74"/>
  <c r="T51" i="74"/>
  <c r="S51" i="74"/>
  <c r="Q53" i="74"/>
  <c r="O53" i="74"/>
  <c r="M53" i="74"/>
  <c r="K53" i="74"/>
  <c r="I53" i="74"/>
  <c r="G53" i="74"/>
  <c r="T49" i="74"/>
  <c r="S49" i="74"/>
  <c r="N50" i="74"/>
  <c r="L50" i="74"/>
  <c r="J50" i="74"/>
  <c r="H50" i="74"/>
  <c r="F50" i="74"/>
  <c r="T48" i="74"/>
  <c r="T50" i="74" s="1"/>
  <c r="S48" i="74"/>
  <c r="Q50" i="74"/>
  <c r="O50" i="74"/>
  <c r="M50" i="74"/>
  <c r="K50" i="74"/>
  <c r="I50" i="74"/>
  <c r="G50" i="74"/>
  <c r="T46" i="74"/>
  <c r="S46" i="74"/>
  <c r="N47" i="74"/>
  <c r="L47" i="74"/>
  <c r="J47" i="74"/>
  <c r="H47" i="74"/>
  <c r="F47" i="74"/>
  <c r="T45" i="74"/>
  <c r="T47" i="74" s="1"/>
  <c r="S45" i="74"/>
  <c r="S47" i="74" s="1"/>
  <c r="Q47" i="74"/>
  <c r="O47" i="74"/>
  <c r="M47" i="74"/>
  <c r="K47" i="74"/>
  <c r="I47" i="74"/>
  <c r="G47" i="74"/>
  <c r="T43" i="74"/>
  <c r="S43" i="74"/>
  <c r="N44" i="74"/>
  <c r="L44" i="74"/>
  <c r="J44" i="74"/>
  <c r="H44" i="74"/>
  <c r="F44" i="74"/>
  <c r="T42" i="74"/>
  <c r="T44" i="74" s="1"/>
  <c r="S42" i="74"/>
  <c r="S44" i="74" s="1"/>
  <c r="Q44" i="74"/>
  <c r="O44" i="74"/>
  <c r="M44" i="74"/>
  <c r="K44" i="74"/>
  <c r="I44" i="74"/>
  <c r="G44" i="74"/>
  <c r="T40" i="74"/>
  <c r="S40" i="74"/>
  <c r="N41" i="74"/>
  <c r="L41" i="74"/>
  <c r="J41" i="74"/>
  <c r="H41" i="74"/>
  <c r="F41" i="74"/>
  <c r="T39" i="74"/>
  <c r="T41" i="74" s="1"/>
  <c r="S39" i="74"/>
  <c r="S41" i="74" s="1"/>
  <c r="Q41" i="74"/>
  <c r="O41" i="74"/>
  <c r="M41" i="74"/>
  <c r="K41" i="74"/>
  <c r="I41" i="74"/>
  <c r="G41" i="74"/>
  <c r="T37" i="74"/>
  <c r="S37" i="74"/>
  <c r="N38" i="74"/>
  <c r="L38" i="74"/>
  <c r="J38" i="74"/>
  <c r="H38" i="74"/>
  <c r="F38" i="74"/>
  <c r="T36" i="74"/>
  <c r="S36" i="74"/>
  <c r="S38" i="74" s="1"/>
  <c r="Q38" i="74"/>
  <c r="O38" i="74"/>
  <c r="M38" i="74"/>
  <c r="K38" i="74"/>
  <c r="I38" i="74"/>
  <c r="G38" i="74"/>
  <c r="T34" i="74"/>
  <c r="S34" i="74"/>
  <c r="N35" i="74"/>
  <c r="L35" i="74"/>
  <c r="J35" i="74"/>
  <c r="H35" i="74"/>
  <c r="F35" i="74"/>
  <c r="T33" i="74"/>
  <c r="T35" i="74" s="1"/>
  <c r="S33" i="74"/>
  <c r="Q35" i="74"/>
  <c r="O35" i="74"/>
  <c r="M35" i="74"/>
  <c r="K35" i="74"/>
  <c r="I35" i="74"/>
  <c r="G35" i="74"/>
  <c r="T31" i="74"/>
  <c r="S31" i="74"/>
  <c r="N32" i="74"/>
  <c r="L32" i="74"/>
  <c r="J32" i="74"/>
  <c r="H32" i="74"/>
  <c r="F32" i="74"/>
  <c r="T30" i="74"/>
  <c r="S30" i="74"/>
  <c r="S32" i="74" s="1"/>
  <c r="Q32" i="74"/>
  <c r="O32" i="74"/>
  <c r="M32" i="74"/>
  <c r="K32" i="74"/>
  <c r="I32" i="74"/>
  <c r="G32" i="74"/>
  <c r="T28" i="74"/>
  <c r="S28" i="74"/>
  <c r="N29" i="74"/>
  <c r="L29" i="74"/>
  <c r="J29" i="74"/>
  <c r="H29" i="74"/>
  <c r="F29" i="74"/>
  <c r="T27" i="74"/>
  <c r="S27" i="74"/>
  <c r="Q29" i="74"/>
  <c r="O29" i="74"/>
  <c r="M29" i="74"/>
  <c r="K29" i="74"/>
  <c r="I29" i="74"/>
  <c r="G29" i="74"/>
  <c r="T25" i="74"/>
  <c r="S25" i="74"/>
  <c r="N26" i="74"/>
  <c r="L26" i="74"/>
  <c r="J26" i="74"/>
  <c r="H26" i="74"/>
  <c r="F26" i="74"/>
  <c r="T24" i="74"/>
  <c r="T26" i="74" s="1"/>
  <c r="S24" i="74"/>
  <c r="Q26" i="74"/>
  <c r="O26" i="74"/>
  <c r="M26" i="74"/>
  <c r="K26" i="74"/>
  <c r="I26" i="74"/>
  <c r="G26" i="74"/>
  <c r="T22" i="74"/>
  <c r="S22" i="74"/>
  <c r="N23" i="74"/>
  <c r="L23" i="74"/>
  <c r="J23" i="74"/>
  <c r="H23" i="74"/>
  <c r="F23" i="74"/>
  <c r="T21" i="74"/>
  <c r="T23" i="74" s="1"/>
  <c r="S21" i="74"/>
  <c r="S23" i="74" s="1"/>
  <c r="Q23" i="74"/>
  <c r="O23" i="74"/>
  <c r="M23" i="74"/>
  <c r="K23" i="74"/>
  <c r="I23" i="74"/>
  <c r="G23" i="74"/>
  <c r="T19" i="74"/>
  <c r="S19" i="74"/>
  <c r="N20" i="74"/>
  <c r="L20" i="74"/>
  <c r="J20" i="74"/>
  <c r="H20" i="74"/>
  <c r="F20" i="74"/>
  <c r="T18" i="74"/>
  <c r="T20" i="74" s="1"/>
  <c r="S18" i="74"/>
  <c r="S20" i="74" s="1"/>
  <c r="Q20" i="74"/>
  <c r="O20" i="74"/>
  <c r="M20" i="74"/>
  <c r="K20" i="74"/>
  <c r="I20" i="74"/>
  <c r="G20" i="74"/>
  <c r="T16" i="74"/>
  <c r="S16" i="74"/>
  <c r="N17" i="74"/>
  <c r="L17" i="74"/>
  <c r="J17" i="74"/>
  <c r="H17" i="74"/>
  <c r="F17" i="74"/>
  <c r="T15" i="74"/>
  <c r="T17" i="74" s="1"/>
  <c r="S15" i="74"/>
  <c r="S17" i="74" s="1"/>
  <c r="Q17" i="74"/>
  <c r="O17" i="74"/>
  <c r="M17" i="74"/>
  <c r="K17" i="74"/>
  <c r="I17" i="74"/>
  <c r="G17" i="74"/>
  <c r="T13" i="74"/>
  <c r="S13" i="74"/>
  <c r="N14" i="74"/>
  <c r="L14" i="74"/>
  <c r="J14" i="74"/>
  <c r="H14" i="74"/>
  <c r="F14" i="74"/>
  <c r="T12" i="74"/>
  <c r="S12" i="74"/>
  <c r="S14" i="74" s="1"/>
  <c r="Q14" i="74"/>
  <c r="O14" i="74"/>
  <c r="M14" i="74"/>
  <c r="K14" i="74"/>
  <c r="I14" i="74"/>
  <c r="G14" i="74"/>
  <c r="T10" i="74"/>
  <c r="S10" i="74"/>
  <c r="N11" i="74"/>
  <c r="L11" i="74"/>
  <c r="J11" i="74"/>
  <c r="H11" i="74"/>
  <c r="F11" i="74"/>
  <c r="T9" i="74"/>
  <c r="T11" i="74" s="1"/>
  <c r="S9" i="74"/>
  <c r="Q11" i="74"/>
  <c r="O11" i="74"/>
  <c r="M11" i="74"/>
  <c r="K11" i="74"/>
  <c r="I11" i="74"/>
  <c r="G11" i="74"/>
  <c r="T7" i="74"/>
  <c r="S7" i="74"/>
  <c r="O8" i="74"/>
  <c r="N8" i="74"/>
  <c r="K8" i="74"/>
  <c r="J8" i="74"/>
  <c r="G8" i="74"/>
  <c r="T6" i="74"/>
  <c r="S6" i="74"/>
  <c r="S8" i="74" s="1"/>
  <c r="Q8" i="74"/>
  <c r="P8" i="74"/>
  <c r="M8" i="74"/>
  <c r="L8" i="74"/>
  <c r="I8" i="74"/>
  <c r="H8" i="74"/>
  <c r="S29" i="74" l="1"/>
  <c r="T32" i="74"/>
  <c r="S53" i="74"/>
  <c r="T56" i="74"/>
  <c r="S77" i="74"/>
  <c r="T80" i="74"/>
  <c r="S26" i="74"/>
  <c r="T29" i="74"/>
  <c r="S50" i="74"/>
  <c r="T53" i="74"/>
  <c r="S74" i="74"/>
  <c r="T77" i="74"/>
  <c r="S89" i="74"/>
  <c r="T92" i="74"/>
  <c r="T8" i="74"/>
  <c r="T89" i="74"/>
  <c r="S11" i="74"/>
  <c r="T14" i="74"/>
  <c r="S35" i="74"/>
  <c r="T38" i="74"/>
  <c r="S59" i="74"/>
  <c r="T62" i="74"/>
  <c r="S83" i="74"/>
  <c r="T86" i="74"/>
  <c r="Q59" i="74"/>
  <c r="P14" i="74"/>
  <c r="P20" i="74"/>
  <c r="P26" i="74"/>
  <c r="P32" i="74"/>
  <c r="P38" i="74"/>
  <c r="P44" i="74"/>
  <c r="P50" i="74"/>
  <c r="P56" i="74"/>
  <c r="Q62" i="74"/>
  <c r="Q68" i="74"/>
  <c r="Q74" i="74"/>
  <c r="Q80" i="74"/>
  <c r="Q86" i="74"/>
  <c r="Q92" i="74"/>
  <c r="P11" i="74"/>
  <c r="P17" i="74"/>
  <c r="P23" i="74"/>
  <c r="P29" i="74"/>
  <c r="P35" i="74"/>
  <c r="P41" i="74"/>
  <c r="P47" i="74"/>
  <c r="P53" i="74"/>
  <c r="Q65" i="74"/>
  <c r="Q71" i="74"/>
  <c r="Q77" i="74"/>
  <c r="Q83" i="74"/>
  <c r="Q89" i="74"/>
  <c r="Q95" i="74"/>
  <c r="I79" i="7"/>
  <c r="Q9" i="15" l="1"/>
  <c r="F81" i="1"/>
  <c r="G81" i="1"/>
  <c r="F86" i="25"/>
  <c r="G86" i="25"/>
  <c r="H86" i="25"/>
  <c r="I86" i="25"/>
  <c r="J86" i="25"/>
  <c r="K86" i="25"/>
  <c r="L86" i="25"/>
  <c r="M86" i="25"/>
  <c r="N86" i="25"/>
  <c r="O86" i="25"/>
  <c r="Q86" i="25"/>
  <c r="F83" i="25"/>
  <c r="G83" i="25"/>
  <c r="H83" i="25"/>
  <c r="I83" i="25"/>
  <c r="J83" i="25"/>
  <c r="K83" i="25"/>
  <c r="L83" i="25"/>
  <c r="M83" i="25"/>
  <c r="N83" i="25"/>
  <c r="O83" i="25"/>
  <c r="Q83" i="25"/>
  <c r="F80" i="25"/>
  <c r="G80" i="25"/>
  <c r="H80" i="25"/>
  <c r="I80" i="25"/>
  <c r="J80" i="25"/>
  <c r="K80" i="25"/>
  <c r="L80" i="25"/>
  <c r="M80" i="25"/>
  <c r="N80" i="25"/>
  <c r="O80" i="25"/>
  <c r="Q80" i="25"/>
  <c r="F77" i="25"/>
  <c r="G77" i="25"/>
  <c r="H77" i="25"/>
  <c r="I77" i="25"/>
  <c r="J77" i="25"/>
  <c r="K77" i="25"/>
  <c r="L77" i="25"/>
  <c r="M77" i="25"/>
  <c r="N77" i="25"/>
  <c r="O77" i="25"/>
  <c r="Q77" i="25"/>
  <c r="F74" i="25"/>
  <c r="G74" i="25"/>
  <c r="H74" i="25"/>
  <c r="I74" i="25"/>
  <c r="J74" i="25"/>
  <c r="K74" i="25"/>
  <c r="L74" i="25"/>
  <c r="M74" i="25"/>
  <c r="N74" i="25"/>
  <c r="O74" i="25"/>
  <c r="Q74" i="25"/>
  <c r="F71" i="25"/>
  <c r="G71" i="25"/>
  <c r="H71" i="25"/>
  <c r="I71" i="25"/>
  <c r="J71" i="25"/>
  <c r="K71" i="25"/>
  <c r="L71" i="25"/>
  <c r="M71" i="25"/>
  <c r="N71" i="25"/>
  <c r="O71" i="25"/>
  <c r="Q71" i="25"/>
  <c r="F68" i="25"/>
  <c r="G68" i="25"/>
  <c r="H68" i="25"/>
  <c r="I68" i="25"/>
  <c r="J68" i="25"/>
  <c r="K68" i="25"/>
  <c r="L68" i="25"/>
  <c r="M68" i="25"/>
  <c r="N68" i="25"/>
  <c r="O68" i="25"/>
  <c r="Q68" i="25"/>
  <c r="F65" i="25"/>
  <c r="G65" i="25"/>
  <c r="H65" i="25"/>
  <c r="I65" i="25"/>
  <c r="J65" i="25"/>
  <c r="K65" i="25"/>
  <c r="L65" i="25"/>
  <c r="M65" i="25"/>
  <c r="N65" i="25"/>
  <c r="O65" i="25"/>
  <c r="Q65" i="25"/>
  <c r="F62" i="25"/>
  <c r="G62" i="25"/>
  <c r="H62" i="25"/>
  <c r="I62" i="25"/>
  <c r="J62" i="25"/>
  <c r="K62" i="25"/>
  <c r="L62" i="25"/>
  <c r="M62" i="25"/>
  <c r="N62" i="25"/>
  <c r="O62" i="25"/>
  <c r="Q62" i="25"/>
  <c r="F59" i="25"/>
  <c r="G59" i="25"/>
  <c r="H59" i="25"/>
  <c r="I59" i="25"/>
  <c r="J59" i="25"/>
  <c r="K59" i="25"/>
  <c r="L59" i="25"/>
  <c r="M59" i="25"/>
  <c r="N59" i="25"/>
  <c r="O59" i="25"/>
  <c r="Q59" i="25"/>
  <c r="F56" i="25"/>
  <c r="G56" i="25"/>
  <c r="H56" i="25"/>
  <c r="I56" i="25"/>
  <c r="J56" i="25"/>
  <c r="K56" i="25"/>
  <c r="L56" i="25"/>
  <c r="M56" i="25"/>
  <c r="N56" i="25"/>
  <c r="O56" i="25"/>
  <c r="Q56" i="25"/>
  <c r="F53" i="25"/>
  <c r="G53" i="25"/>
  <c r="H53" i="25"/>
  <c r="I53" i="25"/>
  <c r="J53" i="25"/>
  <c r="K53" i="25"/>
  <c r="L53" i="25"/>
  <c r="M53" i="25"/>
  <c r="N53" i="25"/>
  <c r="O53" i="25"/>
  <c r="Q53" i="25"/>
  <c r="F50" i="25"/>
  <c r="G50" i="25"/>
  <c r="H50" i="25"/>
  <c r="I50" i="25"/>
  <c r="J50" i="25"/>
  <c r="K50" i="25"/>
  <c r="L50" i="25"/>
  <c r="M50" i="25"/>
  <c r="N50" i="25"/>
  <c r="O50" i="25"/>
  <c r="Q50" i="25"/>
  <c r="F47" i="25"/>
  <c r="G47" i="25"/>
  <c r="H47" i="25"/>
  <c r="I47" i="25"/>
  <c r="J47" i="25"/>
  <c r="K47" i="25"/>
  <c r="L47" i="25"/>
  <c r="M47" i="25"/>
  <c r="N47" i="25"/>
  <c r="O47" i="25"/>
  <c r="Q47" i="25"/>
  <c r="F44" i="25"/>
  <c r="G44" i="25"/>
  <c r="H44" i="25"/>
  <c r="I44" i="25"/>
  <c r="J44" i="25"/>
  <c r="K44" i="25"/>
  <c r="L44" i="25"/>
  <c r="M44" i="25"/>
  <c r="N44" i="25"/>
  <c r="O44" i="25"/>
  <c r="Q44" i="25"/>
  <c r="F41" i="25"/>
  <c r="G41" i="25"/>
  <c r="H41" i="25"/>
  <c r="I41" i="25"/>
  <c r="J41" i="25"/>
  <c r="K41" i="25"/>
  <c r="L41" i="25"/>
  <c r="M41" i="25"/>
  <c r="N41" i="25"/>
  <c r="O41" i="25"/>
  <c r="Q41" i="25"/>
  <c r="F38" i="25"/>
  <c r="G38" i="25"/>
  <c r="H38" i="25"/>
  <c r="I38" i="25"/>
  <c r="J38" i="25"/>
  <c r="K38" i="25"/>
  <c r="L38" i="25"/>
  <c r="M38" i="25"/>
  <c r="N38" i="25"/>
  <c r="O38" i="25"/>
  <c r="Q38" i="25"/>
  <c r="F35" i="25"/>
  <c r="G35" i="25"/>
  <c r="H35" i="25"/>
  <c r="I35" i="25"/>
  <c r="J35" i="25"/>
  <c r="K35" i="25"/>
  <c r="L35" i="25"/>
  <c r="M35" i="25"/>
  <c r="N35" i="25"/>
  <c r="O35" i="25"/>
  <c r="Q35" i="25"/>
  <c r="F32" i="25"/>
  <c r="G32" i="25"/>
  <c r="H32" i="25"/>
  <c r="I32" i="25"/>
  <c r="J32" i="25"/>
  <c r="K32" i="25"/>
  <c r="L32" i="25"/>
  <c r="M32" i="25"/>
  <c r="N32" i="25"/>
  <c r="O32" i="25"/>
  <c r="Q32" i="25"/>
  <c r="F29" i="25"/>
  <c r="G29" i="25"/>
  <c r="H29" i="25"/>
  <c r="I29" i="25"/>
  <c r="J29" i="25"/>
  <c r="K29" i="25"/>
  <c r="L29" i="25"/>
  <c r="M29" i="25"/>
  <c r="N29" i="25"/>
  <c r="O29" i="25"/>
  <c r="Q29" i="25"/>
  <c r="F26" i="25"/>
  <c r="G26" i="25"/>
  <c r="H26" i="25"/>
  <c r="I26" i="25"/>
  <c r="J26" i="25"/>
  <c r="K26" i="25"/>
  <c r="L26" i="25"/>
  <c r="M26" i="25"/>
  <c r="N26" i="25"/>
  <c r="O26" i="25"/>
  <c r="Q26" i="25"/>
  <c r="F23" i="25"/>
  <c r="G23" i="25"/>
  <c r="H23" i="25"/>
  <c r="I23" i="25"/>
  <c r="J23" i="25"/>
  <c r="K23" i="25"/>
  <c r="L23" i="25"/>
  <c r="M23" i="25"/>
  <c r="N23" i="25"/>
  <c r="O23" i="25"/>
  <c r="Q23" i="25"/>
  <c r="F20" i="25"/>
  <c r="G20" i="25"/>
  <c r="H20" i="25"/>
  <c r="I20" i="25"/>
  <c r="J20" i="25"/>
  <c r="K20" i="25"/>
  <c r="L20" i="25"/>
  <c r="M20" i="25"/>
  <c r="N20" i="25"/>
  <c r="O20" i="25"/>
  <c r="Q20" i="25"/>
  <c r="F17" i="25"/>
  <c r="G17" i="25"/>
  <c r="H17" i="25"/>
  <c r="I17" i="25"/>
  <c r="J17" i="25"/>
  <c r="K17" i="25"/>
  <c r="L17" i="25"/>
  <c r="M17" i="25"/>
  <c r="N17" i="25"/>
  <c r="O17" i="25"/>
  <c r="Q17" i="25"/>
  <c r="F14" i="25"/>
  <c r="G14" i="25"/>
  <c r="H14" i="25"/>
  <c r="I14" i="25"/>
  <c r="J14" i="25"/>
  <c r="K14" i="25"/>
  <c r="L14" i="25"/>
  <c r="M14" i="25"/>
  <c r="N14" i="25"/>
  <c r="O14" i="25"/>
  <c r="Q14" i="25"/>
  <c r="F11" i="25"/>
  <c r="G11" i="25"/>
  <c r="H11" i="25"/>
  <c r="I11" i="25"/>
  <c r="J11" i="25"/>
  <c r="K11" i="25"/>
  <c r="L11" i="25"/>
  <c r="M11" i="25"/>
  <c r="N11" i="25"/>
  <c r="O11" i="25"/>
  <c r="Q11" i="25"/>
  <c r="F8" i="25"/>
  <c r="G8" i="25"/>
  <c r="H8" i="25"/>
  <c r="I8" i="25"/>
  <c r="J8" i="25"/>
  <c r="K8" i="25"/>
  <c r="L8" i="25"/>
  <c r="M8" i="25"/>
  <c r="N8" i="25"/>
  <c r="O8" i="25"/>
  <c r="Q8" i="25"/>
  <c r="F5" i="25"/>
  <c r="G5" i="25"/>
  <c r="H5" i="25"/>
  <c r="I5" i="25"/>
  <c r="J5" i="25"/>
  <c r="K5" i="25"/>
  <c r="L5" i="25"/>
  <c r="M5" i="25"/>
  <c r="N5" i="25"/>
  <c r="O5" i="25"/>
  <c r="Q5" i="25"/>
  <c r="F85" i="25"/>
  <c r="F87" i="25" s="1"/>
  <c r="G85" i="25"/>
  <c r="H85" i="25"/>
  <c r="I85" i="25"/>
  <c r="J85" i="25"/>
  <c r="J87" i="25" s="1"/>
  <c r="K85" i="25"/>
  <c r="L85" i="25"/>
  <c r="M85" i="25"/>
  <c r="N85" i="25"/>
  <c r="O85" i="25"/>
  <c r="Q85" i="25"/>
  <c r="F82" i="25"/>
  <c r="G82" i="25"/>
  <c r="G84" i="25" s="1"/>
  <c r="H82" i="25"/>
  <c r="I82" i="25"/>
  <c r="J82" i="25"/>
  <c r="K82" i="25"/>
  <c r="K84" i="25" s="1"/>
  <c r="L82" i="25"/>
  <c r="M82" i="25"/>
  <c r="N82" i="25"/>
  <c r="O82" i="25"/>
  <c r="O84" i="25" s="1"/>
  <c r="Q82" i="25"/>
  <c r="F79" i="25"/>
  <c r="G79" i="25"/>
  <c r="H79" i="25"/>
  <c r="H81" i="25" s="1"/>
  <c r="I79" i="25"/>
  <c r="J79" i="25"/>
  <c r="K79" i="25"/>
  <c r="L79" i="25"/>
  <c r="L81" i="25" s="1"/>
  <c r="M79" i="25"/>
  <c r="N79" i="25"/>
  <c r="O79" i="25"/>
  <c r="Q79" i="25"/>
  <c r="Q81" i="25" s="1"/>
  <c r="F76" i="25"/>
  <c r="G76" i="25"/>
  <c r="H76" i="25"/>
  <c r="I76" i="25"/>
  <c r="I78" i="25" s="1"/>
  <c r="J76" i="25"/>
  <c r="K76" i="25"/>
  <c r="L76" i="25"/>
  <c r="M76" i="25"/>
  <c r="M78" i="25" s="1"/>
  <c r="N76" i="25"/>
  <c r="O76" i="25"/>
  <c r="Q76" i="25"/>
  <c r="F73" i="25"/>
  <c r="F75" i="25" s="1"/>
  <c r="G73" i="25"/>
  <c r="H73" i="25"/>
  <c r="I73" i="25"/>
  <c r="J73" i="25"/>
  <c r="J75" i="25" s="1"/>
  <c r="K73" i="25"/>
  <c r="L73" i="25"/>
  <c r="M73" i="25"/>
  <c r="N73" i="25"/>
  <c r="N75" i="25" s="1"/>
  <c r="O73" i="25"/>
  <c r="Q73" i="25"/>
  <c r="F70" i="25"/>
  <c r="G70" i="25"/>
  <c r="G72" i="25" s="1"/>
  <c r="H70" i="25"/>
  <c r="I70" i="25"/>
  <c r="J70" i="25"/>
  <c r="K70" i="25"/>
  <c r="K72" i="25" s="1"/>
  <c r="L70" i="25"/>
  <c r="M70" i="25"/>
  <c r="N70" i="25"/>
  <c r="O70" i="25"/>
  <c r="O72" i="25" s="1"/>
  <c r="Q70" i="25"/>
  <c r="F67" i="25"/>
  <c r="G67" i="25"/>
  <c r="H67" i="25"/>
  <c r="H69" i="25" s="1"/>
  <c r="I67" i="25"/>
  <c r="J67" i="25"/>
  <c r="K67" i="25"/>
  <c r="L67" i="25"/>
  <c r="L69" i="25" s="1"/>
  <c r="M67" i="25"/>
  <c r="N67" i="25"/>
  <c r="O67" i="25"/>
  <c r="Q67" i="25"/>
  <c r="Q69" i="25" s="1"/>
  <c r="F64" i="25"/>
  <c r="G64" i="25"/>
  <c r="H64" i="25"/>
  <c r="I64" i="25"/>
  <c r="I66" i="25" s="1"/>
  <c r="J64" i="25"/>
  <c r="K64" i="25"/>
  <c r="L64" i="25"/>
  <c r="M64" i="25"/>
  <c r="M66" i="25" s="1"/>
  <c r="N64" i="25"/>
  <c r="O64" i="25"/>
  <c r="Q64" i="25"/>
  <c r="F61" i="25"/>
  <c r="F63" i="25" s="1"/>
  <c r="G61" i="25"/>
  <c r="H61" i="25"/>
  <c r="I61" i="25"/>
  <c r="J61" i="25"/>
  <c r="J63" i="25" s="1"/>
  <c r="K61" i="25"/>
  <c r="L61" i="25"/>
  <c r="M61" i="25"/>
  <c r="N61" i="25"/>
  <c r="N63" i="25" s="1"/>
  <c r="O61" i="25"/>
  <c r="Q61" i="25"/>
  <c r="F58" i="25"/>
  <c r="G58" i="25"/>
  <c r="G60" i="25" s="1"/>
  <c r="H58" i="25"/>
  <c r="I58" i="25"/>
  <c r="J58" i="25"/>
  <c r="K58" i="25"/>
  <c r="K60" i="25" s="1"/>
  <c r="L58" i="25"/>
  <c r="M58" i="25"/>
  <c r="N58" i="25"/>
  <c r="O58" i="25"/>
  <c r="O60" i="25" s="1"/>
  <c r="Q58" i="25"/>
  <c r="F55" i="25"/>
  <c r="G55" i="25"/>
  <c r="H55" i="25"/>
  <c r="H57" i="25" s="1"/>
  <c r="I55" i="25"/>
  <c r="J55" i="25"/>
  <c r="K55" i="25"/>
  <c r="L55" i="25"/>
  <c r="L57" i="25" s="1"/>
  <c r="M55" i="25"/>
  <c r="N55" i="25"/>
  <c r="O55" i="25"/>
  <c r="Q55" i="25"/>
  <c r="Q57" i="25" s="1"/>
  <c r="F52" i="25"/>
  <c r="G52" i="25"/>
  <c r="G54" i="25" s="1"/>
  <c r="H52" i="25"/>
  <c r="I52" i="25"/>
  <c r="I54" i="25" s="1"/>
  <c r="J52" i="25"/>
  <c r="K52" i="25"/>
  <c r="K54" i="25" s="1"/>
  <c r="L52" i="25"/>
  <c r="M52" i="25"/>
  <c r="M54" i="25" s="1"/>
  <c r="N52" i="25"/>
  <c r="O52" i="25"/>
  <c r="O54" i="25" s="1"/>
  <c r="Q52" i="25"/>
  <c r="F49" i="25"/>
  <c r="F51" i="25" s="1"/>
  <c r="G49" i="25"/>
  <c r="H49" i="25"/>
  <c r="H51" i="25" s="1"/>
  <c r="I49" i="25"/>
  <c r="J49" i="25"/>
  <c r="J51" i="25" s="1"/>
  <c r="K49" i="25"/>
  <c r="L49" i="25"/>
  <c r="L51" i="25" s="1"/>
  <c r="M49" i="25"/>
  <c r="N49" i="25"/>
  <c r="N51" i="25" s="1"/>
  <c r="O49" i="25"/>
  <c r="Q49" i="25"/>
  <c r="Q51" i="25" s="1"/>
  <c r="F46" i="25"/>
  <c r="G46" i="25"/>
  <c r="G48" i="25" s="1"/>
  <c r="H46" i="25"/>
  <c r="I46" i="25"/>
  <c r="I48" i="25" s="1"/>
  <c r="J46" i="25"/>
  <c r="K46" i="25"/>
  <c r="K48" i="25" s="1"/>
  <c r="L46" i="25"/>
  <c r="M46" i="25"/>
  <c r="M48" i="25" s="1"/>
  <c r="N46" i="25"/>
  <c r="O46" i="25"/>
  <c r="O48" i="25" s="1"/>
  <c r="Q46" i="25"/>
  <c r="F43" i="25"/>
  <c r="F45" i="25" s="1"/>
  <c r="G43" i="25"/>
  <c r="H43" i="25"/>
  <c r="H45" i="25" s="1"/>
  <c r="I43" i="25"/>
  <c r="J43" i="25"/>
  <c r="J45" i="25" s="1"/>
  <c r="K43" i="25"/>
  <c r="L43" i="25"/>
  <c r="L45" i="25" s="1"/>
  <c r="M43" i="25"/>
  <c r="N43" i="25"/>
  <c r="N45" i="25" s="1"/>
  <c r="O43" i="25"/>
  <c r="Q43" i="25"/>
  <c r="Q45" i="25" s="1"/>
  <c r="F40" i="25"/>
  <c r="G40" i="25"/>
  <c r="G42" i="25" s="1"/>
  <c r="H40" i="25"/>
  <c r="I40" i="25"/>
  <c r="I42" i="25" s="1"/>
  <c r="J40" i="25"/>
  <c r="K40" i="25"/>
  <c r="K42" i="25" s="1"/>
  <c r="L40" i="25"/>
  <c r="M40" i="25"/>
  <c r="M42" i="25" s="1"/>
  <c r="N40" i="25"/>
  <c r="O40" i="25"/>
  <c r="O42" i="25" s="1"/>
  <c r="Q40" i="25"/>
  <c r="F37" i="25"/>
  <c r="F39" i="25" s="1"/>
  <c r="G37" i="25"/>
  <c r="H37" i="25"/>
  <c r="H39" i="25" s="1"/>
  <c r="I37" i="25"/>
  <c r="J37" i="25"/>
  <c r="J39" i="25" s="1"/>
  <c r="K37" i="25"/>
  <c r="L37" i="25"/>
  <c r="L39" i="25" s="1"/>
  <c r="M37" i="25"/>
  <c r="N37" i="25"/>
  <c r="N39" i="25" s="1"/>
  <c r="O37" i="25"/>
  <c r="Q37" i="25"/>
  <c r="Q39" i="25" s="1"/>
  <c r="F34" i="25"/>
  <c r="G34" i="25"/>
  <c r="G36" i="25" s="1"/>
  <c r="H34" i="25"/>
  <c r="I34" i="25"/>
  <c r="I36" i="25" s="1"/>
  <c r="J34" i="25"/>
  <c r="K34" i="25"/>
  <c r="K36" i="25" s="1"/>
  <c r="L34" i="25"/>
  <c r="M34" i="25"/>
  <c r="M36" i="25" s="1"/>
  <c r="N34" i="25"/>
  <c r="O34" i="25"/>
  <c r="O36" i="25" s="1"/>
  <c r="Q34" i="25"/>
  <c r="F31" i="25"/>
  <c r="F33" i="25" s="1"/>
  <c r="G31" i="25"/>
  <c r="H31" i="25"/>
  <c r="H33" i="25" s="1"/>
  <c r="I31" i="25"/>
  <c r="J31" i="25"/>
  <c r="J33" i="25" s="1"/>
  <c r="K31" i="25"/>
  <c r="L31" i="25"/>
  <c r="L33" i="25" s="1"/>
  <c r="M31" i="25"/>
  <c r="N31" i="25"/>
  <c r="N33" i="25" s="1"/>
  <c r="O31" i="25"/>
  <c r="Q31" i="25"/>
  <c r="Q33" i="25" s="1"/>
  <c r="F28" i="25"/>
  <c r="G28" i="25"/>
  <c r="G30" i="25" s="1"/>
  <c r="H28" i="25"/>
  <c r="I28" i="25"/>
  <c r="I30" i="25" s="1"/>
  <c r="J28" i="25"/>
  <c r="K28" i="25"/>
  <c r="K30" i="25" s="1"/>
  <c r="L28" i="25"/>
  <c r="M28" i="25"/>
  <c r="M30" i="25" s="1"/>
  <c r="N28" i="25"/>
  <c r="O28" i="25"/>
  <c r="O30" i="25" s="1"/>
  <c r="Q28" i="25"/>
  <c r="Q30" i="25" s="1"/>
  <c r="F25" i="25"/>
  <c r="F27" i="25" s="1"/>
  <c r="G25" i="25"/>
  <c r="H25" i="25"/>
  <c r="H27" i="25" s="1"/>
  <c r="I25" i="25"/>
  <c r="J25" i="25"/>
  <c r="J27" i="25" s="1"/>
  <c r="K25" i="25"/>
  <c r="L25" i="25"/>
  <c r="L27" i="25" s="1"/>
  <c r="M25" i="25"/>
  <c r="M27" i="25" s="1"/>
  <c r="N25" i="25"/>
  <c r="N27" i="25" s="1"/>
  <c r="O25" i="25"/>
  <c r="Q25" i="25"/>
  <c r="Q27" i="25" s="1"/>
  <c r="F22" i="25"/>
  <c r="G22" i="25"/>
  <c r="G24" i="25" s="1"/>
  <c r="H22" i="25"/>
  <c r="I22" i="25"/>
  <c r="I24" i="25" s="1"/>
  <c r="J22" i="25"/>
  <c r="J24" i="25" s="1"/>
  <c r="K22" i="25"/>
  <c r="K24" i="25" s="1"/>
  <c r="L22" i="25"/>
  <c r="M22" i="25"/>
  <c r="M24" i="25" s="1"/>
  <c r="N22" i="25"/>
  <c r="O22" i="25"/>
  <c r="O24" i="25" s="1"/>
  <c r="Q22" i="25"/>
  <c r="F19" i="25"/>
  <c r="F21" i="25" s="1"/>
  <c r="G19" i="25"/>
  <c r="G21" i="25" s="1"/>
  <c r="H19" i="25"/>
  <c r="H21" i="25" s="1"/>
  <c r="I19" i="25"/>
  <c r="J19" i="25"/>
  <c r="J21" i="25" s="1"/>
  <c r="K19" i="25"/>
  <c r="L19" i="25"/>
  <c r="L21" i="25" s="1"/>
  <c r="M19" i="25"/>
  <c r="N19" i="25"/>
  <c r="N21" i="25" s="1"/>
  <c r="O19" i="25"/>
  <c r="O21" i="25" s="1"/>
  <c r="Q19" i="25"/>
  <c r="Q21" i="25" s="1"/>
  <c r="F16" i="25"/>
  <c r="G16" i="25"/>
  <c r="G18" i="25" s="1"/>
  <c r="H16" i="25"/>
  <c r="I16" i="25"/>
  <c r="I18" i="25" s="1"/>
  <c r="J16" i="25"/>
  <c r="K16" i="25"/>
  <c r="K18" i="25" s="1"/>
  <c r="L16" i="25"/>
  <c r="L18" i="25" s="1"/>
  <c r="M16" i="25"/>
  <c r="M18" i="25" s="1"/>
  <c r="N16" i="25"/>
  <c r="O16" i="25"/>
  <c r="O18" i="25" s="1"/>
  <c r="Q16" i="25"/>
  <c r="F13" i="25"/>
  <c r="F15" i="25" s="1"/>
  <c r="G13" i="25"/>
  <c r="H13" i="25"/>
  <c r="H15" i="25" s="1"/>
  <c r="I13" i="25"/>
  <c r="I15" i="25" s="1"/>
  <c r="J13" i="25"/>
  <c r="J15" i="25" s="1"/>
  <c r="K13" i="25"/>
  <c r="L13" i="25"/>
  <c r="L15" i="25" s="1"/>
  <c r="M13" i="25"/>
  <c r="N13" i="25"/>
  <c r="N15" i="25" s="1"/>
  <c r="O13" i="25"/>
  <c r="Q13" i="25"/>
  <c r="Q15" i="25" s="1"/>
  <c r="F10" i="25"/>
  <c r="F12" i="25" s="1"/>
  <c r="G10" i="25"/>
  <c r="G12" i="25" s="1"/>
  <c r="H10" i="25"/>
  <c r="I10" i="25"/>
  <c r="I12" i="25" s="1"/>
  <c r="J10" i="25"/>
  <c r="K10" i="25"/>
  <c r="K12" i="25" s="1"/>
  <c r="L10" i="25"/>
  <c r="M10" i="25"/>
  <c r="M12" i="25" s="1"/>
  <c r="N10" i="25"/>
  <c r="N12" i="25" s="1"/>
  <c r="O10" i="25"/>
  <c r="O12" i="25" s="1"/>
  <c r="Q10" i="25"/>
  <c r="F7" i="25"/>
  <c r="F9" i="25" s="1"/>
  <c r="G7" i="25"/>
  <c r="H7" i="25"/>
  <c r="H9" i="25" s="1"/>
  <c r="I7" i="25"/>
  <c r="J7" i="25"/>
  <c r="J9" i="25" s="1"/>
  <c r="K7" i="25"/>
  <c r="K9" i="25" s="1"/>
  <c r="L7" i="25"/>
  <c r="L9" i="25" s="1"/>
  <c r="M7" i="25"/>
  <c r="N7" i="25"/>
  <c r="N9" i="25" s="1"/>
  <c r="O7" i="25"/>
  <c r="Q7" i="25"/>
  <c r="Q9" i="25" s="1"/>
  <c r="F4" i="25"/>
  <c r="G4" i="25"/>
  <c r="G6" i="25" s="1"/>
  <c r="H4" i="25"/>
  <c r="H6" i="25" s="1"/>
  <c r="I4" i="25"/>
  <c r="I6" i="25" s="1"/>
  <c r="J4" i="25"/>
  <c r="K4" i="25"/>
  <c r="K6" i="25" s="1"/>
  <c r="L4" i="25"/>
  <c r="M4" i="25"/>
  <c r="M6" i="25" s="1"/>
  <c r="N4" i="25"/>
  <c r="O4" i="25"/>
  <c r="O6" i="25" s="1"/>
  <c r="P4" i="25"/>
  <c r="P6" i="25" s="1"/>
  <c r="Q4" i="25"/>
  <c r="Q6" i="25" s="1"/>
  <c r="Q150" i="15"/>
  <c r="Q123" i="15"/>
  <c r="Q36" i="15"/>
  <c r="Q30" i="15"/>
  <c r="Q27" i="15"/>
  <c r="S120" i="15"/>
  <c r="S12" i="15"/>
  <c r="R151" i="15"/>
  <c r="Q151" i="15"/>
  <c r="P151" i="15"/>
  <c r="O151" i="15"/>
  <c r="N151" i="15"/>
  <c r="M151" i="15"/>
  <c r="L151" i="15"/>
  <c r="K151" i="15"/>
  <c r="J151" i="15"/>
  <c r="I151" i="15"/>
  <c r="H151" i="15"/>
  <c r="G151" i="15"/>
  <c r="F151" i="15"/>
  <c r="R150" i="15"/>
  <c r="P150" i="15"/>
  <c r="O150" i="15"/>
  <c r="N150" i="15"/>
  <c r="N152" i="15" s="1"/>
  <c r="M150" i="15"/>
  <c r="L150" i="15"/>
  <c r="K150" i="15"/>
  <c r="K152" i="15" s="1"/>
  <c r="J150" i="15"/>
  <c r="J152" i="15" s="1"/>
  <c r="I150" i="15"/>
  <c r="I152" i="15" s="1"/>
  <c r="H150" i="15"/>
  <c r="G150" i="15"/>
  <c r="F150" i="15"/>
  <c r="F152" i="15" s="1"/>
  <c r="R148" i="15"/>
  <c r="Q148" i="15"/>
  <c r="P148" i="15"/>
  <c r="O148" i="15"/>
  <c r="N148" i="15"/>
  <c r="M148" i="15"/>
  <c r="L148" i="15"/>
  <c r="K148" i="15"/>
  <c r="J148" i="15"/>
  <c r="I148" i="15"/>
  <c r="H148" i="15"/>
  <c r="G148" i="15"/>
  <c r="F148" i="15"/>
  <c r="R147" i="15"/>
  <c r="Q147" i="15"/>
  <c r="P147" i="15"/>
  <c r="O147" i="15"/>
  <c r="N147" i="15"/>
  <c r="M147" i="15"/>
  <c r="L147" i="15"/>
  <c r="K147" i="15"/>
  <c r="J147" i="15"/>
  <c r="I147" i="15"/>
  <c r="H147" i="15"/>
  <c r="G147" i="15"/>
  <c r="F147" i="15"/>
  <c r="R145" i="15"/>
  <c r="Q145" i="15"/>
  <c r="P145" i="15"/>
  <c r="O145" i="15"/>
  <c r="N145" i="15"/>
  <c r="M145" i="15"/>
  <c r="L145" i="15"/>
  <c r="K145" i="15"/>
  <c r="J145" i="15"/>
  <c r="I145" i="15"/>
  <c r="H145" i="15"/>
  <c r="G145" i="15"/>
  <c r="F145" i="15"/>
  <c r="R144" i="15"/>
  <c r="Q144" i="15"/>
  <c r="P144" i="15"/>
  <c r="O144" i="15"/>
  <c r="N144" i="15"/>
  <c r="M144" i="15"/>
  <c r="L144" i="15"/>
  <c r="K144" i="15"/>
  <c r="J144" i="15"/>
  <c r="I144" i="15"/>
  <c r="H144" i="15"/>
  <c r="G144" i="15"/>
  <c r="F144" i="15"/>
  <c r="R142" i="15"/>
  <c r="Q142" i="15"/>
  <c r="P142" i="15"/>
  <c r="N142" i="15"/>
  <c r="M142" i="15"/>
  <c r="L142" i="15"/>
  <c r="K142" i="15"/>
  <c r="J142" i="15"/>
  <c r="I142" i="15"/>
  <c r="H142" i="15"/>
  <c r="G142" i="15"/>
  <c r="F142" i="15"/>
  <c r="R141" i="15"/>
  <c r="Q141" i="15"/>
  <c r="P141" i="15"/>
  <c r="O141" i="15"/>
  <c r="N141" i="15"/>
  <c r="M141" i="15"/>
  <c r="L141" i="15"/>
  <c r="K141" i="15"/>
  <c r="J141" i="15"/>
  <c r="I141" i="15"/>
  <c r="H141" i="15"/>
  <c r="G141" i="15"/>
  <c r="F141" i="15"/>
  <c r="R139" i="15"/>
  <c r="Q139" i="15"/>
  <c r="P139" i="15"/>
  <c r="N139" i="15"/>
  <c r="M139" i="15"/>
  <c r="L139" i="15"/>
  <c r="K139" i="15"/>
  <c r="J139" i="15"/>
  <c r="I139" i="15"/>
  <c r="H139" i="15"/>
  <c r="G139" i="15"/>
  <c r="F139" i="15"/>
  <c r="R138" i="15"/>
  <c r="Q138" i="15"/>
  <c r="P138" i="15"/>
  <c r="O138" i="15"/>
  <c r="N138" i="15"/>
  <c r="M138" i="15"/>
  <c r="L138" i="15"/>
  <c r="K138" i="15"/>
  <c r="J138" i="15"/>
  <c r="I138" i="15"/>
  <c r="H138" i="15"/>
  <c r="G138" i="15"/>
  <c r="F138" i="15"/>
  <c r="R136" i="15"/>
  <c r="Q136" i="15"/>
  <c r="P136" i="15"/>
  <c r="O136" i="15"/>
  <c r="N136" i="15"/>
  <c r="M136" i="15"/>
  <c r="L136" i="15"/>
  <c r="K136" i="15"/>
  <c r="J136" i="15"/>
  <c r="I136" i="15"/>
  <c r="H136" i="15"/>
  <c r="G136" i="15"/>
  <c r="F136" i="15"/>
  <c r="R135" i="15"/>
  <c r="Q135" i="15"/>
  <c r="P135" i="15"/>
  <c r="O135" i="15"/>
  <c r="N135" i="15"/>
  <c r="M135" i="15"/>
  <c r="L135" i="15"/>
  <c r="K135" i="15"/>
  <c r="J135" i="15"/>
  <c r="I135" i="15"/>
  <c r="H135" i="15"/>
  <c r="G135" i="15"/>
  <c r="F135" i="15"/>
  <c r="R133" i="15"/>
  <c r="Q133" i="15"/>
  <c r="P133" i="15"/>
  <c r="O133" i="15"/>
  <c r="N133" i="15"/>
  <c r="M133" i="15"/>
  <c r="L133" i="15"/>
  <c r="K133" i="15"/>
  <c r="J133" i="15"/>
  <c r="I133" i="15"/>
  <c r="H133" i="15"/>
  <c r="G133" i="15"/>
  <c r="F133" i="15"/>
  <c r="R132" i="15"/>
  <c r="Q132" i="15"/>
  <c r="P132" i="15"/>
  <c r="O132" i="15"/>
  <c r="N132" i="15"/>
  <c r="M132" i="15"/>
  <c r="L132" i="15"/>
  <c r="K132" i="15"/>
  <c r="J132" i="15"/>
  <c r="I132" i="15"/>
  <c r="H132" i="15"/>
  <c r="G132" i="15"/>
  <c r="F132" i="15"/>
  <c r="R130" i="15"/>
  <c r="Q130" i="15"/>
  <c r="P130" i="15"/>
  <c r="O130" i="15"/>
  <c r="N130" i="15"/>
  <c r="M130" i="15"/>
  <c r="L130" i="15"/>
  <c r="K130" i="15"/>
  <c r="J130" i="15"/>
  <c r="I130" i="15"/>
  <c r="H130" i="15"/>
  <c r="G130" i="15"/>
  <c r="F130" i="15"/>
  <c r="R129" i="15"/>
  <c r="Q129" i="15"/>
  <c r="P129" i="15"/>
  <c r="O129" i="15"/>
  <c r="N129" i="15"/>
  <c r="M129" i="15"/>
  <c r="L129" i="15"/>
  <c r="K129" i="15"/>
  <c r="J129" i="15"/>
  <c r="I129" i="15"/>
  <c r="H129" i="15"/>
  <c r="G129" i="15"/>
  <c r="F129" i="15"/>
  <c r="R127" i="15"/>
  <c r="Q127" i="15"/>
  <c r="P127" i="15"/>
  <c r="O127" i="15"/>
  <c r="N127" i="15"/>
  <c r="M127" i="15"/>
  <c r="L127" i="15"/>
  <c r="K127" i="15"/>
  <c r="J127" i="15"/>
  <c r="I127" i="15"/>
  <c r="H127" i="15"/>
  <c r="G127" i="15"/>
  <c r="F127" i="15"/>
  <c r="R126" i="15"/>
  <c r="Q126" i="15"/>
  <c r="P126" i="15"/>
  <c r="O126" i="15"/>
  <c r="N126" i="15"/>
  <c r="M126" i="15"/>
  <c r="L126" i="15"/>
  <c r="K126" i="15"/>
  <c r="J126" i="15"/>
  <c r="I126" i="15"/>
  <c r="H126" i="15"/>
  <c r="G126" i="15"/>
  <c r="F126" i="15"/>
  <c r="R124" i="15"/>
  <c r="Q124" i="15"/>
  <c r="P124" i="15"/>
  <c r="O124" i="15"/>
  <c r="N124" i="15"/>
  <c r="M124" i="15"/>
  <c r="L124" i="15"/>
  <c r="K124" i="15"/>
  <c r="J124" i="15"/>
  <c r="I124" i="15"/>
  <c r="H124" i="15"/>
  <c r="G124" i="15"/>
  <c r="F124" i="15"/>
  <c r="R123" i="15"/>
  <c r="P123" i="15"/>
  <c r="P125" i="15" s="1"/>
  <c r="O123" i="15"/>
  <c r="N123" i="15"/>
  <c r="M123" i="15"/>
  <c r="L123" i="15"/>
  <c r="K123" i="15"/>
  <c r="J123" i="15"/>
  <c r="J125" i="15" s="1"/>
  <c r="I123" i="15"/>
  <c r="H123" i="15"/>
  <c r="H125" i="15" s="1"/>
  <c r="G123" i="15"/>
  <c r="F123" i="15"/>
  <c r="R121" i="15"/>
  <c r="Q121" i="15"/>
  <c r="P121" i="15"/>
  <c r="O121" i="15"/>
  <c r="N121" i="15"/>
  <c r="M121" i="15"/>
  <c r="L121" i="15"/>
  <c r="K121" i="15"/>
  <c r="J121" i="15"/>
  <c r="I121" i="15"/>
  <c r="H121" i="15"/>
  <c r="G121" i="15"/>
  <c r="F121" i="15"/>
  <c r="R120" i="15"/>
  <c r="Q120" i="15"/>
  <c r="P120" i="15"/>
  <c r="O120" i="15"/>
  <c r="N120" i="15"/>
  <c r="M120" i="15"/>
  <c r="L120" i="15"/>
  <c r="K120" i="15"/>
  <c r="J120" i="15"/>
  <c r="I120" i="15"/>
  <c r="H120" i="15"/>
  <c r="G120" i="15"/>
  <c r="F120" i="15"/>
  <c r="R118" i="15"/>
  <c r="Q118" i="15"/>
  <c r="P118" i="15"/>
  <c r="O118" i="15"/>
  <c r="N118" i="15"/>
  <c r="M118" i="15"/>
  <c r="L118" i="15"/>
  <c r="K118" i="15"/>
  <c r="J118" i="15"/>
  <c r="I118" i="15"/>
  <c r="H118" i="15"/>
  <c r="G118" i="15"/>
  <c r="F118" i="15"/>
  <c r="R117" i="15"/>
  <c r="Q117" i="15"/>
  <c r="P117" i="15"/>
  <c r="O117" i="15"/>
  <c r="N117" i="15"/>
  <c r="M117" i="15"/>
  <c r="L117" i="15"/>
  <c r="K117" i="15"/>
  <c r="J117" i="15"/>
  <c r="I117" i="15"/>
  <c r="H117" i="15"/>
  <c r="G117" i="15"/>
  <c r="F117" i="15"/>
  <c r="R115" i="15"/>
  <c r="Q115" i="15"/>
  <c r="P115" i="15"/>
  <c r="O115" i="15"/>
  <c r="N115" i="15"/>
  <c r="M115" i="15"/>
  <c r="L115" i="15"/>
  <c r="K115" i="15"/>
  <c r="J115" i="15"/>
  <c r="I115" i="15"/>
  <c r="H115" i="15"/>
  <c r="G115" i="15"/>
  <c r="F115" i="15"/>
  <c r="R114" i="15"/>
  <c r="Q114" i="15"/>
  <c r="P114" i="15"/>
  <c r="O114" i="15"/>
  <c r="N114" i="15"/>
  <c r="M114" i="15"/>
  <c r="L114" i="15"/>
  <c r="K114" i="15"/>
  <c r="J114" i="15"/>
  <c r="I114" i="15"/>
  <c r="H114" i="15"/>
  <c r="G114" i="15"/>
  <c r="F114" i="15"/>
  <c r="R112" i="15"/>
  <c r="Q112" i="15"/>
  <c r="P112" i="15"/>
  <c r="O112" i="15"/>
  <c r="N112" i="15"/>
  <c r="M112" i="15"/>
  <c r="L112" i="15"/>
  <c r="K112" i="15"/>
  <c r="J112" i="15"/>
  <c r="I112" i="15"/>
  <c r="H112" i="15"/>
  <c r="G112" i="15"/>
  <c r="F112" i="15"/>
  <c r="R111" i="15"/>
  <c r="Q111" i="15"/>
  <c r="P111" i="15"/>
  <c r="O111" i="15"/>
  <c r="N111" i="15"/>
  <c r="M111" i="15"/>
  <c r="L111" i="15"/>
  <c r="K111" i="15"/>
  <c r="J111" i="15"/>
  <c r="I111" i="15"/>
  <c r="H111" i="15"/>
  <c r="G111" i="15"/>
  <c r="F111" i="15"/>
  <c r="R109" i="15"/>
  <c r="Q109" i="15"/>
  <c r="P109" i="15"/>
  <c r="O109" i="15"/>
  <c r="N109" i="15"/>
  <c r="M109" i="15"/>
  <c r="L109" i="15"/>
  <c r="K109" i="15"/>
  <c r="J109" i="15"/>
  <c r="I109" i="15"/>
  <c r="H109" i="15"/>
  <c r="G109" i="15"/>
  <c r="F109" i="15"/>
  <c r="R108" i="15"/>
  <c r="Q108" i="15"/>
  <c r="P108" i="15"/>
  <c r="O108" i="15"/>
  <c r="N108" i="15"/>
  <c r="M108" i="15"/>
  <c r="L108" i="15"/>
  <c r="K108" i="15"/>
  <c r="J108" i="15"/>
  <c r="I108" i="15"/>
  <c r="H108" i="15"/>
  <c r="G108" i="15"/>
  <c r="F108" i="15"/>
  <c r="R106" i="15"/>
  <c r="Q106" i="15"/>
  <c r="P106" i="15"/>
  <c r="O106" i="15"/>
  <c r="N106" i="15"/>
  <c r="M106" i="15"/>
  <c r="L106" i="15"/>
  <c r="K106" i="15"/>
  <c r="J106" i="15"/>
  <c r="I106" i="15"/>
  <c r="H106" i="15"/>
  <c r="G106" i="15"/>
  <c r="F106" i="15"/>
  <c r="R105" i="15"/>
  <c r="Q105" i="15"/>
  <c r="P105" i="15"/>
  <c r="O105" i="15"/>
  <c r="N105" i="15"/>
  <c r="M105" i="15"/>
  <c r="L105" i="15"/>
  <c r="K105" i="15"/>
  <c r="J105" i="15"/>
  <c r="I105" i="15"/>
  <c r="H105" i="15"/>
  <c r="G105" i="15"/>
  <c r="F105" i="15"/>
  <c r="R103" i="15"/>
  <c r="Q103" i="15"/>
  <c r="P103" i="15"/>
  <c r="O103" i="15"/>
  <c r="N103" i="15"/>
  <c r="M103" i="15"/>
  <c r="L103" i="15"/>
  <c r="K103" i="15"/>
  <c r="J103" i="15"/>
  <c r="I103" i="15"/>
  <c r="H103" i="15"/>
  <c r="G103" i="15"/>
  <c r="F103" i="15"/>
  <c r="R102" i="15"/>
  <c r="Q102" i="15"/>
  <c r="P102" i="15"/>
  <c r="O102" i="15"/>
  <c r="N102" i="15"/>
  <c r="M102" i="15"/>
  <c r="L102" i="15"/>
  <c r="K102" i="15"/>
  <c r="J102" i="15"/>
  <c r="I102" i="15"/>
  <c r="H102" i="15"/>
  <c r="G102" i="15"/>
  <c r="F102" i="15"/>
  <c r="R100" i="15"/>
  <c r="Q100" i="15"/>
  <c r="P100" i="15"/>
  <c r="O100" i="15"/>
  <c r="N100" i="15"/>
  <c r="M100" i="15"/>
  <c r="L100" i="15"/>
  <c r="K100" i="15"/>
  <c r="J100" i="15"/>
  <c r="I100" i="15"/>
  <c r="H100" i="15"/>
  <c r="G100" i="15"/>
  <c r="F100" i="15"/>
  <c r="R99" i="15"/>
  <c r="Q99" i="15"/>
  <c r="P99" i="15"/>
  <c r="O99" i="15"/>
  <c r="N99" i="15"/>
  <c r="M99" i="15"/>
  <c r="L99" i="15"/>
  <c r="K99" i="15"/>
  <c r="J99" i="15"/>
  <c r="I99" i="15"/>
  <c r="H99" i="15"/>
  <c r="G99" i="15"/>
  <c r="F99" i="15"/>
  <c r="R97" i="15"/>
  <c r="Q97" i="15"/>
  <c r="P97" i="15"/>
  <c r="O97" i="15"/>
  <c r="N97" i="15"/>
  <c r="M97" i="15"/>
  <c r="L97" i="15"/>
  <c r="K97" i="15"/>
  <c r="J97" i="15"/>
  <c r="I97" i="15"/>
  <c r="H97" i="15"/>
  <c r="G97" i="15"/>
  <c r="F97" i="15"/>
  <c r="R96" i="15"/>
  <c r="Q96" i="15"/>
  <c r="P96" i="15"/>
  <c r="O96" i="15"/>
  <c r="N96" i="15"/>
  <c r="M96" i="15"/>
  <c r="L96" i="15"/>
  <c r="K96" i="15"/>
  <c r="J96" i="15"/>
  <c r="I96" i="15"/>
  <c r="H96" i="15"/>
  <c r="G96" i="15"/>
  <c r="F96" i="15"/>
  <c r="R94" i="15"/>
  <c r="Q94" i="15"/>
  <c r="P94" i="15"/>
  <c r="O94" i="15"/>
  <c r="N94" i="15"/>
  <c r="M94" i="15"/>
  <c r="L94" i="15"/>
  <c r="K94" i="15"/>
  <c r="J94" i="15"/>
  <c r="I94" i="15"/>
  <c r="H94" i="15"/>
  <c r="G94" i="15"/>
  <c r="F94" i="15"/>
  <c r="R93" i="15"/>
  <c r="Q93" i="15"/>
  <c r="P93" i="15"/>
  <c r="O93" i="15"/>
  <c r="N93" i="15"/>
  <c r="M93" i="15"/>
  <c r="L93" i="15"/>
  <c r="K93" i="15"/>
  <c r="J93" i="15"/>
  <c r="I93" i="15"/>
  <c r="H93" i="15"/>
  <c r="G93" i="15"/>
  <c r="F93" i="15"/>
  <c r="R91" i="15"/>
  <c r="Q91" i="15"/>
  <c r="P91" i="15"/>
  <c r="O91" i="15"/>
  <c r="N91" i="15"/>
  <c r="M91" i="15"/>
  <c r="L91" i="15"/>
  <c r="K91" i="15"/>
  <c r="J91" i="15"/>
  <c r="I91" i="15"/>
  <c r="H91" i="15"/>
  <c r="G91" i="15"/>
  <c r="F91" i="15"/>
  <c r="R90" i="15"/>
  <c r="Q90" i="15"/>
  <c r="P90" i="15"/>
  <c r="O90" i="15"/>
  <c r="N90" i="15"/>
  <c r="M90" i="15"/>
  <c r="L90" i="15"/>
  <c r="K90" i="15"/>
  <c r="J90" i="15"/>
  <c r="I90" i="15"/>
  <c r="H90" i="15"/>
  <c r="G90" i="15"/>
  <c r="F90" i="15"/>
  <c r="R88" i="15"/>
  <c r="Q88" i="15"/>
  <c r="P88" i="15"/>
  <c r="O88" i="15"/>
  <c r="N88" i="15"/>
  <c r="M88" i="15"/>
  <c r="L88" i="15"/>
  <c r="K88" i="15"/>
  <c r="J88" i="15"/>
  <c r="I88" i="15"/>
  <c r="H88" i="15"/>
  <c r="G88" i="15"/>
  <c r="F88" i="15"/>
  <c r="R87" i="15"/>
  <c r="Q87" i="15"/>
  <c r="P87" i="15"/>
  <c r="O87" i="15"/>
  <c r="N87" i="15"/>
  <c r="M87" i="15"/>
  <c r="L87" i="15"/>
  <c r="K87" i="15"/>
  <c r="J87" i="15"/>
  <c r="I87" i="15"/>
  <c r="H87" i="15"/>
  <c r="G87" i="15"/>
  <c r="F87" i="15"/>
  <c r="R85" i="15"/>
  <c r="Q85" i="15"/>
  <c r="P85" i="15"/>
  <c r="O85" i="15"/>
  <c r="N85" i="15"/>
  <c r="M85" i="15"/>
  <c r="L85" i="15"/>
  <c r="K85" i="15"/>
  <c r="J85" i="15"/>
  <c r="I85" i="15"/>
  <c r="H85" i="15"/>
  <c r="G85" i="15"/>
  <c r="F85" i="15"/>
  <c r="R84" i="15"/>
  <c r="Q84" i="15"/>
  <c r="P84" i="15"/>
  <c r="O84" i="15"/>
  <c r="N84" i="15"/>
  <c r="M84" i="15"/>
  <c r="L84" i="15"/>
  <c r="K84" i="15"/>
  <c r="J84" i="15"/>
  <c r="I84" i="15"/>
  <c r="H84" i="15"/>
  <c r="G84" i="15"/>
  <c r="F84" i="15"/>
  <c r="R82" i="15"/>
  <c r="Q82" i="15"/>
  <c r="P82" i="15"/>
  <c r="O82" i="15"/>
  <c r="N82" i="15"/>
  <c r="M82" i="15"/>
  <c r="L82" i="15"/>
  <c r="K82" i="15"/>
  <c r="J82" i="15"/>
  <c r="I82" i="15"/>
  <c r="H82" i="15"/>
  <c r="G82" i="15"/>
  <c r="F82" i="15"/>
  <c r="R81" i="15"/>
  <c r="Q81" i="15"/>
  <c r="P81" i="15"/>
  <c r="O81" i="15"/>
  <c r="N81" i="15"/>
  <c r="M81" i="15"/>
  <c r="L81" i="15"/>
  <c r="K81" i="15"/>
  <c r="J81" i="15"/>
  <c r="I81" i="15"/>
  <c r="H81" i="15"/>
  <c r="G81" i="15"/>
  <c r="F81" i="15"/>
  <c r="R79" i="15"/>
  <c r="Q79" i="15"/>
  <c r="P79" i="15"/>
  <c r="O79" i="15"/>
  <c r="N79" i="15"/>
  <c r="M79" i="15"/>
  <c r="L79" i="15"/>
  <c r="K79" i="15"/>
  <c r="J79" i="15"/>
  <c r="I79" i="15"/>
  <c r="H79" i="15"/>
  <c r="G79" i="15"/>
  <c r="F79" i="15"/>
  <c r="R78" i="15"/>
  <c r="Q78" i="15"/>
  <c r="P78" i="15"/>
  <c r="O78" i="15"/>
  <c r="N78" i="15"/>
  <c r="M78" i="15"/>
  <c r="L78" i="15"/>
  <c r="K78" i="15"/>
  <c r="J78" i="15"/>
  <c r="I78" i="15"/>
  <c r="H78" i="15"/>
  <c r="G78" i="15"/>
  <c r="F78" i="15"/>
  <c r="R76" i="15"/>
  <c r="Q76" i="15"/>
  <c r="P76" i="15"/>
  <c r="O76" i="15"/>
  <c r="N76" i="15"/>
  <c r="M76" i="15"/>
  <c r="L76" i="15"/>
  <c r="K76" i="15"/>
  <c r="J76" i="15"/>
  <c r="I76" i="15"/>
  <c r="H76" i="15"/>
  <c r="G76" i="15"/>
  <c r="F76" i="15"/>
  <c r="R75" i="15"/>
  <c r="Q75" i="15"/>
  <c r="P75" i="15"/>
  <c r="O75" i="15"/>
  <c r="N75" i="15"/>
  <c r="M75" i="15"/>
  <c r="L75" i="15"/>
  <c r="K75" i="15"/>
  <c r="J75" i="15"/>
  <c r="I75" i="15"/>
  <c r="H75" i="15"/>
  <c r="G75" i="15"/>
  <c r="F75" i="15"/>
  <c r="R73" i="15"/>
  <c r="Q73" i="15"/>
  <c r="P73" i="15"/>
  <c r="O73" i="15"/>
  <c r="N73" i="15"/>
  <c r="M73" i="15"/>
  <c r="L73" i="15"/>
  <c r="K73" i="15"/>
  <c r="J73" i="15"/>
  <c r="I73" i="15"/>
  <c r="H73" i="15"/>
  <c r="G73" i="15"/>
  <c r="F73" i="15"/>
  <c r="R72" i="15"/>
  <c r="Q72" i="15"/>
  <c r="P72" i="15"/>
  <c r="O72" i="15"/>
  <c r="N72" i="15"/>
  <c r="M72" i="15"/>
  <c r="L72" i="15"/>
  <c r="K72" i="15"/>
  <c r="J72" i="15"/>
  <c r="I72" i="15"/>
  <c r="H72" i="15"/>
  <c r="G72" i="15"/>
  <c r="F72" i="15"/>
  <c r="R70" i="15"/>
  <c r="Q70" i="15"/>
  <c r="P70" i="15"/>
  <c r="O70" i="15"/>
  <c r="N70" i="15"/>
  <c r="M70" i="15"/>
  <c r="L70" i="15"/>
  <c r="K70" i="15"/>
  <c r="J70" i="15"/>
  <c r="I70" i="15"/>
  <c r="H70" i="15"/>
  <c r="G70" i="15"/>
  <c r="F70" i="15"/>
  <c r="R69" i="15"/>
  <c r="Q69" i="15"/>
  <c r="P69" i="15"/>
  <c r="O69" i="15"/>
  <c r="N69" i="15"/>
  <c r="M69" i="15"/>
  <c r="L69" i="15"/>
  <c r="K69" i="15"/>
  <c r="J69" i="15"/>
  <c r="I69" i="15"/>
  <c r="H69" i="15"/>
  <c r="G69" i="15"/>
  <c r="F69" i="15"/>
  <c r="R67" i="15"/>
  <c r="Q67" i="15"/>
  <c r="P67" i="15"/>
  <c r="O67" i="15"/>
  <c r="N67" i="15"/>
  <c r="M67" i="15"/>
  <c r="L67" i="15"/>
  <c r="K67" i="15"/>
  <c r="J67" i="15"/>
  <c r="I67" i="15"/>
  <c r="H67" i="15"/>
  <c r="G67" i="15"/>
  <c r="F67" i="15"/>
  <c r="R66" i="15"/>
  <c r="Q66" i="15"/>
  <c r="P66" i="15"/>
  <c r="O66" i="15"/>
  <c r="N66" i="15"/>
  <c r="M66" i="15"/>
  <c r="L66" i="15"/>
  <c r="K66" i="15"/>
  <c r="J66" i="15"/>
  <c r="I66" i="15"/>
  <c r="H66" i="15"/>
  <c r="G66" i="15"/>
  <c r="F66" i="15"/>
  <c r="R64" i="15"/>
  <c r="Q64" i="15"/>
  <c r="P64" i="15"/>
  <c r="O64" i="15"/>
  <c r="N64" i="15"/>
  <c r="M64" i="15"/>
  <c r="L64" i="15"/>
  <c r="K64" i="15"/>
  <c r="J64" i="15"/>
  <c r="I64" i="15"/>
  <c r="H64" i="15"/>
  <c r="G64" i="15"/>
  <c r="F64" i="15"/>
  <c r="R63" i="15"/>
  <c r="Q63" i="15"/>
  <c r="P63" i="15"/>
  <c r="O63" i="15"/>
  <c r="N63" i="15"/>
  <c r="M63" i="15"/>
  <c r="L63" i="15"/>
  <c r="J63" i="15"/>
  <c r="I63" i="15"/>
  <c r="H63" i="15"/>
  <c r="G63" i="15"/>
  <c r="F63" i="15"/>
  <c r="R61" i="15"/>
  <c r="Q61" i="15"/>
  <c r="P61" i="15"/>
  <c r="O61" i="15"/>
  <c r="N61" i="15"/>
  <c r="M61" i="15"/>
  <c r="L61" i="15"/>
  <c r="K61" i="15"/>
  <c r="J61" i="15"/>
  <c r="I61" i="15"/>
  <c r="H61" i="15"/>
  <c r="G61" i="15"/>
  <c r="F61" i="15"/>
  <c r="R60" i="15"/>
  <c r="Q60" i="15"/>
  <c r="P60" i="15"/>
  <c r="O60" i="15"/>
  <c r="N60" i="15"/>
  <c r="M60" i="15"/>
  <c r="L60" i="15"/>
  <c r="K60" i="15"/>
  <c r="J60" i="15"/>
  <c r="I60" i="15"/>
  <c r="H60" i="15"/>
  <c r="G60" i="15"/>
  <c r="F60" i="15"/>
  <c r="R58" i="15"/>
  <c r="Q58" i="15"/>
  <c r="P58" i="15"/>
  <c r="O58" i="15"/>
  <c r="N58" i="15"/>
  <c r="M58" i="15"/>
  <c r="L58" i="15"/>
  <c r="K58" i="15"/>
  <c r="J58" i="15"/>
  <c r="I58" i="15"/>
  <c r="H58" i="15"/>
  <c r="G58" i="15"/>
  <c r="F58" i="15"/>
  <c r="R57" i="15"/>
  <c r="Q57" i="15"/>
  <c r="P57" i="15"/>
  <c r="O57" i="15"/>
  <c r="N57" i="15"/>
  <c r="M57" i="15"/>
  <c r="L57" i="15"/>
  <c r="K57" i="15"/>
  <c r="J57" i="15"/>
  <c r="I57" i="15"/>
  <c r="H57" i="15"/>
  <c r="G57" i="15"/>
  <c r="F57" i="15"/>
  <c r="R55" i="15"/>
  <c r="Q55" i="15"/>
  <c r="P55" i="15"/>
  <c r="O55" i="15"/>
  <c r="N55" i="15"/>
  <c r="M55" i="15"/>
  <c r="L55" i="15"/>
  <c r="K55" i="15"/>
  <c r="J55" i="15"/>
  <c r="I55" i="15"/>
  <c r="H55" i="15"/>
  <c r="G55" i="15"/>
  <c r="F55" i="15"/>
  <c r="R54" i="15"/>
  <c r="Q54" i="15"/>
  <c r="P54" i="15"/>
  <c r="O54" i="15"/>
  <c r="N54" i="15"/>
  <c r="M54" i="15"/>
  <c r="L54" i="15"/>
  <c r="K54" i="15"/>
  <c r="J54" i="15"/>
  <c r="I54" i="15"/>
  <c r="H54" i="15"/>
  <c r="G54" i="15"/>
  <c r="F54" i="15"/>
  <c r="R52" i="15"/>
  <c r="Q52" i="15"/>
  <c r="P52" i="15"/>
  <c r="O52" i="15"/>
  <c r="N52" i="15"/>
  <c r="M52" i="15"/>
  <c r="L52" i="15"/>
  <c r="K52" i="15"/>
  <c r="J52" i="15"/>
  <c r="I52" i="15"/>
  <c r="H52" i="15"/>
  <c r="G52" i="15"/>
  <c r="F52" i="15"/>
  <c r="R51" i="15"/>
  <c r="Q51" i="15"/>
  <c r="P51" i="15"/>
  <c r="O51" i="15"/>
  <c r="N51" i="15"/>
  <c r="M51" i="15"/>
  <c r="L51" i="15"/>
  <c r="K51" i="15"/>
  <c r="J51" i="15"/>
  <c r="I51" i="15"/>
  <c r="H51" i="15"/>
  <c r="G51" i="15"/>
  <c r="F51" i="15"/>
  <c r="R49" i="15"/>
  <c r="Q49" i="15"/>
  <c r="P49" i="15"/>
  <c r="O49" i="15"/>
  <c r="N49" i="15"/>
  <c r="M49" i="15"/>
  <c r="L49" i="15"/>
  <c r="K49" i="15"/>
  <c r="J49" i="15"/>
  <c r="H49" i="15"/>
  <c r="G49" i="15"/>
  <c r="F49" i="15"/>
  <c r="R48" i="15"/>
  <c r="Q48" i="15"/>
  <c r="P48" i="15"/>
  <c r="O48" i="15"/>
  <c r="N48" i="15"/>
  <c r="M48" i="15"/>
  <c r="L48" i="15"/>
  <c r="K48" i="15"/>
  <c r="J48" i="15"/>
  <c r="I48" i="15"/>
  <c r="H48" i="15"/>
  <c r="G48" i="15"/>
  <c r="F48" i="15"/>
  <c r="R43" i="15"/>
  <c r="Q43" i="15"/>
  <c r="P43" i="15"/>
  <c r="O43" i="15"/>
  <c r="N43" i="15"/>
  <c r="M43" i="15"/>
  <c r="L43" i="15"/>
  <c r="K43" i="15"/>
  <c r="J43" i="15"/>
  <c r="I43" i="15"/>
  <c r="H43" i="15"/>
  <c r="G43" i="15"/>
  <c r="F43" i="15"/>
  <c r="R42" i="15"/>
  <c r="Q42" i="15"/>
  <c r="P42" i="15"/>
  <c r="O42" i="15"/>
  <c r="N42" i="15"/>
  <c r="M42" i="15"/>
  <c r="L42" i="15"/>
  <c r="K42" i="15"/>
  <c r="J42" i="15"/>
  <c r="I42" i="15"/>
  <c r="H42" i="15"/>
  <c r="G42" i="15"/>
  <c r="F42" i="15"/>
  <c r="R40" i="15"/>
  <c r="Q40" i="15"/>
  <c r="P40" i="15"/>
  <c r="O40" i="15"/>
  <c r="N40" i="15"/>
  <c r="M40" i="15"/>
  <c r="L40" i="15"/>
  <c r="K40" i="15"/>
  <c r="J40" i="15"/>
  <c r="I40" i="15"/>
  <c r="H40" i="15"/>
  <c r="G40" i="15"/>
  <c r="F40" i="15"/>
  <c r="R39" i="15"/>
  <c r="Q39" i="15"/>
  <c r="P39" i="15"/>
  <c r="O39" i="15"/>
  <c r="N39" i="15"/>
  <c r="M39" i="15"/>
  <c r="L39" i="15"/>
  <c r="K39" i="15"/>
  <c r="J39" i="15"/>
  <c r="I39" i="15"/>
  <c r="H39" i="15"/>
  <c r="G39" i="15"/>
  <c r="F39" i="15"/>
  <c r="R37" i="15"/>
  <c r="Q37" i="15"/>
  <c r="P37" i="15"/>
  <c r="O37" i="15"/>
  <c r="N37" i="15"/>
  <c r="M37" i="15"/>
  <c r="L37" i="15"/>
  <c r="K37" i="15"/>
  <c r="J37" i="15"/>
  <c r="I37" i="15"/>
  <c r="H37" i="15"/>
  <c r="G37" i="15"/>
  <c r="F37" i="15"/>
  <c r="R36" i="15"/>
  <c r="P36" i="15"/>
  <c r="O36" i="15"/>
  <c r="N36" i="15"/>
  <c r="M36" i="15"/>
  <c r="L36" i="15"/>
  <c r="L38" i="15" s="1"/>
  <c r="K36" i="15"/>
  <c r="J36" i="15"/>
  <c r="J38" i="15" s="1"/>
  <c r="I36" i="15"/>
  <c r="H36" i="15"/>
  <c r="G36" i="15"/>
  <c r="F36" i="15"/>
  <c r="S34" i="15"/>
  <c r="R34" i="15"/>
  <c r="Q34" i="15"/>
  <c r="P34" i="15"/>
  <c r="O34" i="15"/>
  <c r="N34" i="15"/>
  <c r="M34" i="15"/>
  <c r="L34" i="15"/>
  <c r="K34" i="15"/>
  <c r="J34" i="15"/>
  <c r="I34" i="15"/>
  <c r="H34" i="15"/>
  <c r="G34" i="15"/>
  <c r="F34" i="15"/>
  <c r="R33" i="15"/>
  <c r="Q33" i="15"/>
  <c r="P33" i="15"/>
  <c r="O33" i="15"/>
  <c r="N33" i="15"/>
  <c r="M33" i="15"/>
  <c r="L33" i="15"/>
  <c r="K33" i="15"/>
  <c r="J33" i="15"/>
  <c r="I33" i="15"/>
  <c r="H33" i="15"/>
  <c r="G33" i="15"/>
  <c r="F33" i="15"/>
  <c r="R31" i="15"/>
  <c r="Q31" i="15"/>
  <c r="P31" i="15"/>
  <c r="O31" i="15"/>
  <c r="N31" i="15"/>
  <c r="M31" i="15"/>
  <c r="L31" i="15"/>
  <c r="K31" i="15"/>
  <c r="J31" i="15"/>
  <c r="I31" i="15"/>
  <c r="H31" i="15"/>
  <c r="G31" i="15"/>
  <c r="F31" i="15"/>
  <c r="R30" i="15"/>
  <c r="P30" i="15"/>
  <c r="P32" i="15" s="1"/>
  <c r="O30" i="15"/>
  <c r="N30" i="15"/>
  <c r="N32" i="15" s="1"/>
  <c r="M30" i="15"/>
  <c r="L30" i="15"/>
  <c r="K30" i="15"/>
  <c r="J30" i="15"/>
  <c r="I30" i="15"/>
  <c r="H30" i="15"/>
  <c r="H32" i="15" s="1"/>
  <c r="G30" i="15"/>
  <c r="F30" i="15"/>
  <c r="F32" i="15" s="1"/>
  <c r="R28" i="15"/>
  <c r="Q28" i="15"/>
  <c r="P28" i="15"/>
  <c r="O28" i="15"/>
  <c r="N28" i="15"/>
  <c r="M28" i="15"/>
  <c r="L28" i="15"/>
  <c r="K28" i="15"/>
  <c r="J28" i="15"/>
  <c r="I28" i="15"/>
  <c r="H28" i="15"/>
  <c r="G28" i="15"/>
  <c r="F28" i="15"/>
  <c r="R27" i="15"/>
  <c r="P27" i="15"/>
  <c r="O27" i="15"/>
  <c r="O29" i="15" s="1"/>
  <c r="N27" i="15"/>
  <c r="M27" i="15"/>
  <c r="L27" i="15"/>
  <c r="K27" i="15"/>
  <c r="J27" i="15"/>
  <c r="I27" i="15"/>
  <c r="I29" i="15" s="1"/>
  <c r="H27" i="15"/>
  <c r="G27" i="15"/>
  <c r="G29" i="15" s="1"/>
  <c r="F27" i="15"/>
  <c r="R25" i="15"/>
  <c r="Q25" i="15"/>
  <c r="P25" i="15"/>
  <c r="O25" i="15"/>
  <c r="N25" i="15"/>
  <c r="M25" i="15"/>
  <c r="L25" i="15"/>
  <c r="K25" i="15"/>
  <c r="J25" i="15"/>
  <c r="I25" i="15"/>
  <c r="H25" i="15"/>
  <c r="G25" i="15"/>
  <c r="F25" i="15"/>
  <c r="R24" i="15"/>
  <c r="Q24" i="15"/>
  <c r="P24" i="15"/>
  <c r="O24" i="15"/>
  <c r="N24" i="15"/>
  <c r="M24" i="15"/>
  <c r="L24" i="15"/>
  <c r="K24" i="15"/>
  <c r="J24" i="15"/>
  <c r="I24" i="15"/>
  <c r="H24" i="15"/>
  <c r="G24" i="15"/>
  <c r="F24" i="15"/>
  <c r="R22" i="15"/>
  <c r="Q22" i="15"/>
  <c r="P22" i="15"/>
  <c r="O22" i="15"/>
  <c r="N22" i="15"/>
  <c r="M22" i="15"/>
  <c r="L22" i="15"/>
  <c r="K22" i="15"/>
  <c r="J22" i="15"/>
  <c r="I22" i="15"/>
  <c r="H22" i="15"/>
  <c r="G22" i="15"/>
  <c r="F22" i="15"/>
  <c r="R21" i="15"/>
  <c r="Q21" i="15"/>
  <c r="P21" i="15"/>
  <c r="O21" i="15"/>
  <c r="N21" i="15"/>
  <c r="M21" i="15"/>
  <c r="L21" i="15"/>
  <c r="K21" i="15"/>
  <c r="J21" i="15"/>
  <c r="I21" i="15"/>
  <c r="H21" i="15"/>
  <c r="G21" i="15"/>
  <c r="F21" i="15"/>
  <c r="R19" i="15"/>
  <c r="Q19" i="15"/>
  <c r="P19" i="15"/>
  <c r="O19" i="15"/>
  <c r="N19" i="15"/>
  <c r="M19" i="15"/>
  <c r="L19" i="15"/>
  <c r="K19" i="15"/>
  <c r="J19" i="15"/>
  <c r="I19" i="15"/>
  <c r="H19" i="15"/>
  <c r="G19" i="15"/>
  <c r="F19" i="15"/>
  <c r="R18" i="15"/>
  <c r="Q18" i="15"/>
  <c r="P18" i="15"/>
  <c r="O18" i="15"/>
  <c r="N18" i="15"/>
  <c r="M18" i="15"/>
  <c r="L18" i="15"/>
  <c r="K18" i="15"/>
  <c r="J18" i="15"/>
  <c r="I18" i="15"/>
  <c r="H18" i="15"/>
  <c r="G18" i="15"/>
  <c r="F18" i="15"/>
  <c r="S16" i="15"/>
  <c r="R16" i="15"/>
  <c r="Q16" i="15"/>
  <c r="P16" i="15"/>
  <c r="O16" i="15"/>
  <c r="N16" i="15"/>
  <c r="M16" i="15"/>
  <c r="L16" i="15"/>
  <c r="K16" i="15"/>
  <c r="J16" i="15"/>
  <c r="I16" i="15"/>
  <c r="H16" i="15"/>
  <c r="G16" i="15"/>
  <c r="F16" i="15"/>
  <c r="R15" i="15"/>
  <c r="Q15" i="15"/>
  <c r="P15" i="15"/>
  <c r="O15" i="15"/>
  <c r="N15" i="15"/>
  <c r="M15" i="15"/>
  <c r="L15" i="15"/>
  <c r="K15" i="15"/>
  <c r="J15" i="15"/>
  <c r="I15" i="15"/>
  <c r="H15" i="15"/>
  <c r="G15" i="15"/>
  <c r="F15" i="15"/>
  <c r="R13" i="15"/>
  <c r="Q13" i="15"/>
  <c r="P13" i="15"/>
  <c r="O13" i="15"/>
  <c r="N13" i="15"/>
  <c r="M13" i="15"/>
  <c r="L13" i="15"/>
  <c r="K13" i="15"/>
  <c r="J13" i="15"/>
  <c r="I13" i="15"/>
  <c r="H13" i="15"/>
  <c r="G13" i="15"/>
  <c r="F13" i="15"/>
  <c r="R12" i="15"/>
  <c r="Q12" i="15"/>
  <c r="P12" i="15"/>
  <c r="O12" i="15"/>
  <c r="N12" i="15"/>
  <c r="M12" i="15"/>
  <c r="L12" i="15"/>
  <c r="K12" i="15"/>
  <c r="J12" i="15"/>
  <c r="I12" i="15"/>
  <c r="H12" i="15"/>
  <c r="G12" i="15"/>
  <c r="F12" i="15"/>
  <c r="S10" i="15"/>
  <c r="R10" i="15"/>
  <c r="Q10" i="15"/>
  <c r="O10" i="15"/>
  <c r="N10" i="15"/>
  <c r="M10" i="15"/>
  <c r="L10" i="15"/>
  <c r="K10" i="15"/>
  <c r="J10" i="15"/>
  <c r="I10" i="15"/>
  <c r="H10" i="15"/>
  <c r="G10" i="15"/>
  <c r="F10" i="15"/>
  <c r="R9" i="15"/>
  <c r="P9" i="15"/>
  <c r="P11" i="15" s="1"/>
  <c r="O9" i="15"/>
  <c r="N9" i="15"/>
  <c r="N11" i="15" s="1"/>
  <c r="M9" i="15"/>
  <c r="L9" i="15"/>
  <c r="K9" i="15"/>
  <c r="J9" i="15"/>
  <c r="J11" i="15" s="1"/>
  <c r="I9" i="15"/>
  <c r="H9" i="15"/>
  <c r="H11" i="15" s="1"/>
  <c r="G9" i="15"/>
  <c r="F9" i="15"/>
  <c r="F11" i="15" s="1"/>
  <c r="R7" i="15"/>
  <c r="Q7" i="15"/>
  <c r="P7" i="15"/>
  <c r="O7" i="15"/>
  <c r="N7" i="15"/>
  <c r="M7" i="15"/>
  <c r="L7" i="15"/>
  <c r="K7" i="15"/>
  <c r="J7" i="15"/>
  <c r="I7" i="15"/>
  <c r="H7" i="15"/>
  <c r="G7" i="15"/>
  <c r="F7" i="15"/>
  <c r="R6" i="15"/>
  <c r="Q6" i="15"/>
  <c r="P6" i="15"/>
  <c r="O6" i="15"/>
  <c r="N6" i="15"/>
  <c r="M6" i="15"/>
  <c r="L6" i="15"/>
  <c r="K6" i="15"/>
  <c r="J6" i="15"/>
  <c r="I6" i="15"/>
  <c r="H6" i="15"/>
  <c r="G6" i="15"/>
  <c r="F6" i="15"/>
  <c r="Q81" i="11"/>
  <c r="Q30" i="11"/>
  <c r="Q18" i="11"/>
  <c r="S111" i="11"/>
  <c r="S6" i="11"/>
  <c r="U151" i="11"/>
  <c r="T151" i="11"/>
  <c r="P151" i="11"/>
  <c r="O151" i="11"/>
  <c r="N151" i="11"/>
  <c r="M151" i="11"/>
  <c r="L151" i="11"/>
  <c r="K151" i="11"/>
  <c r="J151" i="11"/>
  <c r="I151" i="11"/>
  <c r="H151" i="11"/>
  <c r="G151" i="11"/>
  <c r="F151" i="11"/>
  <c r="U150" i="11"/>
  <c r="U152" i="11" s="1"/>
  <c r="T150" i="11"/>
  <c r="R150" i="11"/>
  <c r="Q150" i="11"/>
  <c r="P150" i="11"/>
  <c r="O150" i="11"/>
  <c r="N150" i="11"/>
  <c r="M150" i="11"/>
  <c r="L150" i="11"/>
  <c r="K150" i="11"/>
  <c r="J150" i="11"/>
  <c r="I150" i="11"/>
  <c r="H150" i="11"/>
  <c r="G150" i="11"/>
  <c r="F150" i="11"/>
  <c r="U148" i="11"/>
  <c r="T148" i="11"/>
  <c r="R148" i="11"/>
  <c r="Q148" i="11"/>
  <c r="P148" i="11"/>
  <c r="O148" i="11"/>
  <c r="N148" i="11"/>
  <c r="M148" i="11"/>
  <c r="L148" i="11"/>
  <c r="K148" i="11"/>
  <c r="J148" i="11"/>
  <c r="I148" i="11"/>
  <c r="H148" i="11"/>
  <c r="G148" i="11"/>
  <c r="F148" i="11"/>
  <c r="U147" i="11"/>
  <c r="U149" i="11" s="1"/>
  <c r="T147" i="11"/>
  <c r="R147" i="11"/>
  <c r="Q147" i="11"/>
  <c r="P147" i="11"/>
  <c r="O147" i="11"/>
  <c r="N147" i="11"/>
  <c r="M147" i="11"/>
  <c r="L147" i="11"/>
  <c r="K147" i="11"/>
  <c r="J147" i="11"/>
  <c r="I147" i="11"/>
  <c r="H147" i="11"/>
  <c r="G147" i="11"/>
  <c r="F147" i="11"/>
  <c r="U145" i="11"/>
  <c r="T145" i="11"/>
  <c r="R145" i="11"/>
  <c r="Q145" i="11"/>
  <c r="P145" i="11"/>
  <c r="O145" i="11"/>
  <c r="N145" i="11"/>
  <c r="M145" i="11"/>
  <c r="L145" i="11"/>
  <c r="K145" i="11"/>
  <c r="J145" i="11"/>
  <c r="I145" i="11"/>
  <c r="H145" i="11"/>
  <c r="G145" i="11"/>
  <c r="F145" i="11"/>
  <c r="U144" i="11"/>
  <c r="U146" i="11" s="1"/>
  <c r="T144" i="11"/>
  <c r="R144" i="11"/>
  <c r="Q144" i="11"/>
  <c r="P144" i="11"/>
  <c r="O144" i="11"/>
  <c r="N144" i="11"/>
  <c r="M144" i="11"/>
  <c r="L144" i="11"/>
  <c r="K144" i="11"/>
  <c r="J144" i="11"/>
  <c r="I144" i="11"/>
  <c r="H144" i="11"/>
  <c r="G144" i="11"/>
  <c r="F144" i="11"/>
  <c r="U142" i="11"/>
  <c r="T142" i="11"/>
  <c r="R142" i="11"/>
  <c r="Q142" i="11"/>
  <c r="P142" i="11"/>
  <c r="O142" i="11"/>
  <c r="N142" i="11"/>
  <c r="M142" i="11"/>
  <c r="L142" i="11"/>
  <c r="K142" i="11"/>
  <c r="J142" i="11"/>
  <c r="I142" i="11"/>
  <c r="H142" i="11"/>
  <c r="G142" i="11"/>
  <c r="F142" i="11"/>
  <c r="U141" i="11"/>
  <c r="U143" i="11" s="1"/>
  <c r="T141" i="11"/>
  <c r="R141" i="11"/>
  <c r="Q141" i="11"/>
  <c r="P141" i="11"/>
  <c r="O141" i="11"/>
  <c r="N141" i="11"/>
  <c r="M141" i="11"/>
  <c r="L141" i="11"/>
  <c r="K141" i="11"/>
  <c r="J141" i="11"/>
  <c r="I141" i="11"/>
  <c r="H141" i="11"/>
  <c r="G141" i="11"/>
  <c r="F141" i="11"/>
  <c r="U139" i="11"/>
  <c r="T139" i="11"/>
  <c r="R139" i="11"/>
  <c r="Q139" i="11"/>
  <c r="P139" i="11"/>
  <c r="O139" i="11"/>
  <c r="N139" i="11"/>
  <c r="M139" i="11"/>
  <c r="L139" i="11"/>
  <c r="K139" i="11"/>
  <c r="J139" i="11"/>
  <c r="I139" i="11"/>
  <c r="H139" i="11"/>
  <c r="G139" i="11"/>
  <c r="F139" i="11"/>
  <c r="U138" i="11"/>
  <c r="T138" i="11"/>
  <c r="R138" i="11"/>
  <c r="Q138" i="11"/>
  <c r="P138" i="11"/>
  <c r="O138" i="11"/>
  <c r="N138" i="11"/>
  <c r="M138" i="11"/>
  <c r="L138" i="11"/>
  <c r="K138" i="11"/>
  <c r="J138" i="11"/>
  <c r="I138" i="11"/>
  <c r="H138" i="11"/>
  <c r="G138" i="11"/>
  <c r="F138" i="11"/>
  <c r="U136" i="11"/>
  <c r="T136" i="11"/>
  <c r="R136" i="11"/>
  <c r="Q136" i="11"/>
  <c r="P136" i="11"/>
  <c r="O136" i="11"/>
  <c r="N136" i="11"/>
  <c r="M136" i="11"/>
  <c r="L136" i="11"/>
  <c r="K136" i="11"/>
  <c r="J136" i="11"/>
  <c r="I136" i="11"/>
  <c r="H136" i="11"/>
  <c r="G136" i="11"/>
  <c r="F136" i="11"/>
  <c r="U135" i="11"/>
  <c r="U137" i="11" s="1"/>
  <c r="T135" i="11"/>
  <c r="R135" i="11"/>
  <c r="Q135" i="11"/>
  <c r="P135" i="11"/>
  <c r="O135" i="11"/>
  <c r="N135" i="11"/>
  <c r="M135" i="11"/>
  <c r="L135" i="11"/>
  <c r="K135" i="11"/>
  <c r="J135" i="11"/>
  <c r="I135" i="11"/>
  <c r="H135" i="11"/>
  <c r="G135" i="11"/>
  <c r="F135" i="11"/>
  <c r="U133" i="11"/>
  <c r="T133" i="11"/>
  <c r="R133" i="11"/>
  <c r="Q133" i="11"/>
  <c r="P133" i="11"/>
  <c r="O133" i="11"/>
  <c r="N133" i="11"/>
  <c r="M133" i="11"/>
  <c r="L133" i="11"/>
  <c r="K133" i="11"/>
  <c r="J133" i="11"/>
  <c r="I133" i="11"/>
  <c r="H133" i="11"/>
  <c r="G133" i="11"/>
  <c r="F133" i="11"/>
  <c r="U132" i="11"/>
  <c r="U134" i="11" s="1"/>
  <c r="T132" i="11"/>
  <c r="R132" i="11"/>
  <c r="Q132" i="11"/>
  <c r="P132" i="11"/>
  <c r="O132" i="11"/>
  <c r="N132" i="11"/>
  <c r="M132" i="11"/>
  <c r="L132" i="11"/>
  <c r="K132" i="11"/>
  <c r="J132" i="11"/>
  <c r="I132" i="11"/>
  <c r="H132" i="11"/>
  <c r="G132" i="11"/>
  <c r="F132" i="11"/>
  <c r="U130" i="11"/>
  <c r="T130" i="11"/>
  <c r="R130" i="11"/>
  <c r="Q130" i="11"/>
  <c r="P130" i="11"/>
  <c r="O130" i="11"/>
  <c r="N130" i="11"/>
  <c r="M130" i="11"/>
  <c r="L130" i="11"/>
  <c r="K130" i="11"/>
  <c r="J130" i="11"/>
  <c r="I130" i="11"/>
  <c r="H130" i="11"/>
  <c r="G130" i="11"/>
  <c r="F130" i="11"/>
  <c r="U129" i="11"/>
  <c r="U131" i="11" s="1"/>
  <c r="T129" i="11"/>
  <c r="R129" i="11"/>
  <c r="Q129" i="11"/>
  <c r="P129" i="11"/>
  <c r="O129" i="11"/>
  <c r="N129" i="11"/>
  <c r="M129" i="11"/>
  <c r="L129" i="11"/>
  <c r="K129" i="11"/>
  <c r="J129" i="11"/>
  <c r="I129" i="11"/>
  <c r="H129" i="11"/>
  <c r="G129" i="11"/>
  <c r="F129" i="11"/>
  <c r="U127" i="11"/>
  <c r="T127" i="11"/>
  <c r="R127" i="11"/>
  <c r="Q127" i="11"/>
  <c r="P127" i="11"/>
  <c r="O127" i="11"/>
  <c r="N127" i="11"/>
  <c r="M127" i="11"/>
  <c r="L127" i="11"/>
  <c r="K127" i="11"/>
  <c r="J127" i="11"/>
  <c r="I127" i="11"/>
  <c r="H127" i="11"/>
  <c r="G127" i="11"/>
  <c r="F127" i="11"/>
  <c r="U126" i="11"/>
  <c r="T126" i="11"/>
  <c r="R126" i="11"/>
  <c r="Q126" i="11"/>
  <c r="P126" i="11"/>
  <c r="O126" i="11"/>
  <c r="N126" i="11"/>
  <c r="M126" i="11"/>
  <c r="L126" i="11"/>
  <c r="K126" i="11"/>
  <c r="J126" i="11"/>
  <c r="I126" i="11"/>
  <c r="H126" i="11"/>
  <c r="G126" i="11"/>
  <c r="F126" i="11"/>
  <c r="U124" i="11"/>
  <c r="T124" i="11"/>
  <c r="R124" i="11"/>
  <c r="Q124" i="11"/>
  <c r="P124" i="11"/>
  <c r="O124" i="11"/>
  <c r="N124" i="11"/>
  <c r="M124" i="11"/>
  <c r="L124" i="11"/>
  <c r="K124" i="11"/>
  <c r="J124" i="11"/>
  <c r="I124" i="11"/>
  <c r="H124" i="11"/>
  <c r="G124" i="11"/>
  <c r="F124" i="11"/>
  <c r="U123" i="11"/>
  <c r="U125" i="11" s="1"/>
  <c r="T123" i="11"/>
  <c r="R123" i="11"/>
  <c r="Q123" i="11"/>
  <c r="P123" i="11"/>
  <c r="O123" i="11"/>
  <c r="N123" i="11"/>
  <c r="M123" i="11"/>
  <c r="L123" i="11"/>
  <c r="K123" i="11"/>
  <c r="J123" i="11"/>
  <c r="I123" i="11"/>
  <c r="H123" i="11"/>
  <c r="G123" i="11"/>
  <c r="F123" i="11"/>
  <c r="U121" i="11"/>
  <c r="T121" i="11"/>
  <c r="Q121" i="11"/>
  <c r="P121" i="11"/>
  <c r="O121" i="11"/>
  <c r="N121" i="11"/>
  <c r="M121" i="11"/>
  <c r="L121" i="11"/>
  <c r="K121" i="11"/>
  <c r="J121" i="11"/>
  <c r="I121" i="11"/>
  <c r="H121" i="11"/>
  <c r="G121" i="11"/>
  <c r="F121" i="11"/>
  <c r="U120" i="11"/>
  <c r="T120" i="11"/>
  <c r="T122" i="11" s="1"/>
  <c r="R120" i="11"/>
  <c r="Q120" i="11"/>
  <c r="P120" i="11"/>
  <c r="O120" i="11"/>
  <c r="N120" i="11"/>
  <c r="M120" i="11"/>
  <c r="L120" i="11"/>
  <c r="K120" i="11"/>
  <c r="J120" i="11"/>
  <c r="I120" i="11"/>
  <c r="H120" i="11"/>
  <c r="G120" i="11"/>
  <c r="F120" i="11"/>
  <c r="U118" i="11"/>
  <c r="T118" i="11"/>
  <c r="R118" i="11"/>
  <c r="Q118" i="11"/>
  <c r="P118" i="11"/>
  <c r="O118" i="11"/>
  <c r="N118" i="11"/>
  <c r="M118" i="11"/>
  <c r="L118" i="11"/>
  <c r="K118" i="11"/>
  <c r="J118" i="11"/>
  <c r="I118" i="11"/>
  <c r="H118" i="11"/>
  <c r="G118" i="11"/>
  <c r="F118" i="11"/>
  <c r="U117" i="11"/>
  <c r="T117" i="11"/>
  <c r="T119" i="11" s="1"/>
  <c r="R117" i="11"/>
  <c r="Q117" i="11"/>
  <c r="P117" i="11"/>
  <c r="O117" i="11"/>
  <c r="N117" i="11"/>
  <c r="M117" i="11"/>
  <c r="L117" i="11"/>
  <c r="K117" i="11"/>
  <c r="J117" i="11"/>
  <c r="I117" i="11"/>
  <c r="H117" i="11"/>
  <c r="G117" i="11"/>
  <c r="F117" i="11"/>
  <c r="U115" i="11"/>
  <c r="T115" i="11"/>
  <c r="R115" i="11"/>
  <c r="Q115" i="11"/>
  <c r="P115" i="11"/>
  <c r="O115" i="11"/>
  <c r="N115" i="11"/>
  <c r="M115" i="11"/>
  <c r="L115" i="11"/>
  <c r="K115" i="11"/>
  <c r="J115" i="11"/>
  <c r="I115" i="11"/>
  <c r="H115" i="11"/>
  <c r="G115" i="11"/>
  <c r="F115" i="11"/>
  <c r="U114" i="11"/>
  <c r="T114" i="11"/>
  <c r="R114" i="11"/>
  <c r="Q114" i="11"/>
  <c r="P114" i="11"/>
  <c r="O114" i="11"/>
  <c r="N114" i="11"/>
  <c r="M114" i="11"/>
  <c r="L114" i="11"/>
  <c r="K114" i="11"/>
  <c r="J114" i="11"/>
  <c r="I114" i="11"/>
  <c r="H114" i="11"/>
  <c r="G114" i="11"/>
  <c r="F114" i="11"/>
  <c r="U112" i="11"/>
  <c r="T112" i="11"/>
  <c r="R112" i="11"/>
  <c r="Q112" i="11"/>
  <c r="P112" i="11"/>
  <c r="O112" i="11"/>
  <c r="N112" i="11"/>
  <c r="M112" i="11"/>
  <c r="L112" i="11"/>
  <c r="K112" i="11"/>
  <c r="J112" i="11"/>
  <c r="I112" i="11"/>
  <c r="H112" i="11"/>
  <c r="G112" i="11"/>
  <c r="F112" i="11"/>
  <c r="U111" i="11"/>
  <c r="T111" i="11"/>
  <c r="T113" i="11" s="1"/>
  <c r="R111" i="11"/>
  <c r="Q111" i="11"/>
  <c r="P111" i="11"/>
  <c r="O111" i="11"/>
  <c r="N111" i="11"/>
  <c r="M111" i="11"/>
  <c r="L111" i="11"/>
  <c r="K111" i="11"/>
  <c r="J111" i="11"/>
  <c r="I111" i="11"/>
  <c r="H111" i="11"/>
  <c r="G111" i="11"/>
  <c r="F111" i="11"/>
  <c r="U109" i="11"/>
  <c r="T109" i="11"/>
  <c r="R109" i="11"/>
  <c r="Q109" i="11"/>
  <c r="P109" i="11"/>
  <c r="O109" i="11"/>
  <c r="N109" i="11"/>
  <c r="M109" i="11"/>
  <c r="L109" i="11"/>
  <c r="K109" i="11"/>
  <c r="J109" i="11"/>
  <c r="I109" i="11"/>
  <c r="H109" i="11"/>
  <c r="G109" i="11"/>
  <c r="F109" i="11"/>
  <c r="U108" i="11"/>
  <c r="T108" i="11"/>
  <c r="T110" i="11" s="1"/>
  <c r="R108" i="11"/>
  <c r="Q108" i="11"/>
  <c r="P108" i="11"/>
  <c r="O108" i="11"/>
  <c r="N108" i="11"/>
  <c r="M108" i="11"/>
  <c r="L108" i="11"/>
  <c r="K108" i="11"/>
  <c r="J108" i="11"/>
  <c r="I108" i="11"/>
  <c r="H108" i="11"/>
  <c r="G108" i="11"/>
  <c r="F108" i="11"/>
  <c r="U106" i="11"/>
  <c r="T106" i="11"/>
  <c r="R106" i="11"/>
  <c r="Q106" i="11"/>
  <c r="P106" i="11"/>
  <c r="O106" i="11"/>
  <c r="N106" i="11"/>
  <c r="M106" i="11"/>
  <c r="L106" i="11"/>
  <c r="K106" i="11"/>
  <c r="J106" i="11"/>
  <c r="I106" i="11"/>
  <c r="H106" i="11"/>
  <c r="G106" i="11"/>
  <c r="F106" i="11"/>
  <c r="U105" i="11"/>
  <c r="T105" i="11"/>
  <c r="T107" i="11" s="1"/>
  <c r="R105" i="11"/>
  <c r="Q105" i="11"/>
  <c r="P105" i="11"/>
  <c r="O105" i="11"/>
  <c r="N105" i="11"/>
  <c r="M105" i="11"/>
  <c r="L105" i="11"/>
  <c r="K105" i="11"/>
  <c r="J105" i="11"/>
  <c r="I105" i="11"/>
  <c r="H105" i="11"/>
  <c r="G105" i="11"/>
  <c r="F105" i="11"/>
  <c r="U103" i="11"/>
  <c r="T103" i="11"/>
  <c r="R103" i="11"/>
  <c r="Q103" i="11"/>
  <c r="P103" i="11"/>
  <c r="O103" i="11"/>
  <c r="N103" i="11"/>
  <c r="M103" i="11"/>
  <c r="L103" i="11"/>
  <c r="K103" i="11"/>
  <c r="J103" i="11"/>
  <c r="I103" i="11"/>
  <c r="H103" i="11"/>
  <c r="G103" i="11"/>
  <c r="F103" i="11"/>
  <c r="U102" i="11"/>
  <c r="T102" i="11"/>
  <c r="R102" i="11"/>
  <c r="Q102" i="11"/>
  <c r="P102" i="11"/>
  <c r="O102" i="11"/>
  <c r="N102" i="11"/>
  <c r="M102" i="11"/>
  <c r="L102" i="11"/>
  <c r="K102" i="11"/>
  <c r="J102" i="11"/>
  <c r="I102" i="11"/>
  <c r="H102" i="11"/>
  <c r="G102" i="11"/>
  <c r="F102" i="11"/>
  <c r="U100" i="11"/>
  <c r="T100" i="11"/>
  <c r="R100" i="11"/>
  <c r="Q100" i="11"/>
  <c r="P100" i="11"/>
  <c r="O100" i="11"/>
  <c r="N100" i="11"/>
  <c r="M100" i="11"/>
  <c r="L100" i="11"/>
  <c r="K100" i="11"/>
  <c r="J100" i="11"/>
  <c r="I100" i="11"/>
  <c r="H100" i="11"/>
  <c r="G100" i="11"/>
  <c r="F100" i="11"/>
  <c r="U99" i="11"/>
  <c r="T99" i="11"/>
  <c r="T101" i="11" s="1"/>
  <c r="R99" i="11"/>
  <c r="Q99" i="11"/>
  <c r="P99" i="11"/>
  <c r="O99" i="11"/>
  <c r="N99" i="11"/>
  <c r="M99" i="11"/>
  <c r="L99" i="11"/>
  <c r="K99" i="11"/>
  <c r="J99" i="11"/>
  <c r="I99" i="11"/>
  <c r="H99" i="11"/>
  <c r="G99" i="11"/>
  <c r="F99" i="11"/>
  <c r="U97" i="11"/>
  <c r="T97" i="11"/>
  <c r="R97" i="11"/>
  <c r="Q97" i="11"/>
  <c r="P97" i="11"/>
  <c r="O97" i="11"/>
  <c r="N97" i="11"/>
  <c r="M97" i="11"/>
  <c r="L97" i="11"/>
  <c r="K97" i="11"/>
  <c r="J97" i="11"/>
  <c r="I97" i="11"/>
  <c r="H97" i="11"/>
  <c r="G97" i="11"/>
  <c r="F97" i="11"/>
  <c r="U96" i="11"/>
  <c r="T96" i="11"/>
  <c r="T98" i="11" s="1"/>
  <c r="R96" i="11"/>
  <c r="Q96" i="11"/>
  <c r="P96" i="11"/>
  <c r="O96" i="11"/>
  <c r="N96" i="11"/>
  <c r="M96" i="11"/>
  <c r="L96" i="11"/>
  <c r="K96" i="11"/>
  <c r="J96" i="11"/>
  <c r="I96" i="11"/>
  <c r="H96" i="11"/>
  <c r="G96" i="11"/>
  <c r="F96" i="11"/>
  <c r="U94" i="11"/>
  <c r="T94" i="11"/>
  <c r="R94" i="11"/>
  <c r="Q94" i="11"/>
  <c r="P94" i="11"/>
  <c r="O94" i="11"/>
  <c r="N94" i="11"/>
  <c r="M94" i="11"/>
  <c r="L94" i="11"/>
  <c r="K94" i="11"/>
  <c r="J94" i="11"/>
  <c r="I94" i="11"/>
  <c r="H94" i="11"/>
  <c r="G94" i="11"/>
  <c r="F94" i="11"/>
  <c r="U93" i="11"/>
  <c r="T93" i="11"/>
  <c r="T95" i="11" s="1"/>
  <c r="R93" i="11"/>
  <c r="Q93" i="11"/>
  <c r="P93" i="11"/>
  <c r="O93" i="11"/>
  <c r="N93" i="11"/>
  <c r="M93" i="11"/>
  <c r="L93" i="11"/>
  <c r="K93" i="11"/>
  <c r="J93" i="11"/>
  <c r="I93" i="11"/>
  <c r="H93" i="11"/>
  <c r="G93" i="11"/>
  <c r="F93" i="11"/>
  <c r="U91" i="11"/>
  <c r="T91" i="11"/>
  <c r="R91" i="11"/>
  <c r="Q91" i="11"/>
  <c r="P91" i="11"/>
  <c r="O91" i="11"/>
  <c r="N91" i="11"/>
  <c r="M91" i="11"/>
  <c r="L91" i="11"/>
  <c r="K91" i="11"/>
  <c r="J91" i="11"/>
  <c r="I91" i="11"/>
  <c r="H91" i="11"/>
  <c r="G91" i="11"/>
  <c r="F91" i="11"/>
  <c r="U90" i="11"/>
  <c r="T90" i="11"/>
  <c r="R90" i="11"/>
  <c r="Q90" i="11"/>
  <c r="P90" i="11"/>
  <c r="O90" i="11"/>
  <c r="N90" i="11"/>
  <c r="M90" i="11"/>
  <c r="L90" i="11"/>
  <c r="K90" i="11"/>
  <c r="J90" i="11"/>
  <c r="I90" i="11"/>
  <c r="H90" i="11"/>
  <c r="G90" i="11"/>
  <c r="F90" i="11"/>
  <c r="U88" i="11"/>
  <c r="T88" i="11"/>
  <c r="R88" i="11"/>
  <c r="Q88" i="11"/>
  <c r="P88" i="11"/>
  <c r="O88" i="11"/>
  <c r="N88" i="11"/>
  <c r="M88" i="11"/>
  <c r="L88" i="11"/>
  <c r="K88" i="11"/>
  <c r="J88" i="11"/>
  <c r="I88" i="11"/>
  <c r="H88" i="11"/>
  <c r="G88" i="11"/>
  <c r="F88" i="11"/>
  <c r="U87" i="11"/>
  <c r="T87" i="11"/>
  <c r="T89" i="11" s="1"/>
  <c r="R87" i="11"/>
  <c r="Q87" i="11"/>
  <c r="P87" i="11"/>
  <c r="O87" i="11"/>
  <c r="N87" i="11"/>
  <c r="M87" i="11"/>
  <c r="L87" i="11"/>
  <c r="K87" i="11"/>
  <c r="J87" i="11"/>
  <c r="I87" i="11"/>
  <c r="H87" i="11"/>
  <c r="G87" i="11"/>
  <c r="F87" i="11"/>
  <c r="U85" i="11"/>
  <c r="T85" i="11"/>
  <c r="R85" i="11"/>
  <c r="Q85" i="11"/>
  <c r="P85" i="11"/>
  <c r="O85" i="11"/>
  <c r="N85" i="11"/>
  <c r="M85" i="11"/>
  <c r="L85" i="11"/>
  <c r="K85" i="11"/>
  <c r="J85" i="11"/>
  <c r="I85" i="11"/>
  <c r="H85" i="11"/>
  <c r="G85" i="11"/>
  <c r="F85" i="11"/>
  <c r="U84" i="11"/>
  <c r="T84" i="11"/>
  <c r="T86" i="11" s="1"/>
  <c r="R84" i="11"/>
  <c r="Q84" i="11"/>
  <c r="P84" i="11"/>
  <c r="O84" i="11"/>
  <c r="N84" i="11"/>
  <c r="M84" i="11"/>
  <c r="L84" i="11"/>
  <c r="K84" i="11"/>
  <c r="J84" i="11"/>
  <c r="I84" i="11"/>
  <c r="H84" i="11"/>
  <c r="G84" i="11"/>
  <c r="F84" i="11"/>
  <c r="U82" i="11"/>
  <c r="T82" i="11"/>
  <c r="R82" i="11"/>
  <c r="Q82" i="11"/>
  <c r="P82" i="11"/>
  <c r="O82" i="11"/>
  <c r="N82" i="11"/>
  <c r="M82" i="11"/>
  <c r="L82" i="11"/>
  <c r="K82" i="11"/>
  <c r="J82" i="11"/>
  <c r="I82" i="11"/>
  <c r="H82" i="11"/>
  <c r="G82" i="11"/>
  <c r="F82" i="11"/>
  <c r="U81" i="11"/>
  <c r="T81" i="11"/>
  <c r="T83" i="11" s="1"/>
  <c r="R81" i="11"/>
  <c r="P81" i="11"/>
  <c r="O81" i="11"/>
  <c r="N81" i="11"/>
  <c r="M81" i="11"/>
  <c r="L81" i="11"/>
  <c r="K81" i="11"/>
  <c r="J81" i="11"/>
  <c r="I81" i="11"/>
  <c r="H81" i="11"/>
  <c r="G81" i="11"/>
  <c r="F81" i="11"/>
  <c r="U79" i="11"/>
  <c r="T79" i="11"/>
  <c r="R79" i="11"/>
  <c r="Q79" i="11"/>
  <c r="P79" i="11"/>
  <c r="O79" i="11"/>
  <c r="N79" i="11"/>
  <c r="M79" i="11"/>
  <c r="L79" i="11"/>
  <c r="K79" i="11"/>
  <c r="J79" i="11"/>
  <c r="I79" i="11"/>
  <c r="H79" i="11"/>
  <c r="G79" i="11"/>
  <c r="F79" i="11"/>
  <c r="U78" i="11"/>
  <c r="U80" i="11" s="1"/>
  <c r="T78" i="11"/>
  <c r="R78" i="11"/>
  <c r="Q78" i="11"/>
  <c r="P78" i="11"/>
  <c r="O78" i="11"/>
  <c r="N78" i="11"/>
  <c r="M78" i="11"/>
  <c r="L78" i="11"/>
  <c r="K78" i="11"/>
  <c r="J78" i="11"/>
  <c r="I78" i="11"/>
  <c r="H78" i="11"/>
  <c r="G78" i="11"/>
  <c r="F78" i="11"/>
  <c r="U76" i="11"/>
  <c r="T76" i="11"/>
  <c r="R76" i="11"/>
  <c r="Q76" i="11"/>
  <c r="P76" i="11"/>
  <c r="O76" i="11"/>
  <c r="N76" i="11"/>
  <c r="M76" i="11"/>
  <c r="L76" i="11"/>
  <c r="K76" i="11"/>
  <c r="J76" i="11"/>
  <c r="I76" i="11"/>
  <c r="H76" i="11"/>
  <c r="G76" i="11"/>
  <c r="F76" i="11"/>
  <c r="U75" i="11"/>
  <c r="U77" i="11" s="1"/>
  <c r="T75" i="11"/>
  <c r="R75" i="11"/>
  <c r="Q75" i="11"/>
  <c r="P75" i="11"/>
  <c r="O75" i="11"/>
  <c r="N75" i="11"/>
  <c r="M75" i="11"/>
  <c r="L75" i="11"/>
  <c r="K75" i="11"/>
  <c r="J75" i="11"/>
  <c r="I75" i="11"/>
  <c r="H75" i="11"/>
  <c r="G75" i="11"/>
  <c r="F75" i="11"/>
  <c r="U73" i="11"/>
  <c r="T73" i="11"/>
  <c r="R73" i="11"/>
  <c r="Q73" i="11"/>
  <c r="P73" i="11"/>
  <c r="O73" i="11"/>
  <c r="N73" i="11"/>
  <c r="M73" i="11"/>
  <c r="L73" i="11"/>
  <c r="K73" i="11"/>
  <c r="J73" i="11"/>
  <c r="I73" i="11"/>
  <c r="H73" i="11"/>
  <c r="G73" i="11"/>
  <c r="F73" i="11"/>
  <c r="U72" i="11"/>
  <c r="U74" i="11" s="1"/>
  <c r="T72" i="11"/>
  <c r="R72" i="11"/>
  <c r="Q72" i="11"/>
  <c r="P72" i="11"/>
  <c r="O72" i="11"/>
  <c r="N72" i="11"/>
  <c r="M72" i="11"/>
  <c r="L72" i="11"/>
  <c r="K72" i="11"/>
  <c r="J72" i="11"/>
  <c r="I72" i="11"/>
  <c r="H72" i="11"/>
  <c r="G72" i="11"/>
  <c r="F72" i="11"/>
  <c r="U70" i="11"/>
  <c r="T70" i="11"/>
  <c r="R70" i="11"/>
  <c r="Q70" i="11"/>
  <c r="P70" i="11"/>
  <c r="O70" i="11"/>
  <c r="N70" i="11"/>
  <c r="M70" i="11"/>
  <c r="L70" i="11"/>
  <c r="K70" i="11"/>
  <c r="J70" i="11"/>
  <c r="I70" i="11"/>
  <c r="H70" i="11"/>
  <c r="G70" i="11"/>
  <c r="F70" i="11"/>
  <c r="U69" i="11"/>
  <c r="T69" i="11"/>
  <c r="R69" i="11"/>
  <c r="Q69" i="11"/>
  <c r="P69" i="11"/>
  <c r="O69" i="11"/>
  <c r="N69" i="11"/>
  <c r="M69" i="11"/>
  <c r="L69" i="11"/>
  <c r="K69" i="11"/>
  <c r="J69" i="11"/>
  <c r="I69" i="11"/>
  <c r="H69" i="11"/>
  <c r="G69" i="11"/>
  <c r="F69" i="11"/>
  <c r="U67" i="11"/>
  <c r="T67" i="11"/>
  <c r="R67" i="11"/>
  <c r="Q67" i="11"/>
  <c r="P67" i="11"/>
  <c r="O67" i="11"/>
  <c r="N67" i="11"/>
  <c r="M67" i="11"/>
  <c r="L67" i="11"/>
  <c r="K67" i="11"/>
  <c r="J67" i="11"/>
  <c r="I67" i="11"/>
  <c r="H67" i="11"/>
  <c r="G67" i="11"/>
  <c r="F67" i="11"/>
  <c r="U66" i="11"/>
  <c r="U68" i="11" s="1"/>
  <c r="T66" i="11"/>
  <c r="R66" i="11"/>
  <c r="Q66" i="11"/>
  <c r="P66" i="11"/>
  <c r="O66" i="11"/>
  <c r="N66" i="11"/>
  <c r="M66" i="11"/>
  <c r="L66" i="11"/>
  <c r="K66" i="11"/>
  <c r="J66" i="11"/>
  <c r="I66" i="11"/>
  <c r="H66" i="11"/>
  <c r="G66" i="11"/>
  <c r="F66" i="11"/>
  <c r="U64" i="11"/>
  <c r="T64" i="11"/>
  <c r="R64" i="11"/>
  <c r="Q64" i="11"/>
  <c r="P64" i="11"/>
  <c r="O64" i="11"/>
  <c r="N64" i="11"/>
  <c r="M64" i="11"/>
  <c r="L64" i="11"/>
  <c r="K64" i="11"/>
  <c r="J64" i="11"/>
  <c r="I64" i="11"/>
  <c r="H64" i="11"/>
  <c r="G64" i="11"/>
  <c r="F64" i="11"/>
  <c r="U63" i="11"/>
  <c r="U65" i="11" s="1"/>
  <c r="T63" i="11"/>
  <c r="R63" i="11"/>
  <c r="Q63" i="11"/>
  <c r="P63" i="11"/>
  <c r="O63" i="11"/>
  <c r="N63" i="11"/>
  <c r="M63" i="11"/>
  <c r="L63" i="11"/>
  <c r="K63" i="11"/>
  <c r="J63" i="11"/>
  <c r="I63" i="11"/>
  <c r="H63" i="11"/>
  <c r="G63" i="11"/>
  <c r="F63" i="11"/>
  <c r="U61" i="11"/>
  <c r="T61" i="11"/>
  <c r="R61" i="11"/>
  <c r="Q61" i="11"/>
  <c r="P61" i="11"/>
  <c r="O61" i="11"/>
  <c r="N61" i="11"/>
  <c r="M61" i="11"/>
  <c r="L61" i="11"/>
  <c r="K61" i="11"/>
  <c r="J61" i="11"/>
  <c r="I61" i="11"/>
  <c r="H61" i="11"/>
  <c r="G61" i="11"/>
  <c r="F61" i="11"/>
  <c r="U60" i="11"/>
  <c r="U62" i="11" s="1"/>
  <c r="T60" i="11"/>
  <c r="R60" i="11"/>
  <c r="Q60" i="11"/>
  <c r="P60" i="11"/>
  <c r="O60" i="11"/>
  <c r="N60" i="11"/>
  <c r="M60" i="11"/>
  <c r="L60" i="11"/>
  <c r="K60" i="11"/>
  <c r="J60" i="11"/>
  <c r="I60" i="11"/>
  <c r="H60" i="11"/>
  <c r="G60" i="11"/>
  <c r="F60" i="11"/>
  <c r="U58" i="11"/>
  <c r="T58" i="11"/>
  <c r="R58" i="11"/>
  <c r="Q58" i="11"/>
  <c r="P58" i="11"/>
  <c r="O58" i="11"/>
  <c r="N58" i="11"/>
  <c r="M58" i="11"/>
  <c r="L58" i="11"/>
  <c r="K58" i="11"/>
  <c r="J58" i="11"/>
  <c r="I58" i="11"/>
  <c r="H58" i="11"/>
  <c r="G58" i="11"/>
  <c r="F58" i="11"/>
  <c r="U57" i="11"/>
  <c r="T57" i="11"/>
  <c r="R57" i="11"/>
  <c r="Q57" i="11"/>
  <c r="P57" i="11"/>
  <c r="O57" i="11"/>
  <c r="N57" i="11"/>
  <c r="M57" i="11"/>
  <c r="L57" i="11"/>
  <c r="K57" i="11"/>
  <c r="J57" i="11"/>
  <c r="I57" i="11"/>
  <c r="H57" i="11"/>
  <c r="G57" i="11"/>
  <c r="F57" i="11"/>
  <c r="U55" i="11"/>
  <c r="T55" i="11"/>
  <c r="Q55" i="11"/>
  <c r="P55" i="11"/>
  <c r="O55" i="11"/>
  <c r="N55" i="11"/>
  <c r="M55" i="11"/>
  <c r="L55" i="11"/>
  <c r="K55" i="11"/>
  <c r="J55" i="11"/>
  <c r="I55" i="11"/>
  <c r="H55" i="11"/>
  <c r="G55" i="11"/>
  <c r="F55" i="11"/>
  <c r="U54" i="11"/>
  <c r="U56" i="11" s="1"/>
  <c r="T54" i="11"/>
  <c r="T56" i="11" s="1"/>
  <c r="R54" i="11"/>
  <c r="Q54" i="11"/>
  <c r="P54" i="11"/>
  <c r="O54" i="11"/>
  <c r="N54" i="11"/>
  <c r="M54" i="11"/>
  <c r="L54" i="11"/>
  <c r="K54" i="11"/>
  <c r="J54" i="11"/>
  <c r="I54" i="11"/>
  <c r="H54" i="11"/>
  <c r="G54" i="11"/>
  <c r="F54" i="11"/>
  <c r="U52" i="11"/>
  <c r="T52" i="11"/>
  <c r="R52" i="11"/>
  <c r="Q52" i="11"/>
  <c r="P52" i="11"/>
  <c r="O52" i="11"/>
  <c r="N52" i="11"/>
  <c r="M52" i="11"/>
  <c r="L52" i="11"/>
  <c r="K52" i="11"/>
  <c r="J52" i="11"/>
  <c r="I52" i="11"/>
  <c r="H52" i="11"/>
  <c r="G52" i="11"/>
  <c r="F52" i="11"/>
  <c r="U51" i="11"/>
  <c r="T51" i="11"/>
  <c r="T53" i="11" s="1"/>
  <c r="R51" i="11"/>
  <c r="Q51" i="11"/>
  <c r="P51" i="11"/>
  <c r="O51" i="11"/>
  <c r="N51" i="11"/>
  <c r="M51" i="11"/>
  <c r="L51" i="11"/>
  <c r="K51" i="11"/>
  <c r="J51" i="11"/>
  <c r="I51" i="11"/>
  <c r="H51" i="11"/>
  <c r="G51" i="11"/>
  <c r="F51" i="11"/>
  <c r="U49" i="11"/>
  <c r="T49" i="11"/>
  <c r="R49" i="11"/>
  <c r="Q49" i="11"/>
  <c r="P49" i="11"/>
  <c r="O49" i="11"/>
  <c r="N49" i="11"/>
  <c r="M49" i="11"/>
  <c r="L49" i="11"/>
  <c r="K49" i="11"/>
  <c r="J49" i="11"/>
  <c r="I49" i="11"/>
  <c r="H49" i="11"/>
  <c r="G49" i="11"/>
  <c r="F49" i="11"/>
  <c r="U48" i="11"/>
  <c r="T48" i="11"/>
  <c r="T50" i="11" s="1"/>
  <c r="R48" i="11"/>
  <c r="Q48" i="11"/>
  <c r="P48" i="11"/>
  <c r="O48" i="11"/>
  <c r="N48" i="11"/>
  <c r="M48" i="11"/>
  <c r="L48" i="11"/>
  <c r="K48" i="11"/>
  <c r="J48" i="11"/>
  <c r="I48" i="11"/>
  <c r="H48" i="11"/>
  <c r="G48" i="11"/>
  <c r="F48" i="11"/>
  <c r="U46" i="11"/>
  <c r="T46" i="11"/>
  <c r="R46" i="11"/>
  <c r="Q46" i="11"/>
  <c r="P46" i="11"/>
  <c r="O46" i="11"/>
  <c r="N46" i="11"/>
  <c r="M46" i="11"/>
  <c r="L46" i="11"/>
  <c r="K46" i="11"/>
  <c r="J46" i="11"/>
  <c r="I46" i="11"/>
  <c r="H46" i="11"/>
  <c r="G46" i="11"/>
  <c r="F46" i="11"/>
  <c r="U45" i="11"/>
  <c r="T45" i="11"/>
  <c r="R45" i="11"/>
  <c r="Q45" i="11"/>
  <c r="P45" i="11"/>
  <c r="O45" i="11"/>
  <c r="N45" i="11"/>
  <c r="M45" i="11"/>
  <c r="L45" i="11"/>
  <c r="K45" i="11"/>
  <c r="J45" i="11"/>
  <c r="I45" i="11"/>
  <c r="H45" i="11"/>
  <c r="G45" i="11"/>
  <c r="F45" i="11"/>
  <c r="U43" i="11"/>
  <c r="T43" i="11"/>
  <c r="R43" i="11"/>
  <c r="Q43" i="11"/>
  <c r="P43" i="11"/>
  <c r="O43" i="11"/>
  <c r="N43" i="11"/>
  <c r="M43" i="11"/>
  <c r="L43" i="11"/>
  <c r="K43" i="11"/>
  <c r="J43" i="11"/>
  <c r="I43" i="11"/>
  <c r="H43" i="11"/>
  <c r="G43" i="11"/>
  <c r="F43" i="11"/>
  <c r="U42" i="11"/>
  <c r="T42" i="11"/>
  <c r="T44" i="11" s="1"/>
  <c r="R42" i="11"/>
  <c r="Q42" i="11"/>
  <c r="P42" i="11"/>
  <c r="O42" i="11"/>
  <c r="N42" i="11"/>
  <c r="M42" i="11"/>
  <c r="L42" i="11"/>
  <c r="K42" i="11"/>
  <c r="J42" i="11"/>
  <c r="I42" i="11"/>
  <c r="H42" i="11"/>
  <c r="G42" i="11"/>
  <c r="F42" i="11"/>
  <c r="U40" i="11"/>
  <c r="T40" i="11"/>
  <c r="R40" i="11"/>
  <c r="Q40" i="11"/>
  <c r="P40" i="11"/>
  <c r="O40" i="11"/>
  <c r="N40" i="11"/>
  <c r="M40" i="11"/>
  <c r="L40" i="11"/>
  <c r="K40" i="11"/>
  <c r="J40" i="11"/>
  <c r="I40" i="11"/>
  <c r="H40" i="11"/>
  <c r="G40" i="11"/>
  <c r="F40" i="11"/>
  <c r="U39" i="11"/>
  <c r="T39" i="11"/>
  <c r="T41" i="11" s="1"/>
  <c r="R39" i="11"/>
  <c r="Q39" i="11"/>
  <c r="P39" i="11"/>
  <c r="O39" i="11"/>
  <c r="N39" i="11"/>
  <c r="M39" i="11"/>
  <c r="L39" i="11"/>
  <c r="K39" i="11"/>
  <c r="J39" i="11"/>
  <c r="I39" i="11"/>
  <c r="H39" i="11"/>
  <c r="G39" i="11"/>
  <c r="F39" i="11"/>
  <c r="U37" i="11"/>
  <c r="T37" i="11"/>
  <c r="R37" i="11"/>
  <c r="Q37" i="11"/>
  <c r="P37" i="11"/>
  <c r="O37" i="11"/>
  <c r="N37" i="11"/>
  <c r="M37" i="11"/>
  <c r="L37" i="11"/>
  <c r="K37" i="11"/>
  <c r="J37" i="11"/>
  <c r="I37" i="11"/>
  <c r="H37" i="11"/>
  <c r="G37" i="11"/>
  <c r="F37" i="11"/>
  <c r="U36" i="11"/>
  <c r="T36" i="11"/>
  <c r="T38" i="11" s="1"/>
  <c r="R36" i="11"/>
  <c r="Q36" i="11"/>
  <c r="P36" i="11"/>
  <c r="O36" i="11"/>
  <c r="N36" i="11"/>
  <c r="M36" i="11"/>
  <c r="L36" i="11"/>
  <c r="K36" i="11"/>
  <c r="J36" i="11"/>
  <c r="I36" i="11"/>
  <c r="H36" i="11"/>
  <c r="G36" i="11"/>
  <c r="F36" i="11"/>
  <c r="U34" i="11"/>
  <c r="T34" i="11"/>
  <c r="R34" i="11"/>
  <c r="Q34" i="11"/>
  <c r="P34" i="11"/>
  <c r="O34" i="11"/>
  <c r="N34" i="11"/>
  <c r="M34" i="11"/>
  <c r="L34" i="11"/>
  <c r="K34" i="11"/>
  <c r="J34" i="11"/>
  <c r="I34" i="11"/>
  <c r="H34" i="11"/>
  <c r="G34" i="11"/>
  <c r="F34" i="11"/>
  <c r="U33" i="11"/>
  <c r="T33" i="11"/>
  <c r="R33" i="11"/>
  <c r="Q33" i="11"/>
  <c r="P33" i="11"/>
  <c r="O33" i="11"/>
  <c r="N33" i="11"/>
  <c r="M33" i="11"/>
  <c r="L33" i="11"/>
  <c r="K33" i="11"/>
  <c r="J33" i="11"/>
  <c r="I33" i="11"/>
  <c r="H33" i="11"/>
  <c r="G33" i="11"/>
  <c r="F33" i="11"/>
  <c r="U31" i="11"/>
  <c r="T31" i="11"/>
  <c r="R31" i="11"/>
  <c r="Q31" i="11"/>
  <c r="P31" i="11"/>
  <c r="O31" i="11"/>
  <c r="N31" i="11"/>
  <c r="M31" i="11"/>
  <c r="L31" i="11"/>
  <c r="K31" i="11"/>
  <c r="J31" i="11"/>
  <c r="I31" i="11"/>
  <c r="H31" i="11"/>
  <c r="G31" i="11"/>
  <c r="F31" i="11"/>
  <c r="U30" i="11"/>
  <c r="T30" i="11"/>
  <c r="T32" i="11" s="1"/>
  <c r="R30" i="11"/>
  <c r="P30" i="11"/>
  <c r="O30" i="11"/>
  <c r="N30" i="11"/>
  <c r="M30" i="11"/>
  <c r="L30" i="11"/>
  <c r="K30" i="11"/>
  <c r="J30" i="11"/>
  <c r="I30" i="11"/>
  <c r="H30" i="11"/>
  <c r="G30" i="11"/>
  <c r="F30" i="11"/>
  <c r="U28" i="11"/>
  <c r="T28" i="11"/>
  <c r="R28" i="11"/>
  <c r="Q28" i="11"/>
  <c r="P28" i="11"/>
  <c r="O28" i="11"/>
  <c r="N28" i="11"/>
  <c r="M28" i="11"/>
  <c r="L28" i="11"/>
  <c r="K28" i="11"/>
  <c r="J28" i="11"/>
  <c r="I28" i="11"/>
  <c r="H28" i="11"/>
  <c r="G28" i="11"/>
  <c r="F28" i="11"/>
  <c r="U27" i="11"/>
  <c r="U29" i="11" s="1"/>
  <c r="T27" i="11"/>
  <c r="R27" i="11"/>
  <c r="Q27" i="11"/>
  <c r="P27" i="11"/>
  <c r="O27" i="11"/>
  <c r="N27" i="11"/>
  <c r="M27" i="11"/>
  <c r="L27" i="11"/>
  <c r="K27" i="11"/>
  <c r="J27" i="11"/>
  <c r="I27" i="11"/>
  <c r="H27" i="11"/>
  <c r="G27" i="11"/>
  <c r="F27" i="11"/>
  <c r="U25" i="11"/>
  <c r="T25" i="11"/>
  <c r="R25" i="11"/>
  <c r="Q25" i="11"/>
  <c r="P25" i="11"/>
  <c r="O25" i="11"/>
  <c r="N25" i="11"/>
  <c r="M25" i="11"/>
  <c r="L25" i="11"/>
  <c r="K25" i="11"/>
  <c r="J25" i="11"/>
  <c r="I25" i="11"/>
  <c r="H25" i="11"/>
  <c r="G25" i="11"/>
  <c r="F25" i="11"/>
  <c r="U24" i="11"/>
  <c r="T24" i="11"/>
  <c r="R24" i="11"/>
  <c r="Q24" i="11"/>
  <c r="P24" i="11"/>
  <c r="O24" i="11"/>
  <c r="N24" i="11"/>
  <c r="M24" i="11"/>
  <c r="L24" i="11"/>
  <c r="K24" i="11"/>
  <c r="J24" i="11"/>
  <c r="I24" i="11"/>
  <c r="H24" i="11"/>
  <c r="G24" i="11"/>
  <c r="F24" i="11"/>
  <c r="U22" i="11"/>
  <c r="T22" i="11"/>
  <c r="R22" i="11"/>
  <c r="Q22" i="11"/>
  <c r="P22" i="11"/>
  <c r="O22" i="11"/>
  <c r="N22" i="11"/>
  <c r="M22" i="11"/>
  <c r="L22" i="11"/>
  <c r="K22" i="11"/>
  <c r="J22" i="11"/>
  <c r="I22" i="11"/>
  <c r="H22" i="11"/>
  <c r="G22" i="11"/>
  <c r="F22" i="11"/>
  <c r="U21" i="11"/>
  <c r="U23" i="11" s="1"/>
  <c r="T21" i="11"/>
  <c r="R21" i="11"/>
  <c r="Q21" i="11"/>
  <c r="P21" i="11"/>
  <c r="O21" i="11"/>
  <c r="N21" i="11"/>
  <c r="M21" i="11"/>
  <c r="L21" i="11"/>
  <c r="K21" i="11"/>
  <c r="J21" i="11"/>
  <c r="I21" i="11"/>
  <c r="H21" i="11"/>
  <c r="G21" i="11"/>
  <c r="F21" i="11"/>
  <c r="U19" i="11"/>
  <c r="T19" i="11"/>
  <c r="R19" i="11"/>
  <c r="Q19" i="11"/>
  <c r="P19" i="11"/>
  <c r="O19" i="11"/>
  <c r="N19" i="11"/>
  <c r="M19" i="11"/>
  <c r="L19" i="11"/>
  <c r="K19" i="11"/>
  <c r="J19" i="11"/>
  <c r="I19" i="11"/>
  <c r="H19" i="11"/>
  <c r="G19" i="11"/>
  <c r="F19" i="11"/>
  <c r="U18" i="11"/>
  <c r="U20" i="11" s="1"/>
  <c r="T18" i="11"/>
  <c r="R18" i="11"/>
  <c r="P18" i="11"/>
  <c r="O18" i="11"/>
  <c r="N18" i="11"/>
  <c r="M18" i="11"/>
  <c r="L18" i="11"/>
  <c r="K18" i="11"/>
  <c r="J18" i="11"/>
  <c r="I18" i="11"/>
  <c r="H18" i="11"/>
  <c r="G18" i="11"/>
  <c r="F18" i="11"/>
  <c r="U16" i="11"/>
  <c r="T16" i="11"/>
  <c r="R16" i="11"/>
  <c r="Q16" i="11"/>
  <c r="P16" i="11"/>
  <c r="O16" i="11"/>
  <c r="N16" i="11"/>
  <c r="M16" i="11"/>
  <c r="L16" i="11"/>
  <c r="K16" i="11"/>
  <c r="J16" i="11"/>
  <c r="I16" i="11"/>
  <c r="H16" i="11"/>
  <c r="G16" i="11"/>
  <c r="F16" i="11"/>
  <c r="U15" i="11"/>
  <c r="T15" i="11"/>
  <c r="T17" i="11" s="1"/>
  <c r="R15" i="11"/>
  <c r="Q15" i="11"/>
  <c r="P15" i="11"/>
  <c r="O15" i="11"/>
  <c r="N15" i="11"/>
  <c r="M15" i="11"/>
  <c r="L15" i="11"/>
  <c r="K15" i="11"/>
  <c r="J15" i="11"/>
  <c r="I15" i="11"/>
  <c r="H15" i="11"/>
  <c r="G15" i="11"/>
  <c r="F15" i="11"/>
  <c r="U13" i="11"/>
  <c r="T13" i="11"/>
  <c r="R13" i="11"/>
  <c r="Q13" i="11"/>
  <c r="P13" i="11"/>
  <c r="O13" i="11"/>
  <c r="N13" i="11"/>
  <c r="M13" i="11"/>
  <c r="L13" i="11"/>
  <c r="K13" i="11"/>
  <c r="J13" i="11"/>
  <c r="I13" i="11"/>
  <c r="H13" i="11"/>
  <c r="G13" i="11"/>
  <c r="F13" i="11"/>
  <c r="U12" i="11"/>
  <c r="T12" i="11"/>
  <c r="R12" i="11"/>
  <c r="Q12" i="11"/>
  <c r="P12" i="11"/>
  <c r="O12" i="11"/>
  <c r="N12" i="11"/>
  <c r="M12" i="11"/>
  <c r="L12" i="11"/>
  <c r="K12" i="11"/>
  <c r="J12" i="11"/>
  <c r="I12" i="11"/>
  <c r="H12" i="11"/>
  <c r="G12" i="11"/>
  <c r="F12" i="11"/>
  <c r="U10" i="11"/>
  <c r="T10" i="11"/>
  <c r="R10" i="11"/>
  <c r="Q10" i="11"/>
  <c r="P10" i="11"/>
  <c r="O10" i="11"/>
  <c r="N10" i="11"/>
  <c r="M10" i="11"/>
  <c r="L10" i="11"/>
  <c r="K10" i="11"/>
  <c r="J10" i="11"/>
  <c r="I10" i="11"/>
  <c r="H10" i="11"/>
  <c r="G10" i="11"/>
  <c r="F10" i="11"/>
  <c r="U9" i="11"/>
  <c r="T9" i="11"/>
  <c r="T11" i="11" s="1"/>
  <c r="R9" i="11"/>
  <c r="Q9" i="11"/>
  <c r="P9" i="11"/>
  <c r="O9" i="11"/>
  <c r="N9" i="11"/>
  <c r="M9" i="11"/>
  <c r="L9" i="11"/>
  <c r="K9" i="11"/>
  <c r="J9" i="11"/>
  <c r="I9" i="11"/>
  <c r="H9" i="11"/>
  <c r="G9" i="11"/>
  <c r="F9" i="11"/>
  <c r="U7" i="11"/>
  <c r="T7" i="11"/>
  <c r="R7" i="11"/>
  <c r="Q7" i="11"/>
  <c r="P7" i="11"/>
  <c r="O7" i="11"/>
  <c r="N7" i="11"/>
  <c r="M7" i="11"/>
  <c r="L7" i="11"/>
  <c r="K7" i="11"/>
  <c r="J7" i="11"/>
  <c r="I7" i="11"/>
  <c r="H7" i="11"/>
  <c r="G7" i="11"/>
  <c r="F7" i="11"/>
  <c r="U6" i="11"/>
  <c r="T6" i="11"/>
  <c r="T8" i="11" s="1"/>
  <c r="R6" i="11"/>
  <c r="Q6" i="11"/>
  <c r="P6" i="11"/>
  <c r="O6" i="11"/>
  <c r="N6" i="11"/>
  <c r="M6" i="11"/>
  <c r="L6" i="11"/>
  <c r="K6" i="11"/>
  <c r="J6" i="11"/>
  <c r="I6" i="11"/>
  <c r="H6" i="11"/>
  <c r="G6" i="11"/>
  <c r="F6" i="11"/>
  <c r="Q118" i="7"/>
  <c r="Q70" i="7"/>
  <c r="Q67" i="7"/>
  <c r="Q19" i="7"/>
  <c r="S121" i="7"/>
  <c r="Q114" i="7"/>
  <c r="Q81" i="7"/>
  <c r="Q45" i="7"/>
  <c r="Q24" i="7"/>
  <c r="S117" i="7"/>
  <c r="U157" i="7"/>
  <c r="T157" i="7"/>
  <c r="U156" i="7"/>
  <c r="T156" i="7"/>
  <c r="U154" i="7"/>
  <c r="T154" i="7"/>
  <c r="U153" i="7"/>
  <c r="U155" i="7" s="1"/>
  <c r="T153" i="7"/>
  <c r="U151" i="7"/>
  <c r="T151" i="7"/>
  <c r="U150" i="7"/>
  <c r="T150" i="7"/>
  <c r="Q150" i="7"/>
  <c r="Q152" i="7" s="1"/>
  <c r="P150" i="7"/>
  <c r="P152" i="7" s="1"/>
  <c r="O150" i="7"/>
  <c r="O152" i="7" s="1"/>
  <c r="N150" i="7"/>
  <c r="N152" i="7" s="1"/>
  <c r="M150" i="7"/>
  <c r="M152" i="7" s="1"/>
  <c r="L150" i="7"/>
  <c r="L152" i="7" s="1"/>
  <c r="K150" i="7"/>
  <c r="K152" i="7" s="1"/>
  <c r="J150" i="7"/>
  <c r="J152" i="7" s="1"/>
  <c r="I150" i="7"/>
  <c r="I152" i="7" s="1"/>
  <c r="H150" i="7"/>
  <c r="H152" i="7" s="1"/>
  <c r="G150" i="7"/>
  <c r="G152" i="7" s="1"/>
  <c r="U148" i="7"/>
  <c r="T148" i="7"/>
  <c r="U147" i="7"/>
  <c r="U149" i="7" s="1"/>
  <c r="T147" i="7"/>
  <c r="U145" i="7"/>
  <c r="T145" i="7"/>
  <c r="U144" i="7"/>
  <c r="U146" i="7" s="1"/>
  <c r="T144" i="7"/>
  <c r="T146" i="7" s="1"/>
  <c r="U142" i="7"/>
  <c r="T142" i="7"/>
  <c r="U141" i="7"/>
  <c r="U143" i="7" s="1"/>
  <c r="T141" i="7"/>
  <c r="U139" i="7"/>
  <c r="T139" i="7"/>
  <c r="U138" i="7"/>
  <c r="U140" i="7" s="1"/>
  <c r="T138" i="7"/>
  <c r="T140" i="7" s="1"/>
  <c r="U136" i="7"/>
  <c r="T136" i="7"/>
  <c r="U135" i="7"/>
  <c r="U137" i="7" s="1"/>
  <c r="T135" i="7"/>
  <c r="U133" i="7"/>
  <c r="T133" i="7"/>
  <c r="U132" i="7"/>
  <c r="U134" i="7" s="1"/>
  <c r="T132" i="7"/>
  <c r="T134" i="7" s="1"/>
  <c r="U130" i="7"/>
  <c r="T130" i="7"/>
  <c r="U129" i="7"/>
  <c r="U131" i="7" s="1"/>
  <c r="T129" i="7"/>
  <c r="U127" i="7"/>
  <c r="T127" i="7"/>
  <c r="Q127" i="7"/>
  <c r="P127" i="7"/>
  <c r="O127" i="7"/>
  <c r="N127" i="7"/>
  <c r="M127" i="7"/>
  <c r="L127" i="7"/>
  <c r="K127" i="7"/>
  <c r="J127" i="7"/>
  <c r="I127" i="7"/>
  <c r="H127" i="7"/>
  <c r="G127" i="7"/>
  <c r="U126" i="7"/>
  <c r="T126" i="7"/>
  <c r="Q126" i="7"/>
  <c r="P126" i="7"/>
  <c r="O126" i="7"/>
  <c r="N126" i="7"/>
  <c r="M126" i="7"/>
  <c r="L126" i="7"/>
  <c r="K126" i="7"/>
  <c r="J126" i="7"/>
  <c r="I126" i="7"/>
  <c r="H126" i="7"/>
  <c r="G126" i="7"/>
  <c r="U124" i="7"/>
  <c r="T124" i="7"/>
  <c r="Q124" i="7"/>
  <c r="P124" i="7"/>
  <c r="O124" i="7"/>
  <c r="N124" i="7"/>
  <c r="M124" i="7"/>
  <c r="L124" i="7"/>
  <c r="K124" i="7"/>
  <c r="J124" i="7"/>
  <c r="I124" i="7"/>
  <c r="H124" i="7"/>
  <c r="G124" i="7"/>
  <c r="U123" i="7"/>
  <c r="T123" i="7"/>
  <c r="Q123" i="7"/>
  <c r="P123" i="7"/>
  <c r="O123" i="7"/>
  <c r="N123" i="7"/>
  <c r="M123" i="7"/>
  <c r="L123" i="7"/>
  <c r="K123" i="7"/>
  <c r="J123" i="7"/>
  <c r="I123" i="7"/>
  <c r="H123" i="7"/>
  <c r="G123" i="7"/>
  <c r="U121" i="7"/>
  <c r="T121" i="7"/>
  <c r="Q121" i="7"/>
  <c r="P121" i="7"/>
  <c r="O121" i="7"/>
  <c r="N121" i="7"/>
  <c r="M121" i="7"/>
  <c r="L121" i="7"/>
  <c r="K121" i="7"/>
  <c r="J121" i="7"/>
  <c r="I121" i="7"/>
  <c r="H121" i="7"/>
  <c r="G121" i="7"/>
  <c r="U120" i="7"/>
  <c r="T120" i="7"/>
  <c r="Q120" i="7"/>
  <c r="P120" i="7"/>
  <c r="O120" i="7"/>
  <c r="N120" i="7"/>
  <c r="M120" i="7"/>
  <c r="L120" i="7"/>
  <c r="K120" i="7"/>
  <c r="J120" i="7"/>
  <c r="I120" i="7"/>
  <c r="H120" i="7"/>
  <c r="G120" i="7"/>
  <c r="U118" i="7"/>
  <c r="T118" i="7"/>
  <c r="P118" i="7"/>
  <c r="O118" i="7"/>
  <c r="N118" i="7"/>
  <c r="M118" i="7"/>
  <c r="L118" i="7"/>
  <c r="K118" i="7"/>
  <c r="J118" i="7"/>
  <c r="I118" i="7"/>
  <c r="H118" i="7"/>
  <c r="G118" i="7"/>
  <c r="U117" i="7"/>
  <c r="U119" i="7" s="1"/>
  <c r="T117" i="7"/>
  <c r="Q117" i="7"/>
  <c r="P117" i="7"/>
  <c r="O117" i="7"/>
  <c r="N117" i="7"/>
  <c r="M117" i="7"/>
  <c r="L117" i="7"/>
  <c r="K117" i="7"/>
  <c r="J117" i="7"/>
  <c r="I117" i="7"/>
  <c r="H117" i="7"/>
  <c r="G117" i="7"/>
  <c r="U115" i="7"/>
  <c r="T115" i="7"/>
  <c r="Q115" i="7"/>
  <c r="P115" i="7"/>
  <c r="O115" i="7"/>
  <c r="N115" i="7"/>
  <c r="M115" i="7"/>
  <c r="L115" i="7"/>
  <c r="K115" i="7"/>
  <c r="J115" i="7"/>
  <c r="I115" i="7"/>
  <c r="H115" i="7"/>
  <c r="G115" i="7"/>
  <c r="U114" i="7"/>
  <c r="T114" i="7"/>
  <c r="P114" i="7"/>
  <c r="O114" i="7"/>
  <c r="N114" i="7"/>
  <c r="N116" i="7" s="1"/>
  <c r="M114" i="7"/>
  <c r="L114" i="7"/>
  <c r="K114" i="7"/>
  <c r="J114" i="7"/>
  <c r="I114" i="7"/>
  <c r="H114" i="7"/>
  <c r="G114" i="7"/>
  <c r="G116" i="7" s="1"/>
  <c r="U112" i="7"/>
  <c r="T112" i="7"/>
  <c r="Q112" i="7"/>
  <c r="P112" i="7"/>
  <c r="O112" i="7"/>
  <c r="N112" i="7"/>
  <c r="M112" i="7"/>
  <c r="L112" i="7"/>
  <c r="K112" i="7"/>
  <c r="J112" i="7"/>
  <c r="I112" i="7"/>
  <c r="H112" i="7"/>
  <c r="G112" i="7"/>
  <c r="U111" i="7"/>
  <c r="T111" i="7"/>
  <c r="Q111" i="7"/>
  <c r="P111" i="7"/>
  <c r="O111" i="7"/>
  <c r="N111" i="7"/>
  <c r="M111" i="7"/>
  <c r="L111" i="7"/>
  <c r="K111" i="7"/>
  <c r="J111" i="7"/>
  <c r="I111" i="7"/>
  <c r="H111" i="7"/>
  <c r="G111" i="7"/>
  <c r="U109" i="7"/>
  <c r="T109" i="7"/>
  <c r="Q109" i="7"/>
  <c r="P109" i="7"/>
  <c r="O109" i="7"/>
  <c r="N109" i="7"/>
  <c r="M109" i="7"/>
  <c r="L109" i="7"/>
  <c r="K109" i="7"/>
  <c r="J109" i="7"/>
  <c r="I109" i="7"/>
  <c r="H109" i="7"/>
  <c r="G109" i="7"/>
  <c r="U108" i="7"/>
  <c r="U110" i="7" s="1"/>
  <c r="T108" i="7"/>
  <c r="Q108" i="7"/>
  <c r="P108" i="7"/>
  <c r="O108" i="7"/>
  <c r="N108" i="7"/>
  <c r="M108" i="7"/>
  <c r="L108" i="7"/>
  <c r="K108" i="7"/>
  <c r="J108" i="7"/>
  <c r="I108" i="7"/>
  <c r="H108" i="7"/>
  <c r="G108" i="7"/>
  <c r="U106" i="7"/>
  <c r="T106" i="7"/>
  <c r="Q106" i="7"/>
  <c r="P106" i="7"/>
  <c r="O106" i="7"/>
  <c r="N106" i="7"/>
  <c r="M106" i="7"/>
  <c r="L106" i="7"/>
  <c r="K106" i="7"/>
  <c r="J106" i="7"/>
  <c r="I106" i="7"/>
  <c r="H106" i="7"/>
  <c r="G106" i="7"/>
  <c r="U105" i="7"/>
  <c r="T105" i="7"/>
  <c r="Q105" i="7"/>
  <c r="P105" i="7"/>
  <c r="O105" i="7"/>
  <c r="N105" i="7"/>
  <c r="M105" i="7"/>
  <c r="L105" i="7"/>
  <c r="K105" i="7"/>
  <c r="J105" i="7"/>
  <c r="I105" i="7"/>
  <c r="H105" i="7"/>
  <c r="G105" i="7"/>
  <c r="U103" i="7"/>
  <c r="T103" i="7"/>
  <c r="Q103" i="7"/>
  <c r="P103" i="7"/>
  <c r="O103" i="7"/>
  <c r="N103" i="7"/>
  <c r="M103" i="7"/>
  <c r="L103" i="7"/>
  <c r="K103" i="7"/>
  <c r="J103" i="7"/>
  <c r="I103" i="7"/>
  <c r="H103" i="7"/>
  <c r="G103" i="7"/>
  <c r="U102" i="7"/>
  <c r="U104" i="7" s="1"/>
  <c r="T102" i="7"/>
  <c r="Q102" i="7"/>
  <c r="P102" i="7"/>
  <c r="O102" i="7"/>
  <c r="N102" i="7"/>
  <c r="M102" i="7"/>
  <c r="L102" i="7"/>
  <c r="K102" i="7"/>
  <c r="J102" i="7"/>
  <c r="I102" i="7"/>
  <c r="H102" i="7"/>
  <c r="G102" i="7"/>
  <c r="U100" i="7"/>
  <c r="T100" i="7"/>
  <c r="Q100" i="7"/>
  <c r="P100" i="7"/>
  <c r="O100" i="7"/>
  <c r="N100" i="7"/>
  <c r="M100" i="7"/>
  <c r="L100" i="7"/>
  <c r="K100" i="7"/>
  <c r="J100" i="7"/>
  <c r="I100" i="7"/>
  <c r="H100" i="7"/>
  <c r="G100" i="7"/>
  <c r="U99" i="7"/>
  <c r="T99" i="7"/>
  <c r="Q99" i="7"/>
  <c r="P99" i="7"/>
  <c r="O99" i="7"/>
  <c r="N99" i="7"/>
  <c r="M99" i="7"/>
  <c r="L99" i="7"/>
  <c r="K99" i="7"/>
  <c r="J99" i="7"/>
  <c r="I99" i="7"/>
  <c r="H99" i="7"/>
  <c r="G99" i="7"/>
  <c r="U97" i="7"/>
  <c r="T97" i="7"/>
  <c r="Q97" i="7"/>
  <c r="P97" i="7"/>
  <c r="O97" i="7"/>
  <c r="N97" i="7"/>
  <c r="M97" i="7"/>
  <c r="L97" i="7"/>
  <c r="K97" i="7"/>
  <c r="J97" i="7"/>
  <c r="I97" i="7"/>
  <c r="H97" i="7"/>
  <c r="G97" i="7"/>
  <c r="U96" i="7"/>
  <c r="U98" i="7" s="1"/>
  <c r="T96" i="7"/>
  <c r="Q96" i="7"/>
  <c r="P96" i="7"/>
  <c r="O96" i="7"/>
  <c r="N96" i="7"/>
  <c r="M96" i="7"/>
  <c r="L96" i="7"/>
  <c r="K96" i="7"/>
  <c r="J96" i="7"/>
  <c r="I96" i="7"/>
  <c r="H96" i="7"/>
  <c r="G96" i="7"/>
  <c r="U94" i="7"/>
  <c r="T94" i="7"/>
  <c r="Q94" i="7"/>
  <c r="P94" i="7"/>
  <c r="O94" i="7"/>
  <c r="N94" i="7"/>
  <c r="M94" i="7"/>
  <c r="L94" i="7"/>
  <c r="K94" i="7"/>
  <c r="J94" i="7"/>
  <c r="I94" i="7"/>
  <c r="H94" i="7"/>
  <c r="G94" i="7"/>
  <c r="U93" i="7"/>
  <c r="T93" i="7"/>
  <c r="Q93" i="7"/>
  <c r="P93" i="7"/>
  <c r="O93" i="7"/>
  <c r="N93" i="7"/>
  <c r="M93" i="7"/>
  <c r="L93" i="7"/>
  <c r="K93" i="7"/>
  <c r="J93" i="7"/>
  <c r="I93" i="7"/>
  <c r="H93" i="7"/>
  <c r="G93" i="7"/>
  <c r="U91" i="7"/>
  <c r="T91" i="7"/>
  <c r="Q91" i="7"/>
  <c r="P91" i="7"/>
  <c r="O91" i="7"/>
  <c r="N91" i="7"/>
  <c r="M91" i="7"/>
  <c r="L91" i="7"/>
  <c r="K91" i="7"/>
  <c r="J91" i="7"/>
  <c r="I91" i="7"/>
  <c r="H91" i="7"/>
  <c r="G91" i="7"/>
  <c r="U90" i="7"/>
  <c r="U92" i="7" s="1"/>
  <c r="T90" i="7"/>
  <c r="Q90" i="7"/>
  <c r="P90" i="7"/>
  <c r="O90" i="7"/>
  <c r="N90" i="7"/>
  <c r="M90" i="7"/>
  <c r="L90" i="7"/>
  <c r="K90" i="7"/>
  <c r="J90" i="7"/>
  <c r="I90" i="7"/>
  <c r="H90" i="7"/>
  <c r="G90" i="7"/>
  <c r="U88" i="7"/>
  <c r="T88" i="7"/>
  <c r="Q88" i="7"/>
  <c r="P88" i="7"/>
  <c r="O88" i="7"/>
  <c r="N88" i="7"/>
  <c r="M88" i="7"/>
  <c r="L88" i="7"/>
  <c r="K88" i="7"/>
  <c r="J88" i="7"/>
  <c r="I88" i="7"/>
  <c r="H88" i="7"/>
  <c r="G88" i="7"/>
  <c r="U87" i="7"/>
  <c r="T87" i="7"/>
  <c r="Q87" i="7"/>
  <c r="P87" i="7"/>
  <c r="O87" i="7"/>
  <c r="N87" i="7"/>
  <c r="M87" i="7"/>
  <c r="L87" i="7"/>
  <c r="K87" i="7"/>
  <c r="J87" i="7"/>
  <c r="I87" i="7"/>
  <c r="H87" i="7"/>
  <c r="G87" i="7"/>
  <c r="U85" i="7"/>
  <c r="T85" i="7"/>
  <c r="Q85" i="7"/>
  <c r="P85" i="7"/>
  <c r="O85" i="7"/>
  <c r="N85" i="7"/>
  <c r="M85" i="7"/>
  <c r="L85" i="7"/>
  <c r="K85" i="7"/>
  <c r="J85" i="7"/>
  <c r="I85" i="7"/>
  <c r="H85" i="7"/>
  <c r="G85" i="7"/>
  <c r="U84" i="7"/>
  <c r="U86" i="7" s="1"/>
  <c r="T84" i="7"/>
  <c r="Q84" i="7"/>
  <c r="P84" i="7"/>
  <c r="O84" i="7"/>
  <c r="N84" i="7"/>
  <c r="M84" i="7"/>
  <c r="L84" i="7"/>
  <c r="K84" i="7"/>
  <c r="J84" i="7"/>
  <c r="I84" i="7"/>
  <c r="H84" i="7"/>
  <c r="G84" i="7"/>
  <c r="U82" i="7"/>
  <c r="T82" i="7"/>
  <c r="Q82" i="7"/>
  <c r="P82" i="7"/>
  <c r="O82" i="7"/>
  <c r="N82" i="7"/>
  <c r="M82" i="7"/>
  <c r="L82" i="7"/>
  <c r="K82" i="7"/>
  <c r="J82" i="7"/>
  <c r="I82" i="7"/>
  <c r="H82" i="7"/>
  <c r="G82" i="7"/>
  <c r="U81" i="7"/>
  <c r="T81" i="7"/>
  <c r="P81" i="7"/>
  <c r="O81" i="7"/>
  <c r="N81" i="7"/>
  <c r="M81" i="7"/>
  <c r="L81" i="7"/>
  <c r="L83" i="7" s="1"/>
  <c r="K81" i="7"/>
  <c r="K83" i="7" s="1"/>
  <c r="J81" i="7"/>
  <c r="I81" i="7"/>
  <c r="H81" i="7"/>
  <c r="G81" i="7"/>
  <c r="U79" i="7"/>
  <c r="T79" i="7"/>
  <c r="Q79" i="7"/>
  <c r="P79" i="7"/>
  <c r="O79" i="7"/>
  <c r="N79" i="7"/>
  <c r="M79" i="7"/>
  <c r="L79" i="7"/>
  <c r="K79" i="7"/>
  <c r="J79" i="7"/>
  <c r="H79" i="7"/>
  <c r="G79" i="7"/>
  <c r="U78" i="7"/>
  <c r="T78" i="7"/>
  <c r="T80" i="7" s="1"/>
  <c r="Q78" i="7"/>
  <c r="P78" i="7"/>
  <c r="O78" i="7"/>
  <c r="N78" i="7"/>
  <c r="M78" i="7"/>
  <c r="M80" i="7" s="1"/>
  <c r="L78" i="7"/>
  <c r="L80" i="7" s="1"/>
  <c r="K78" i="7"/>
  <c r="J78" i="7"/>
  <c r="I78" i="7"/>
  <c r="I80" i="7" s="1"/>
  <c r="H78" i="7"/>
  <c r="G78" i="7"/>
  <c r="U76" i="7"/>
  <c r="T76" i="7"/>
  <c r="Q76" i="7"/>
  <c r="P76" i="7"/>
  <c r="O76" i="7"/>
  <c r="N76" i="7"/>
  <c r="M76" i="7"/>
  <c r="L76" i="7"/>
  <c r="K76" i="7"/>
  <c r="J76" i="7"/>
  <c r="I76" i="7"/>
  <c r="H76" i="7"/>
  <c r="G76" i="7"/>
  <c r="U75" i="7"/>
  <c r="U77" i="7" s="1"/>
  <c r="T75" i="7"/>
  <c r="Q75" i="7"/>
  <c r="P75" i="7"/>
  <c r="O75" i="7"/>
  <c r="N75" i="7"/>
  <c r="M75" i="7"/>
  <c r="L75" i="7"/>
  <c r="K75" i="7"/>
  <c r="J75" i="7"/>
  <c r="I75" i="7"/>
  <c r="H75" i="7"/>
  <c r="G75" i="7"/>
  <c r="U73" i="7"/>
  <c r="T73" i="7"/>
  <c r="Q73" i="7"/>
  <c r="P73" i="7"/>
  <c r="O73" i="7"/>
  <c r="N73" i="7"/>
  <c r="M73" i="7"/>
  <c r="L73" i="7"/>
  <c r="K73" i="7"/>
  <c r="J73" i="7"/>
  <c r="I73" i="7"/>
  <c r="H73" i="7"/>
  <c r="G73" i="7"/>
  <c r="U72" i="7"/>
  <c r="T72" i="7"/>
  <c r="Q72" i="7"/>
  <c r="P72" i="7"/>
  <c r="O72" i="7"/>
  <c r="N72" i="7"/>
  <c r="M72" i="7"/>
  <c r="L72" i="7"/>
  <c r="K72" i="7"/>
  <c r="J72" i="7"/>
  <c r="I72" i="7"/>
  <c r="H72" i="7"/>
  <c r="G72" i="7"/>
  <c r="U70" i="7"/>
  <c r="T70" i="7"/>
  <c r="P70" i="7"/>
  <c r="O70" i="7"/>
  <c r="N70" i="7"/>
  <c r="M70" i="7"/>
  <c r="L70" i="7"/>
  <c r="K70" i="7"/>
  <c r="J70" i="7"/>
  <c r="I70" i="7"/>
  <c r="H70" i="7"/>
  <c r="G70" i="7"/>
  <c r="U69" i="7"/>
  <c r="T69" i="7"/>
  <c r="T71" i="7" s="1"/>
  <c r="Q69" i="7"/>
  <c r="P69" i="7"/>
  <c r="O69" i="7"/>
  <c r="N69" i="7"/>
  <c r="M69" i="7"/>
  <c r="L69" i="7"/>
  <c r="K69" i="7"/>
  <c r="J69" i="7"/>
  <c r="I69" i="7"/>
  <c r="H69" i="7"/>
  <c r="G69" i="7"/>
  <c r="U67" i="7"/>
  <c r="T67" i="7"/>
  <c r="P67" i="7"/>
  <c r="O67" i="7"/>
  <c r="N67" i="7"/>
  <c r="M67" i="7"/>
  <c r="L67" i="7"/>
  <c r="K67" i="7"/>
  <c r="J67" i="7"/>
  <c r="I67" i="7"/>
  <c r="H67" i="7"/>
  <c r="G67" i="7"/>
  <c r="U66" i="7"/>
  <c r="U68" i="7" s="1"/>
  <c r="T66" i="7"/>
  <c r="T68" i="7" s="1"/>
  <c r="Q66" i="7"/>
  <c r="P66" i="7"/>
  <c r="O66" i="7"/>
  <c r="N66" i="7"/>
  <c r="M66" i="7"/>
  <c r="L66" i="7"/>
  <c r="K66" i="7"/>
  <c r="J66" i="7"/>
  <c r="I66" i="7"/>
  <c r="H66" i="7"/>
  <c r="G66" i="7"/>
  <c r="U64" i="7"/>
  <c r="T64" i="7"/>
  <c r="Q64" i="7"/>
  <c r="P64" i="7"/>
  <c r="O64" i="7"/>
  <c r="N64" i="7"/>
  <c r="M64" i="7"/>
  <c r="L64" i="7"/>
  <c r="K64" i="7"/>
  <c r="J64" i="7"/>
  <c r="I64" i="7"/>
  <c r="H64" i="7"/>
  <c r="G64" i="7"/>
  <c r="U63" i="7"/>
  <c r="T63" i="7"/>
  <c r="Q63" i="7"/>
  <c r="P63" i="7"/>
  <c r="O63" i="7"/>
  <c r="N63" i="7"/>
  <c r="M63" i="7"/>
  <c r="L63" i="7"/>
  <c r="K63" i="7"/>
  <c r="J63" i="7"/>
  <c r="I63" i="7"/>
  <c r="H63" i="7"/>
  <c r="G63" i="7"/>
  <c r="U61" i="7"/>
  <c r="T61" i="7"/>
  <c r="Q61" i="7"/>
  <c r="P61" i="7"/>
  <c r="O61" i="7"/>
  <c r="N61" i="7"/>
  <c r="M61" i="7"/>
  <c r="L61" i="7"/>
  <c r="K61" i="7"/>
  <c r="J61" i="7"/>
  <c r="I61" i="7"/>
  <c r="H61" i="7"/>
  <c r="G61" i="7"/>
  <c r="U60" i="7"/>
  <c r="U62" i="7" s="1"/>
  <c r="T60" i="7"/>
  <c r="Q60" i="7"/>
  <c r="P60" i="7"/>
  <c r="O60" i="7"/>
  <c r="O62" i="7" s="1"/>
  <c r="N60" i="7"/>
  <c r="M60" i="7"/>
  <c r="L60" i="7"/>
  <c r="K60" i="7"/>
  <c r="K62" i="7" s="1"/>
  <c r="J60" i="7"/>
  <c r="I60" i="7"/>
  <c r="H60" i="7"/>
  <c r="G60" i="7"/>
  <c r="G62" i="7" s="1"/>
  <c r="U58" i="7"/>
  <c r="T58" i="7"/>
  <c r="Q58" i="7"/>
  <c r="P58" i="7"/>
  <c r="O58" i="7"/>
  <c r="N58" i="7"/>
  <c r="M58" i="7"/>
  <c r="L58" i="7"/>
  <c r="K58" i="7"/>
  <c r="J58" i="7"/>
  <c r="I58" i="7"/>
  <c r="H58" i="7"/>
  <c r="G58" i="7"/>
  <c r="U57" i="7"/>
  <c r="T57" i="7"/>
  <c r="Q57" i="7"/>
  <c r="Q59" i="7" s="1"/>
  <c r="P57" i="7"/>
  <c r="O57" i="7"/>
  <c r="N57" i="7"/>
  <c r="M57" i="7"/>
  <c r="M59" i="7" s="1"/>
  <c r="L57" i="7"/>
  <c r="K57" i="7"/>
  <c r="J57" i="7"/>
  <c r="I57" i="7"/>
  <c r="I59" i="7" s="1"/>
  <c r="H57" i="7"/>
  <c r="G57" i="7"/>
  <c r="U55" i="7"/>
  <c r="T55" i="7"/>
  <c r="Q55" i="7"/>
  <c r="P55" i="7"/>
  <c r="O55" i="7"/>
  <c r="N55" i="7"/>
  <c r="M55" i="7"/>
  <c r="L55" i="7"/>
  <c r="K55" i="7"/>
  <c r="J55" i="7"/>
  <c r="I55" i="7"/>
  <c r="H55" i="7"/>
  <c r="G55" i="7"/>
  <c r="U54" i="7"/>
  <c r="U56" i="7" s="1"/>
  <c r="T54" i="7"/>
  <c r="Q54" i="7"/>
  <c r="P54" i="7"/>
  <c r="O54" i="7"/>
  <c r="O56" i="7" s="1"/>
  <c r="N54" i="7"/>
  <c r="M54" i="7"/>
  <c r="L54" i="7"/>
  <c r="K54" i="7"/>
  <c r="K56" i="7" s="1"/>
  <c r="J54" i="7"/>
  <c r="I54" i="7"/>
  <c r="H54" i="7"/>
  <c r="G54" i="7"/>
  <c r="G56" i="7" s="1"/>
  <c r="U52" i="7"/>
  <c r="T52" i="7"/>
  <c r="Q52" i="7"/>
  <c r="P52" i="7"/>
  <c r="O52" i="7"/>
  <c r="N52" i="7"/>
  <c r="M52" i="7"/>
  <c r="L52" i="7"/>
  <c r="K52" i="7"/>
  <c r="J52" i="7"/>
  <c r="I52" i="7"/>
  <c r="H52" i="7"/>
  <c r="G52" i="7"/>
  <c r="U51" i="7"/>
  <c r="T51" i="7"/>
  <c r="Q51" i="7"/>
  <c r="Q53" i="7" s="1"/>
  <c r="P51" i="7"/>
  <c r="O51" i="7"/>
  <c r="N51" i="7"/>
  <c r="M51" i="7"/>
  <c r="M53" i="7" s="1"/>
  <c r="L51" i="7"/>
  <c r="K51" i="7"/>
  <c r="J51" i="7"/>
  <c r="I51" i="7"/>
  <c r="I53" i="7" s="1"/>
  <c r="H51" i="7"/>
  <c r="G51" i="7"/>
  <c r="U49" i="7"/>
  <c r="T49" i="7"/>
  <c r="Q49" i="7"/>
  <c r="P49" i="7"/>
  <c r="O49" i="7"/>
  <c r="N49" i="7"/>
  <c r="M49" i="7"/>
  <c r="L49" i="7"/>
  <c r="K49" i="7"/>
  <c r="J49" i="7"/>
  <c r="I49" i="7"/>
  <c r="H49" i="7"/>
  <c r="G49" i="7"/>
  <c r="U48" i="7"/>
  <c r="U50" i="7" s="1"/>
  <c r="T48" i="7"/>
  <c r="Q48" i="7"/>
  <c r="P48" i="7"/>
  <c r="O48" i="7"/>
  <c r="O50" i="7" s="1"/>
  <c r="N48" i="7"/>
  <c r="M48" i="7"/>
  <c r="L48" i="7"/>
  <c r="K48" i="7"/>
  <c r="K50" i="7" s="1"/>
  <c r="J48" i="7"/>
  <c r="I48" i="7"/>
  <c r="H48" i="7"/>
  <c r="G48" i="7"/>
  <c r="G50" i="7" s="1"/>
  <c r="U46" i="7"/>
  <c r="T46" i="7"/>
  <c r="Q46" i="7"/>
  <c r="P46" i="7"/>
  <c r="O46" i="7"/>
  <c r="N46" i="7"/>
  <c r="M46" i="7"/>
  <c r="L46" i="7"/>
  <c r="K46" i="7"/>
  <c r="J46" i="7"/>
  <c r="I46" i="7"/>
  <c r="H46" i="7"/>
  <c r="G46" i="7"/>
  <c r="U45" i="7"/>
  <c r="T45" i="7"/>
  <c r="P45" i="7"/>
  <c r="O45" i="7"/>
  <c r="O47" i="7" s="1"/>
  <c r="N45" i="7"/>
  <c r="M45" i="7"/>
  <c r="M47" i="7" s="1"/>
  <c r="L45" i="7"/>
  <c r="K45" i="7"/>
  <c r="J45" i="7"/>
  <c r="J47" i="7" s="1"/>
  <c r="I45" i="7"/>
  <c r="H45" i="7"/>
  <c r="G45" i="7"/>
  <c r="G47" i="7" s="1"/>
  <c r="U43" i="7"/>
  <c r="T43" i="7"/>
  <c r="Q43" i="7"/>
  <c r="P43" i="7"/>
  <c r="O43" i="7"/>
  <c r="N43" i="7"/>
  <c r="M43" i="7"/>
  <c r="L43" i="7"/>
  <c r="K43" i="7"/>
  <c r="J43" i="7"/>
  <c r="I43" i="7"/>
  <c r="H43" i="7"/>
  <c r="G43" i="7"/>
  <c r="U42" i="7"/>
  <c r="T42" i="7"/>
  <c r="T44" i="7" s="1"/>
  <c r="Q42" i="7"/>
  <c r="P42" i="7"/>
  <c r="O42" i="7"/>
  <c r="N42" i="7"/>
  <c r="N44" i="7" s="1"/>
  <c r="M42" i="7"/>
  <c r="L42" i="7"/>
  <c r="K42" i="7"/>
  <c r="J42" i="7"/>
  <c r="J44" i="7" s="1"/>
  <c r="I42" i="7"/>
  <c r="H42" i="7"/>
  <c r="G42" i="7"/>
  <c r="U40" i="7"/>
  <c r="T40" i="7"/>
  <c r="Q40" i="7"/>
  <c r="P40" i="7"/>
  <c r="O40" i="7"/>
  <c r="N40" i="7"/>
  <c r="M40" i="7"/>
  <c r="L40" i="7"/>
  <c r="K40" i="7"/>
  <c r="J40" i="7"/>
  <c r="I40" i="7"/>
  <c r="H40" i="7"/>
  <c r="G40" i="7"/>
  <c r="U39" i="7"/>
  <c r="T39" i="7"/>
  <c r="Q39" i="7"/>
  <c r="P39" i="7"/>
  <c r="P41" i="7" s="1"/>
  <c r="O39" i="7"/>
  <c r="N39" i="7"/>
  <c r="M39" i="7"/>
  <c r="L39" i="7"/>
  <c r="L41" i="7" s="1"/>
  <c r="K39" i="7"/>
  <c r="J39" i="7"/>
  <c r="I39" i="7"/>
  <c r="H39" i="7"/>
  <c r="H41" i="7" s="1"/>
  <c r="G39" i="7"/>
  <c r="U37" i="7"/>
  <c r="T37" i="7"/>
  <c r="Q37" i="7"/>
  <c r="P37" i="7"/>
  <c r="O37" i="7"/>
  <c r="N37" i="7"/>
  <c r="M37" i="7"/>
  <c r="L37" i="7"/>
  <c r="K37" i="7"/>
  <c r="J37" i="7"/>
  <c r="I37" i="7"/>
  <c r="H37" i="7"/>
  <c r="G37" i="7"/>
  <c r="U36" i="7"/>
  <c r="T36" i="7"/>
  <c r="T38" i="7" s="1"/>
  <c r="Q36" i="7"/>
  <c r="P36" i="7"/>
  <c r="O36" i="7"/>
  <c r="N36" i="7"/>
  <c r="N38" i="7" s="1"/>
  <c r="M36" i="7"/>
  <c r="L36" i="7"/>
  <c r="K36" i="7"/>
  <c r="J36" i="7"/>
  <c r="J38" i="7" s="1"/>
  <c r="I36" i="7"/>
  <c r="H36" i="7"/>
  <c r="G36" i="7"/>
  <c r="U34" i="7"/>
  <c r="T34" i="7"/>
  <c r="Q34" i="7"/>
  <c r="P34" i="7"/>
  <c r="O34" i="7"/>
  <c r="N34" i="7"/>
  <c r="M34" i="7"/>
  <c r="L34" i="7"/>
  <c r="K34" i="7"/>
  <c r="J34" i="7"/>
  <c r="I34" i="7"/>
  <c r="H34" i="7"/>
  <c r="G34" i="7"/>
  <c r="U33" i="7"/>
  <c r="T33" i="7"/>
  <c r="Q33" i="7"/>
  <c r="P33" i="7"/>
  <c r="P35" i="7" s="1"/>
  <c r="O33" i="7"/>
  <c r="N33" i="7"/>
  <c r="M33" i="7"/>
  <c r="L33" i="7"/>
  <c r="L35" i="7" s="1"/>
  <c r="K33" i="7"/>
  <c r="J33" i="7"/>
  <c r="I33" i="7"/>
  <c r="H33" i="7"/>
  <c r="H35" i="7" s="1"/>
  <c r="G33" i="7"/>
  <c r="U31" i="7"/>
  <c r="T31" i="7"/>
  <c r="Q31" i="7"/>
  <c r="P31" i="7"/>
  <c r="O31" i="7"/>
  <c r="N31" i="7"/>
  <c r="M31" i="7"/>
  <c r="L31" i="7"/>
  <c r="K31" i="7"/>
  <c r="J31" i="7"/>
  <c r="I31" i="7"/>
  <c r="H31" i="7"/>
  <c r="G31" i="7"/>
  <c r="U30" i="7"/>
  <c r="T30" i="7"/>
  <c r="T32" i="7" s="1"/>
  <c r="Q30" i="7"/>
  <c r="P30" i="7"/>
  <c r="O30" i="7"/>
  <c r="N30" i="7"/>
  <c r="N32" i="7" s="1"/>
  <c r="M30" i="7"/>
  <c r="L30" i="7"/>
  <c r="K30" i="7"/>
  <c r="J30" i="7"/>
  <c r="J32" i="7" s="1"/>
  <c r="I30" i="7"/>
  <c r="H30" i="7"/>
  <c r="G30" i="7"/>
  <c r="U28" i="7"/>
  <c r="T28" i="7"/>
  <c r="Q28" i="7"/>
  <c r="P28" i="7"/>
  <c r="O28" i="7"/>
  <c r="N28" i="7"/>
  <c r="M28" i="7"/>
  <c r="L28" i="7"/>
  <c r="K28" i="7"/>
  <c r="J28" i="7"/>
  <c r="I28" i="7"/>
  <c r="H28" i="7"/>
  <c r="G28" i="7"/>
  <c r="U27" i="7"/>
  <c r="T27" i="7"/>
  <c r="Q27" i="7"/>
  <c r="P27" i="7"/>
  <c r="P29" i="7" s="1"/>
  <c r="O27" i="7"/>
  <c r="N27" i="7"/>
  <c r="M27" i="7"/>
  <c r="L27" i="7"/>
  <c r="L29" i="7" s="1"/>
  <c r="K27" i="7"/>
  <c r="J27" i="7"/>
  <c r="J29" i="7" s="1"/>
  <c r="I27" i="7"/>
  <c r="H27" i="7"/>
  <c r="H29" i="7" s="1"/>
  <c r="G27" i="7"/>
  <c r="U25" i="7"/>
  <c r="T25" i="7"/>
  <c r="Q25" i="7"/>
  <c r="P25" i="7"/>
  <c r="O25" i="7"/>
  <c r="N25" i="7"/>
  <c r="M25" i="7"/>
  <c r="L25" i="7"/>
  <c r="K25" i="7"/>
  <c r="J25" i="7"/>
  <c r="I25" i="7"/>
  <c r="H25" i="7"/>
  <c r="G25" i="7"/>
  <c r="U24" i="7"/>
  <c r="T24" i="7"/>
  <c r="T26" i="7" s="1"/>
  <c r="P24" i="7"/>
  <c r="O24" i="7"/>
  <c r="O26" i="7" s="1"/>
  <c r="N24" i="7"/>
  <c r="M24" i="7"/>
  <c r="L24" i="7"/>
  <c r="L26" i="7" s="1"/>
  <c r="K24" i="7"/>
  <c r="J24" i="7"/>
  <c r="J26" i="7" s="1"/>
  <c r="I24" i="7"/>
  <c r="I26" i="7" s="1"/>
  <c r="H24" i="7"/>
  <c r="G24" i="7"/>
  <c r="G26" i="7" s="1"/>
  <c r="U22" i="7"/>
  <c r="T22" i="7"/>
  <c r="Q22" i="7"/>
  <c r="P22" i="7"/>
  <c r="O22" i="7"/>
  <c r="N22" i="7"/>
  <c r="M22" i="7"/>
  <c r="L22" i="7"/>
  <c r="K22" i="7"/>
  <c r="J22" i="7"/>
  <c r="I22" i="7"/>
  <c r="H22" i="7"/>
  <c r="G22" i="7"/>
  <c r="U21" i="7"/>
  <c r="U23" i="7" s="1"/>
  <c r="T21" i="7"/>
  <c r="Q21" i="7"/>
  <c r="P21" i="7"/>
  <c r="O21" i="7"/>
  <c r="O23" i="7" s="1"/>
  <c r="N21" i="7"/>
  <c r="M21" i="7"/>
  <c r="M23" i="7" s="1"/>
  <c r="L21" i="7"/>
  <c r="K21" i="7"/>
  <c r="K23" i="7" s="1"/>
  <c r="J21" i="7"/>
  <c r="I21" i="7"/>
  <c r="H21" i="7"/>
  <c r="G21" i="7"/>
  <c r="G23" i="7" s="1"/>
  <c r="U19" i="7"/>
  <c r="T19" i="7"/>
  <c r="P19" i="7"/>
  <c r="O19" i="7"/>
  <c r="N19" i="7"/>
  <c r="M19" i="7"/>
  <c r="L19" i="7"/>
  <c r="K19" i="7"/>
  <c r="J19" i="7"/>
  <c r="I19" i="7"/>
  <c r="H19" i="7"/>
  <c r="G19" i="7"/>
  <c r="U18" i="7"/>
  <c r="T18" i="7"/>
  <c r="T20" i="7" s="1"/>
  <c r="Q18" i="7"/>
  <c r="Q20" i="7" s="1"/>
  <c r="P18" i="7"/>
  <c r="P20" i="7" s="1"/>
  <c r="O18" i="7"/>
  <c r="N18" i="7"/>
  <c r="N20" i="7" s="1"/>
  <c r="M18" i="7"/>
  <c r="L18" i="7"/>
  <c r="L20" i="7" s="1"/>
  <c r="K18" i="7"/>
  <c r="J18" i="7"/>
  <c r="I18" i="7"/>
  <c r="H18" i="7"/>
  <c r="H20" i="7" s="1"/>
  <c r="G18" i="7"/>
  <c r="U16" i="7"/>
  <c r="T16" i="7"/>
  <c r="Q16" i="7"/>
  <c r="P16" i="7"/>
  <c r="O16" i="7"/>
  <c r="N16" i="7"/>
  <c r="M16" i="7"/>
  <c r="L16" i="7"/>
  <c r="K16" i="7"/>
  <c r="J16" i="7"/>
  <c r="I16" i="7"/>
  <c r="H16" i="7"/>
  <c r="G16" i="7"/>
  <c r="U15" i="7"/>
  <c r="T15" i="7"/>
  <c r="T17" i="7" s="1"/>
  <c r="Q15" i="7"/>
  <c r="P15" i="7"/>
  <c r="P17" i="7" s="1"/>
  <c r="O15" i="7"/>
  <c r="N15" i="7"/>
  <c r="N17" i="7" s="1"/>
  <c r="M15" i="7"/>
  <c r="L15" i="7"/>
  <c r="K15" i="7"/>
  <c r="J15" i="7"/>
  <c r="J17" i="7" s="1"/>
  <c r="I15" i="7"/>
  <c r="H15" i="7"/>
  <c r="H17" i="7" s="1"/>
  <c r="G15" i="7"/>
  <c r="U13" i="7"/>
  <c r="T13" i="7"/>
  <c r="Q13" i="7"/>
  <c r="P13" i="7"/>
  <c r="O13" i="7"/>
  <c r="N13" i="7"/>
  <c r="M13" i="7"/>
  <c r="L13" i="7"/>
  <c r="K13" i="7"/>
  <c r="J13" i="7"/>
  <c r="I13" i="7"/>
  <c r="H13" i="7"/>
  <c r="G13" i="7"/>
  <c r="F13" i="7"/>
  <c r="U12" i="7"/>
  <c r="T12" i="7"/>
  <c r="T14" i="7" s="1"/>
  <c r="Q12" i="7"/>
  <c r="P12" i="7"/>
  <c r="O12" i="7"/>
  <c r="N12" i="7"/>
  <c r="N14" i="7" s="1"/>
  <c r="M12" i="7"/>
  <c r="M14" i="7" s="1"/>
  <c r="L12" i="7"/>
  <c r="K12" i="7"/>
  <c r="J12" i="7"/>
  <c r="J14" i="7" s="1"/>
  <c r="I12" i="7"/>
  <c r="H12" i="7"/>
  <c r="G12" i="7"/>
  <c r="F12" i="7"/>
  <c r="F14" i="7" s="1"/>
  <c r="U10" i="7"/>
  <c r="T10" i="7"/>
  <c r="Q10" i="7"/>
  <c r="P10" i="7"/>
  <c r="O10" i="7"/>
  <c r="N10" i="7"/>
  <c r="M10" i="7"/>
  <c r="L10" i="7"/>
  <c r="K10" i="7"/>
  <c r="J10" i="7"/>
  <c r="I10" i="7"/>
  <c r="H10" i="7"/>
  <c r="G10" i="7"/>
  <c r="F10" i="7"/>
  <c r="U9" i="7"/>
  <c r="T9" i="7"/>
  <c r="T11" i="7" s="1"/>
  <c r="Q9" i="7"/>
  <c r="Q11" i="7" s="1"/>
  <c r="P9" i="7"/>
  <c r="O9" i="7"/>
  <c r="N9" i="7"/>
  <c r="N11" i="7" s="1"/>
  <c r="M9" i="7"/>
  <c r="L9" i="7"/>
  <c r="K9" i="7"/>
  <c r="J9" i="7"/>
  <c r="J11" i="7" s="1"/>
  <c r="I9" i="7"/>
  <c r="I11" i="7" s="1"/>
  <c r="H9" i="7"/>
  <c r="G9" i="7"/>
  <c r="F9" i="7"/>
  <c r="U7" i="7"/>
  <c r="T7" i="7"/>
  <c r="Q7" i="7"/>
  <c r="P7" i="7"/>
  <c r="O7" i="7"/>
  <c r="N7" i="7"/>
  <c r="M7" i="7"/>
  <c r="L7" i="7"/>
  <c r="K7" i="7"/>
  <c r="J7" i="7"/>
  <c r="I7" i="7"/>
  <c r="H7" i="7"/>
  <c r="G7" i="7"/>
  <c r="F7" i="7"/>
  <c r="U6" i="7"/>
  <c r="T6" i="7"/>
  <c r="T8" i="7" s="1"/>
  <c r="Q6" i="7"/>
  <c r="P6" i="7"/>
  <c r="O6" i="7"/>
  <c r="N6" i="7"/>
  <c r="N8" i="7" s="1"/>
  <c r="M6" i="7"/>
  <c r="M8" i="7" s="1"/>
  <c r="L6" i="7"/>
  <c r="K6" i="7"/>
  <c r="J6" i="7"/>
  <c r="J8" i="7" s="1"/>
  <c r="I6" i="7"/>
  <c r="H6" i="7"/>
  <c r="G6" i="7"/>
  <c r="F6" i="7"/>
  <c r="L6" i="25" l="1"/>
  <c r="O9" i="25"/>
  <c r="G9" i="25"/>
  <c r="J12" i="25"/>
  <c r="M15" i="25"/>
  <c r="Q18" i="25"/>
  <c r="H18" i="25"/>
  <c r="K21" i="25"/>
  <c r="N24" i="25"/>
  <c r="F24" i="25"/>
  <c r="I27" i="25"/>
  <c r="G8" i="7"/>
  <c r="U11" i="7"/>
  <c r="G14" i="7"/>
  <c r="O14" i="7"/>
  <c r="L17" i="7"/>
  <c r="J20" i="7"/>
  <c r="I23" i="7"/>
  <c r="Q23" i="7"/>
  <c r="N29" i="7"/>
  <c r="L32" i="7"/>
  <c r="J35" i="7"/>
  <c r="T35" i="7"/>
  <c r="H38" i="7"/>
  <c r="P38" i="7"/>
  <c r="N41" i="7"/>
  <c r="L44" i="7"/>
  <c r="U47" i="7"/>
  <c r="I50" i="7"/>
  <c r="Q50" i="7"/>
  <c r="G53" i="7"/>
  <c r="O53" i="7"/>
  <c r="M56" i="7"/>
  <c r="K59" i="7"/>
  <c r="U59" i="7"/>
  <c r="I62" i="7"/>
  <c r="Q62" i="7"/>
  <c r="U74" i="7"/>
  <c r="U89" i="7"/>
  <c r="U101" i="7"/>
  <c r="U113" i="7"/>
  <c r="T116" i="7"/>
  <c r="U128" i="7"/>
  <c r="O8" i="7"/>
  <c r="K11" i="7"/>
  <c r="L47" i="7"/>
  <c r="T29" i="7"/>
  <c r="H32" i="7"/>
  <c r="P32" i="7"/>
  <c r="N35" i="7"/>
  <c r="L38" i="7"/>
  <c r="J41" i="7"/>
  <c r="T41" i="7"/>
  <c r="H44" i="7"/>
  <c r="P44" i="7"/>
  <c r="M50" i="7"/>
  <c r="K53" i="7"/>
  <c r="U53" i="7"/>
  <c r="I56" i="7"/>
  <c r="Q56" i="7"/>
  <c r="G59" i="7"/>
  <c r="O59" i="7"/>
  <c r="M62" i="7"/>
  <c r="U65" i="7"/>
  <c r="U83" i="7"/>
  <c r="U95" i="7"/>
  <c r="U107" i="7"/>
  <c r="U122" i="7"/>
  <c r="U125" i="7"/>
  <c r="H8" i="7"/>
  <c r="P8" i="7"/>
  <c r="L11" i="7"/>
  <c r="H14" i="7"/>
  <c r="P14" i="7"/>
  <c r="U20" i="7"/>
  <c r="H26" i="7"/>
  <c r="P26" i="7"/>
  <c r="K47" i="7"/>
  <c r="P80" i="7"/>
  <c r="G83" i="7"/>
  <c r="O83" i="7"/>
  <c r="J116" i="7"/>
  <c r="T155" i="7"/>
  <c r="U122" i="11"/>
  <c r="Q80" i="7"/>
  <c r="H83" i="7"/>
  <c r="P83" i="7"/>
  <c r="K116" i="7"/>
  <c r="T119" i="7"/>
  <c r="K29" i="15"/>
  <c r="J32" i="15"/>
  <c r="F38" i="15"/>
  <c r="N38" i="15"/>
  <c r="M11" i="7"/>
  <c r="I14" i="7"/>
  <c r="K8" i="7"/>
  <c r="O11" i="7"/>
  <c r="K14" i="7"/>
  <c r="N47" i="7"/>
  <c r="U80" i="7"/>
  <c r="T14" i="11"/>
  <c r="U26" i="11"/>
  <c r="T35" i="11"/>
  <c r="T47" i="11"/>
  <c r="U59" i="11"/>
  <c r="U71" i="11"/>
  <c r="T92" i="11"/>
  <c r="T104" i="11"/>
  <c r="T116" i="11"/>
  <c r="U128" i="11"/>
  <c r="U140" i="11"/>
  <c r="M29" i="15"/>
  <c r="L32" i="15"/>
  <c r="H38" i="15"/>
  <c r="P38" i="15"/>
  <c r="Q8" i="7"/>
  <c r="Q14" i="7"/>
  <c r="U8" i="7"/>
  <c r="G11" i="7"/>
  <c r="U14" i="7"/>
  <c r="K26" i="7"/>
  <c r="L8" i="7"/>
  <c r="H11" i="7"/>
  <c r="P11" i="7"/>
  <c r="L14" i="7"/>
  <c r="T152" i="7"/>
  <c r="T158" i="7"/>
  <c r="L125" i="15"/>
  <c r="M152" i="15"/>
  <c r="I8" i="7"/>
  <c r="M26" i="7"/>
  <c r="P47" i="7"/>
  <c r="T131" i="7"/>
  <c r="T137" i="7"/>
  <c r="T143" i="7"/>
  <c r="T149" i="7"/>
  <c r="U152" i="7"/>
  <c r="U158" i="7"/>
  <c r="H47" i="7"/>
  <c r="N26" i="7"/>
  <c r="I47" i="7"/>
  <c r="U71" i="7"/>
  <c r="L11" i="15"/>
  <c r="F125" i="15"/>
  <c r="N125" i="15"/>
  <c r="G152" i="15"/>
  <c r="O152" i="15"/>
  <c r="N87" i="25"/>
  <c r="G17" i="7"/>
  <c r="I17" i="7"/>
  <c r="K17" i="7"/>
  <c r="M17" i="7"/>
  <c r="O17" i="7"/>
  <c r="Q17" i="7"/>
  <c r="U17" i="7"/>
  <c r="G20" i="7"/>
  <c r="I20" i="7"/>
  <c r="K20" i="7"/>
  <c r="M20" i="7"/>
  <c r="O20" i="7"/>
  <c r="H23" i="7"/>
  <c r="J23" i="7"/>
  <c r="L23" i="7"/>
  <c r="N23" i="7"/>
  <c r="P23" i="7"/>
  <c r="T23" i="7"/>
  <c r="U26" i="7"/>
  <c r="G29" i="7"/>
  <c r="I29" i="7"/>
  <c r="K29" i="7"/>
  <c r="M29" i="7"/>
  <c r="O29" i="7"/>
  <c r="Q29" i="7"/>
  <c r="U29" i="7"/>
  <c r="G32" i="7"/>
  <c r="I32" i="7"/>
  <c r="K32" i="7"/>
  <c r="M32" i="7"/>
  <c r="O32" i="7"/>
  <c r="Q32" i="7"/>
  <c r="U32" i="7"/>
  <c r="G35" i="7"/>
  <c r="I35" i="7"/>
  <c r="K35" i="7"/>
  <c r="M35" i="7"/>
  <c r="O35" i="7"/>
  <c r="Q35" i="7"/>
  <c r="U35" i="7"/>
  <c r="G38" i="7"/>
  <c r="I38" i="7"/>
  <c r="K38" i="7"/>
  <c r="M38" i="7"/>
  <c r="O38" i="7"/>
  <c r="Q38" i="7"/>
  <c r="U38" i="7"/>
  <c r="G41" i="7"/>
  <c r="I41" i="7"/>
  <c r="K41" i="7"/>
  <c r="M41" i="7"/>
  <c r="O41" i="7"/>
  <c r="Q41" i="7"/>
  <c r="U41" i="7"/>
  <c r="G44" i="7"/>
  <c r="I44" i="7"/>
  <c r="K44" i="7"/>
  <c r="M44" i="7"/>
  <c r="O44" i="7"/>
  <c r="Q44" i="7"/>
  <c r="U44" i="7"/>
  <c r="T47" i="7"/>
  <c r="H50" i="7"/>
  <c r="J50" i="7"/>
  <c r="L50" i="7"/>
  <c r="N50" i="7"/>
  <c r="P50" i="7"/>
  <c r="T50" i="7"/>
  <c r="H53" i="7"/>
  <c r="J53" i="7"/>
  <c r="L53" i="7"/>
  <c r="N53" i="7"/>
  <c r="P53" i="7"/>
  <c r="T53" i="7"/>
  <c r="H56" i="7"/>
  <c r="J56" i="7"/>
  <c r="L56" i="7"/>
  <c r="N56" i="7"/>
  <c r="P56" i="7"/>
  <c r="T56" i="7"/>
  <c r="H59" i="7"/>
  <c r="J59" i="7"/>
  <c r="L59" i="7"/>
  <c r="N59" i="7"/>
  <c r="P59" i="7"/>
  <c r="T59" i="7"/>
  <c r="H62" i="7"/>
  <c r="J62" i="7"/>
  <c r="L62" i="7"/>
  <c r="N62" i="7"/>
  <c r="P62" i="7"/>
  <c r="T62" i="7"/>
  <c r="T65" i="7"/>
  <c r="T74" i="7"/>
  <c r="T77" i="7"/>
  <c r="T83" i="7"/>
  <c r="T86" i="7"/>
  <c r="T89" i="7"/>
  <c r="T92" i="7"/>
  <c r="T95" i="7"/>
  <c r="T98" i="7"/>
  <c r="T101" i="7"/>
  <c r="T104" i="7"/>
  <c r="T107" i="7"/>
  <c r="T110" i="7"/>
  <c r="T113" i="7"/>
  <c r="U116" i="7"/>
  <c r="T122" i="7"/>
  <c r="T125" i="7"/>
  <c r="T128" i="7"/>
  <c r="Q47" i="7"/>
  <c r="U8" i="11"/>
  <c r="U11" i="11"/>
  <c r="U14" i="11"/>
  <c r="U17" i="11"/>
  <c r="T20" i="11"/>
  <c r="T23" i="11"/>
  <c r="T26" i="11"/>
  <c r="T29" i="11"/>
  <c r="U32" i="11"/>
  <c r="U35" i="11"/>
  <c r="U38" i="11"/>
  <c r="U41" i="11"/>
  <c r="U44" i="11"/>
  <c r="U47" i="11"/>
  <c r="U50" i="11"/>
  <c r="U53" i="11"/>
  <c r="T59" i="11"/>
  <c r="T62" i="11"/>
  <c r="T65" i="11"/>
  <c r="T68" i="11"/>
  <c r="T71" i="11"/>
  <c r="T74" i="11"/>
  <c r="T77" i="11"/>
  <c r="T80" i="11"/>
  <c r="U83" i="11"/>
  <c r="U86" i="11"/>
  <c r="U89" i="11"/>
  <c r="U92" i="11"/>
  <c r="U95" i="11"/>
  <c r="U98" i="11"/>
  <c r="U101" i="11"/>
  <c r="U104" i="11"/>
  <c r="U107" i="11"/>
  <c r="U110" i="11"/>
  <c r="U113" i="11"/>
  <c r="U116" i="11"/>
  <c r="U119" i="11"/>
  <c r="T125" i="11"/>
  <c r="T128" i="11"/>
  <c r="T131" i="11"/>
  <c r="T134" i="11"/>
  <c r="T137" i="11"/>
  <c r="T140" i="11"/>
  <c r="T143" i="11"/>
  <c r="T146" i="11"/>
  <c r="T149" i="11"/>
  <c r="T152" i="11"/>
  <c r="Q26" i="7"/>
  <c r="N57" i="25"/>
  <c r="J57" i="25"/>
  <c r="F57" i="25"/>
  <c r="M60" i="25"/>
  <c r="I60" i="25"/>
  <c r="Q63" i="25"/>
  <c r="L63" i="25"/>
  <c r="H63" i="25"/>
  <c r="O66" i="25"/>
  <c r="K66" i="25"/>
  <c r="G66" i="25"/>
  <c r="N69" i="25"/>
  <c r="J69" i="25"/>
  <c r="F69" i="25"/>
  <c r="M72" i="25"/>
  <c r="I72" i="25"/>
  <c r="Q75" i="25"/>
  <c r="L75" i="25"/>
  <c r="H75" i="25"/>
  <c r="O78" i="25"/>
  <c r="K78" i="25"/>
  <c r="G78" i="25"/>
  <c r="N81" i="25"/>
  <c r="J81" i="25"/>
  <c r="F81" i="25"/>
  <c r="M84" i="25"/>
  <c r="I84" i="25"/>
  <c r="Q87" i="25"/>
  <c r="L87" i="25"/>
  <c r="H87" i="25"/>
  <c r="N6" i="25"/>
  <c r="J6" i="25"/>
  <c r="F6" i="25"/>
  <c r="M9" i="25"/>
  <c r="I9" i="25"/>
  <c r="Q12" i="25"/>
  <c r="L12" i="25"/>
  <c r="H12" i="25"/>
  <c r="O15" i="25"/>
  <c r="K15" i="25"/>
  <c r="G15" i="25"/>
  <c r="N18" i="25"/>
  <c r="J18" i="25"/>
  <c r="F18" i="25"/>
  <c r="M21" i="25"/>
  <c r="I21" i="25"/>
  <c r="Q24" i="25"/>
  <c r="L24" i="25"/>
  <c r="H24" i="25"/>
  <c r="O27" i="25"/>
  <c r="K27" i="25"/>
  <c r="G27" i="25"/>
  <c r="N30" i="25"/>
  <c r="J30" i="25"/>
  <c r="F30" i="25"/>
  <c r="M33" i="25"/>
  <c r="I33" i="25"/>
  <c r="Q36" i="25"/>
  <c r="L36" i="25"/>
  <c r="H36" i="25"/>
  <c r="O39" i="25"/>
  <c r="K39" i="25"/>
  <c r="G39" i="25"/>
  <c r="K80" i="7"/>
  <c r="O80" i="7"/>
  <c r="J83" i="7"/>
  <c r="N83" i="7"/>
  <c r="I116" i="7"/>
  <c r="M116" i="7"/>
  <c r="L30" i="25"/>
  <c r="H30" i="25"/>
  <c r="O33" i="25"/>
  <c r="K33" i="25"/>
  <c r="G33" i="25"/>
  <c r="N36" i="25"/>
  <c r="J36" i="25"/>
  <c r="F36" i="25"/>
  <c r="M39" i="25"/>
  <c r="I39" i="25"/>
  <c r="Q42" i="25"/>
  <c r="N42" i="25"/>
  <c r="L42" i="25"/>
  <c r="J42" i="25"/>
  <c r="H42" i="25"/>
  <c r="F42" i="25"/>
  <c r="O45" i="25"/>
  <c r="M45" i="25"/>
  <c r="K45" i="25"/>
  <c r="I45" i="25"/>
  <c r="G45" i="25"/>
  <c r="Q48" i="25"/>
  <c r="N48" i="25"/>
  <c r="L48" i="25"/>
  <c r="J48" i="25"/>
  <c r="H48" i="25"/>
  <c r="F48" i="25"/>
  <c r="M51" i="25"/>
  <c r="I51" i="25"/>
  <c r="Q54" i="25"/>
  <c r="L54" i="25"/>
  <c r="H54" i="25"/>
  <c r="O57" i="25"/>
  <c r="K57" i="25"/>
  <c r="G57" i="25"/>
  <c r="Q60" i="25"/>
  <c r="N60" i="25"/>
  <c r="J60" i="25"/>
  <c r="F60" i="25"/>
  <c r="Q66" i="25"/>
  <c r="G74" i="7"/>
  <c r="K74" i="7"/>
  <c r="O74" i="7"/>
  <c r="I77" i="7"/>
  <c r="M77" i="7"/>
  <c r="G80" i="7"/>
  <c r="Q72" i="25"/>
  <c r="Q78" i="25"/>
  <c r="Q84" i="25"/>
  <c r="G8" i="11"/>
  <c r="K8" i="11"/>
  <c r="O8" i="11"/>
  <c r="P65" i="11"/>
  <c r="G116" i="11"/>
  <c r="K116" i="11"/>
  <c r="O116" i="11"/>
  <c r="I119" i="11"/>
  <c r="M119" i="11"/>
  <c r="G122" i="11"/>
  <c r="H152" i="11"/>
  <c r="L152" i="11"/>
  <c r="P152" i="11"/>
  <c r="F59" i="15"/>
  <c r="H59" i="15"/>
  <c r="J59" i="15"/>
  <c r="L59" i="15"/>
  <c r="N59" i="15"/>
  <c r="P59" i="15"/>
  <c r="R59" i="15"/>
  <c r="F62" i="15"/>
  <c r="H62" i="15"/>
  <c r="J62" i="15"/>
  <c r="L62" i="15"/>
  <c r="N62" i="15"/>
  <c r="P62" i="15"/>
  <c r="R62" i="15"/>
  <c r="F137" i="15"/>
  <c r="H137" i="15"/>
  <c r="J137" i="15"/>
  <c r="L137" i="15"/>
  <c r="N137" i="15"/>
  <c r="P137" i="15"/>
  <c r="R137" i="15"/>
  <c r="F140" i="15"/>
  <c r="H140" i="15"/>
  <c r="J140" i="15"/>
  <c r="L140" i="15"/>
  <c r="N140" i="15"/>
  <c r="P140" i="15"/>
  <c r="R140" i="15"/>
  <c r="I11" i="15"/>
  <c r="M11" i="15"/>
  <c r="H29" i="15"/>
  <c r="L29" i="15"/>
  <c r="P29" i="15"/>
  <c r="G32" i="15"/>
  <c r="K32" i="15"/>
  <c r="O32" i="15"/>
  <c r="G38" i="15"/>
  <c r="K38" i="15"/>
  <c r="O38" i="15"/>
  <c r="F65" i="15"/>
  <c r="J65" i="15"/>
  <c r="G125" i="15"/>
  <c r="K125" i="15"/>
  <c r="I8" i="11"/>
  <c r="J65" i="11"/>
  <c r="N65" i="11"/>
  <c r="I116" i="11"/>
  <c r="M116" i="11"/>
  <c r="G119" i="11"/>
  <c r="K119" i="11"/>
  <c r="O119" i="11"/>
  <c r="M122" i="11"/>
  <c r="F152" i="11"/>
  <c r="J152" i="11"/>
  <c r="N152" i="11"/>
  <c r="R152" i="11"/>
  <c r="F11" i="7"/>
  <c r="I65" i="7"/>
  <c r="M65" i="7"/>
  <c r="Q65" i="7"/>
  <c r="G68" i="7"/>
  <c r="K68" i="7"/>
  <c r="J71" i="7"/>
  <c r="N71" i="7"/>
  <c r="I74" i="7"/>
  <c r="M74" i="7"/>
  <c r="G65" i="7"/>
  <c r="K65" i="7"/>
  <c r="O65" i="7"/>
  <c r="I68" i="7"/>
  <c r="M68" i="7"/>
  <c r="H71" i="7"/>
  <c r="L71" i="7"/>
  <c r="P71" i="7"/>
  <c r="Q77" i="7"/>
  <c r="I86" i="7"/>
  <c r="M86" i="7"/>
  <c r="G89" i="7"/>
  <c r="K89" i="7"/>
  <c r="O89" i="7"/>
  <c r="I92" i="7"/>
  <c r="M92" i="7"/>
  <c r="K95" i="7"/>
  <c r="O95" i="7"/>
  <c r="I98" i="7"/>
  <c r="M98" i="7"/>
  <c r="Q98" i="7"/>
  <c r="G101" i="7"/>
  <c r="K101" i="7"/>
  <c r="O101" i="7"/>
  <c r="I104" i="7"/>
  <c r="M104" i="7"/>
  <c r="Q104" i="7"/>
  <c r="G107" i="7"/>
  <c r="K107" i="7"/>
  <c r="O107" i="7"/>
  <c r="I110" i="7"/>
  <c r="M110" i="7"/>
  <c r="Q110" i="7"/>
  <c r="G113" i="7"/>
  <c r="O113" i="7"/>
  <c r="H119" i="7"/>
  <c r="L119" i="7"/>
  <c r="P119" i="7"/>
  <c r="O122" i="7"/>
  <c r="I125" i="7"/>
  <c r="M125" i="7"/>
  <c r="G128" i="7"/>
  <c r="K128" i="7"/>
  <c r="O128" i="7"/>
  <c r="N65" i="15"/>
  <c r="R65" i="15"/>
  <c r="H68" i="15"/>
  <c r="L68" i="15"/>
  <c r="P68" i="15"/>
  <c r="F71" i="15"/>
  <c r="J71" i="15"/>
  <c r="N71" i="15"/>
  <c r="R71" i="15"/>
  <c r="H74" i="15"/>
  <c r="L74" i="15"/>
  <c r="P74" i="15"/>
  <c r="F77" i="15"/>
  <c r="J77" i="15"/>
  <c r="N77" i="15"/>
  <c r="R77" i="15"/>
  <c r="H80" i="15"/>
  <c r="L80" i="15"/>
  <c r="P80" i="15"/>
  <c r="F83" i="15"/>
  <c r="J83" i="15"/>
  <c r="N83" i="15"/>
  <c r="R83" i="15"/>
  <c r="F89" i="15"/>
  <c r="J89" i="15"/>
  <c r="N89" i="15"/>
  <c r="R89" i="15"/>
  <c r="H92" i="15"/>
  <c r="L92" i="15"/>
  <c r="P92" i="15"/>
  <c r="F95" i="15"/>
  <c r="J95" i="15"/>
  <c r="N95" i="15"/>
  <c r="R95" i="15"/>
  <c r="H98" i="15"/>
  <c r="L98" i="15"/>
  <c r="P98" i="15"/>
  <c r="F101" i="15"/>
  <c r="J101" i="15"/>
  <c r="N101" i="15"/>
  <c r="R101" i="15"/>
  <c r="H104" i="15"/>
  <c r="L104" i="15"/>
  <c r="P104" i="15"/>
  <c r="F107" i="15"/>
  <c r="J107" i="15"/>
  <c r="N107" i="15"/>
  <c r="M63" i="25"/>
  <c r="I63" i="25"/>
  <c r="L66" i="25"/>
  <c r="H66" i="25"/>
  <c r="O69" i="25"/>
  <c r="K69" i="25"/>
  <c r="G69" i="25"/>
  <c r="N72" i="25"/>
  <c r="J72" i="25"/>
  <c r="F72" i="25"/>
  <c r="M75" i="25"/>
  <c r="I75" i="25"/>
  <c r="L78" i="25"/>
  <c r="H78" i="25"/>
  <c r="O81" i="25"/>
  <c r="K81" i="25"/>
  <c r="G81" i="25"/>
  <c r="N84" i="25"/>
  <c r="J84" i="25"/>
  <c r="F84" i="25"/>
  <c r="M87" i="25"/>
  <c r="I87" i="25"/>
  <c r="Q74" i="7"/>
  <c r="G77" i="7"/>
  <c r="K77" i="7"/>
  <c r="O77" i="7"/>
  <c r="G86" i="7"/>
  <c r="K86" i="7"/>
  <c r="I89" i="7"/>
  <c r="M89" i="7"/>
  <c r="Q89" i="7"/>
  <c r="G92" i="7"/>
  <c r="K92" i="7"/>
  <c r="O92" i="7"/>
  <c r="I95" i="7"/>
  <c r="G98" i="7"/>
  <c r="K98" i="7"/>
  <c r="O98" i="7"/>
  <c r="I101" i="7"/>
  <c r="M101" i="7"/>
  <c r="Q101" i="7"/>
  <c r="G104" i="7"/>
  <c r="K104" i="7"/>
  <c r="O104" i="7"/>
  <c r="I107" i="7"/>
  <c r="M107" i="7"/>
  <c r="Q107" i="7"/>
  <c r="G110" i="7"/>
  <c r="K110" i="7"/>
  <c r="O110" i="7"/>
  <c r="I113" i="7"/>
  <c r="M113" i="7"/>
  <c r="J119" i="7"/>
  <c r="N119" i="7"/>
  <c r="I122" i="7"/>
  <c r="M122" i="7"/>
  <c r="G125" i="7"/>
  <c r="K125" i="7"/>
  <c r="I128" i="7"/>
  <c r="M128" i="7"/>
  <c r="F68" i="15"/>
  <c r="J68" i="15"/>
  <c r="N68" i="15"/>
  <c r="R68" i="15"/>
  <c r="H71" i="15"/>
  <c r="P71" i="15"/>
  <c r="F74" i="15"/>
  <c r="J74" i="15"/>
  <c r="N74" i="15"/>
  <c r="F80" i="15"/>
  <c r="J80" i="15"/>
  <c r="N80" i="15"/>
  <c r="R80" i="15"/>
  <c r="H83" i="15"/>
  <c r="L83" i="15"/>
  <c r="P83" i="15"/>
  <c r="F86" i="15"/>
  <c r="J86" i="15"/>
  <c r="N86" i="15"/>
  <c r="R86" i="15"/>
  <c r="H89" i="15"/>
  <c r="F92" i="15"/>
  <c r="J92" i="15"/>
  <c r="N92" i="15"/>
  <c r="R92" i="15"/>
  <c r="H95" i="15"/>
  <c r="L95" i="15"/>
  <c r="P95" i="15"/>
  <c r="F98" i="15"/>
  <c r="J98" i="15"/>
  <c r="N98" i="15"/>
  <c r="R98" i="15"/>
  <c r="H101" i="15"/>
  <c r="L101" i="15"/>
  <c r="P101" i="15"/>
  <c r="F104" i="15"/>
  <c r="J104" i="15"/>
  <c r="N104" i="15"/>
  <c r="R104" i="15"/>
  <c r="H107" i="15"/>
  <c r="L107" i="15"/>
  <c r="P107" i="15"/>
  <c r="O51" i="25"/>
  <c r="K51" i="25"/>
  <c r="G51" i="25"/>
  <c r="N54" i="25"/>
  <c r="J54" i="25"/>
  <c r="F54" i="25"/>
  <c r="M57" i="25"/>
  <c r="I57" i="25"/>
  <c r="L60" i="25"/>
  <c r="H60" i="25"/>
  <c r="O63" i="25"/>
  <c r="K63" i="25"/>
  <c r="G63" i="25"/>
  <c r="N66" i="25"/>
  <c r="J66" i="25"/>
  <c r="F66" i="25"/>
  <c r="M69" i="25"/>
  <c r="I69" i="25"/>
  <c r="L72" i="25"/>
  <c r="H72" i="25"/>
  <c r="O75" i="25"/>
  <c r="K75" i="25"/>
  <c r="G75" i="25"/>
  <c r="N78" i="25"/>
  <c r="J78" i="25"/>
  <c r="F78" i="25"/>
  <c r="M81" i="25"/>
  <c r="I81" i="25"/>
  <c r="L84" i="25"/>
  <c r="H84" i="25"/>
  <c r="O87" i="25"/>
  <c r="K87" i="25"/>
  <c r="G87" i="25"/>
  <c r="J80" i="7"/>
  <c r="N80" i="7"/>
  <c r="I83" i="7"/>
  <c r="M83" i="7"/>
  <c r="H116" i="7"/>
  <c r="L116" i="7"/>
  <c r="P116" i="7"/>
  <c r="G11" i="15"/>
  <c r="K11" i="15"/>
  <c r="O11" i="15"/>
  <c r="F29" i="15"/>
  <c r="J29" i="15"/>
  <c r="N29" i="15"/>
  <c r="I32" i="15"/>
  <c r="M32" i="15"/>
  <c r="I38" i="15"/>
  <c r="M38" i="15"/>
  <c r="I125" i="15"/>
  <c r="M125" i="15"/>
  <c r="H152" i="15"/>
  <c r="L152" i="15"/>
  <c r="P152" i="15"/>
  <c r="R107" i="15"/>
  <c r="H65" i="7"/>
  <c r="J65" i="7"/>
  <c r="L65" i="7"/>
  <c r="N65" i="7"/>
  <c r="P65" i="7"/>
  <c r="H68" i="7"/>
  <c r="J68" i="7"/>
  <c r="L68" i="7"/>
  <c r="N68" i="7"/>
  <c r="P68" i="7"/>
  <c r="G71" i="7"/>
  <c r="I71" i="7"/>
  <c r="K71" i="7"/>
  <c r="O71" i="7"/>
  <c r="H74" i="7"/>
  <c r="J74" i="7"/>
  <c r="L74" i="7"/>
  <c r="N74" i="7"/>
  <c r="P74" i="7"/>
  <c r="H77" i="7"/>
  <c r="J77" i="7"/>
  <c r="L77" i="7"/>
  <c r="N77" i="7"/>
  <c r="P77" i="7"/>
  <c r="H80" i="7"/>
  <c r="H86" i="7"/>
  <c r="J86" i="7"/>
  <c r="L86" i="7"/>
  <c r="N86" i="7"/>
  <c r="P86" i="7"/>
  <c r="H89" i="7"/>
  <c r="J89" i="7"/>
  <c r="L89" i="7"/>
  <c r="N89" i="7"/>
  <c r="P89" i="7"/>
  <c r="H92" i="7"/>
  <c r="J92" i="7"/>
  <c r="L92" i="7"/>
  <c r="N92" i="7"/>
  <c r="P92" i="7"/>
  <c r="H95" i="7"/>
  <c r="J95" i="7"/>
  <c r="L95" i="7"/>
  <c r="N95" i="7"/>
  <c r="P95" i="7"/>
  <c r="H98" i="7"/>
  <c r="J98" i="7"/>
  <c r="L98" i="7"/>
  <c r="P98" i="7"/>
  <c r="H101" i="7"/>
  <c r="J101" i="7"/>
  <c r="L101" i="7"/>
  <c r="N101" i="7"/>
  <c r="H104" i="7"/>
  <c r="J104" i="7"/>
  <c r="L104" i="7"/>
  <c r="N104" i="7"/>
  <c r="P104" i="7"/>
  <c r="J107" i="7"/>
  <c r="L107" i="7"/>
  <c r="N107" i="7"/>
  <c r="P107" i="7"/>
  <c r="H110" i="7"/>
  <c r="J110" i="7"/>
  <c r="L110" i="7"/>
  <c r="N110" i="7"/>
  <c r="P110" i="7"/>
  <c r="H113" i="7"/>
  <c r="J113" i="7"/>
  <c r="N113" i="7"/>
  <c r="G119" i="7"/>
  <c r="I119" i="7"/>
  <c r="M119" i="7"/>
  <c r="O119" i="7"/>
  <c r="H122" i="7"/>
  <c r="J122" i="7"/>
  <c r="L122" i="7"/>
  <c r="N122" i="7"/>
  <c r="P122" i="7"/>
  <c r="H125" i="7"/>
  <c r="J125" i="7"/>
  <c r="L125" i="7"/>
  <c r="N125" i="7"/>
  <c r="P125" i="7"/>
  <c r="H128" i="7"/>
  <c r="J128" i="7"/>
  <c r="L128" i="7"/>
  <c r="N128" i="7"/>
  <c r="P128" i="7"/>
  <c r="Q83" i="7"/>
  <c r="F8" i="11"/>
  <c r="H8" i="11"/>
  <c r="J8" i="11"/>
  <c r="L8" i="11"/>
  <c r="N8" i="11"/>
  <c r="P8" i="11"/>
  <c r="R8" i="11"/>
  <c r="F17" i="11"/>
  <c r="H17" i="11"/>
  <c r="J17" i="11"/>
  <c r="L17" i="11"/>
  <c r="N17" i="11"/>
  <c r="P17" i="11"/>
  <c r="R17" i="11"/>
  <c r="G23" i="11"/>
  <c r="I23" i="11"/>
  <c r="K23" i="11"/>
  <c r="M23" i="11"/>
  <c r="O23" i="11"/>
  <c r="Q23" i="11"/>
  <c r="G26" i="11"/>
  <c r="I26" i="11"/>
  <c r="K26" i="11"/>
  <c r="M26" i="11"/>
  <c r="O26" i="11"/>
  <c r="Q26" i="11"/>
  <c r="H56" i="11"/>
  <c r="J56" i="11"/>
  <c r="L56" i="11"/>
  <c r="N56" i="11"/>
  <c r="P56" i="11"/>
  <c r="G71" i="11"/>
  <c r="I71" i="11"/>
  <c r="K71" i="11"/>
  <c r="M71" i="11"/>
  <c r="O71" i="11"/>
  <c r="Q71" i="11"/>
  <c r="G74" i="11"/>
  <c r="I74" i="11"/>
  <c r="K74" i="11"/>
  <c r="M74" i="11"/>
  <c r="O74" i="11"/>
  <c r="Q74" i="11"/>
  <c r="G77" i="11"/>
  <c r="K77" i="11"/>
  <c r="F104" i="11"/>
  <c r="H104" i="11"/>
  <c r="J104" i="11"/>
  <c r="N104" i="11"/>
  <c r="P104" i="11"/>
  <c r="R104" i="11"/>
  <c r="F107" i="11"/>
  <c r="H107" i="11"/>
  <c r="J107" i="11"/>
  <c r="L107" i="11"/>
  <c r="N107" i="11"/>
  <c r="P107" i="11"/>
  <c r="R107" i="11"/>
  <c r="F110" i="11"/>
  <c r="J110" i="11"/>
  <c r="L110" i="11"/>
  <c r="N110" i="11"/>
  <c r="R110" i="11"/>
  <c r="H113" i="11"/>
  <c r="L113" i="11"/>
  <c r="G125" i="11"/>
  <c r="I125" i="11"/>
  <c r="K125" i="11"/>
  <c r="F110" i="15"/>
  <c r="H110" i="15"/>
  <c r="J110" i="15"/>
  <c r="L110" i="15"/>
  <c r="N110" i="15"/>
  <c r="P110" i="15"/>
  <c r="R110" i="15"/>
  <c r="F113" i="15"/>
  <c r="H113" i="15"/>
  <c r="J113" i="15"/>
  <c r="L113" i="15"/>
  <c r="N113" i="15"/>
  <c r="P113" i="15"/>
  <c r="R113" i="15"/>
  <c r="F116" i="15"/>
  <c r="H116" i="15"/>
  <c r="J116" i="15"/>
  <c r="L116" i="15"/>
  <c r="N116" i="15"/>
  <c r="P116" i="15"/>
  <c r="R116" i="15"/>
  <c r="F119" i="15"/>
  <c r="H119" i="15"/>
  <c r="J119" i="15"/>
  <c r="L119" i="15"/>
  <c r="N119" i="15"/>
  <c r="P119" i="15"/>
  <c r="R119" i="15"/>
  <c r="F122" i="15"/>
  <c r="H122" i="15"/>
  <c r="J122" i="15"/>
  <c r="L122" i="15"/>
  <c r="N122" i="15"/>
  <c r="P113" i="11"/>
  <c r="O125" i="11"/>
  <c r="O122" i="11"/>
  <c r="M125" i="11"/>
  <c r="M8" i="11"/>
  <c r="L65" i="11"/>
  <c r="K122" i="11"/>
  <c r="I122" i="11"/>
  <c r="H65" i="11"/>
  <c r="R55" i="11"/>
  <c r="R56" i="11" s="1"/>
  <c r="Q125" i="11"/>
  <c r="Q122" i="11"/>
  <c r="R121" i="11"/>
  <c r="Q119" i="11"/>
  <c r="Q116" i="11"/>
  <c r="F65" i="11"/>
  <c r="R65" i="11"/>
  <c r="F56" i="11"/>
  <c r="Q8" i="11"/>
  <c r="G119" i="15"/>
  <c r="P122" i="15"/>
  <c r="R122" i="15"/>
  <c r="G131" i="15"/>
  <c r="I131" i="15"/>
  <c r="K131" i="15"/>
  <c r="M131" i="15"/>
  <c r="F8" i="15"/>
  <c r="H8" i="15"/>
  <c r="J8" i="15"/>
  <c r="L8" i="15"/>
  <c r="N8" i="15"/>
  <c r="P8" i="15"/>
  <c r="R8" i="15"/>
  <c r="F14" i="15"/>
  <c r="H14" i="15"/>
  <c r="J14" i="15"/>
  <c r="L14" i="15"/>
  <c r="N14" i="15"/>
  <c r="P14" i="15"/>
  <c r="R14" i="15"/>
  <c r="F17" i="15"/>
  <c r="H17" i="15"/>
  <c r="J17" i="15"/>
  <c r="L17" i="15"/>
  <c r="N17" i="15"/>
  <c r="P17" i="15"/>
  <c r="R17" i="15"/>
  <c r="G20" i="15"/>
  <c r="I20" i="15"/>
  <c r="K20" i="15"/>
  <c r="M20" i="15"/>
  <c r="O20" i="15"/>
  <c r="Q20" i="15"/>
  <c r="G23" i="15"/>
  <c r="I23" i="15"/>
  <c r="K23" i="15"/>
  <c r="M23" i="15"/>
  <c r="O23" i="15"/>
  <c r="Q23" i="15"/>
  <c r="G26" i="15"/>
  <c r="I26" i="15"/>
  <c r="K26" i="15"/>
  <c r="M26" i="15"/>
  <c r="O26" i="15"/>
  <c r="Q26" i="15"/>
  <c r="R29" i="15"/>
  <c r="G35" i="15"/>
  <c r="I35" i="15"/>
  <c r="K35" i="15"/>
  <c r="M35" i="15"/>
  <c r="O35" i="15"/>
  <c r="Q35" i="15"/>
  <c r="G41" i="15"/>
  <c r="I41" i="15"/>
  <c r="K41" i="15"/>
  <c r="M41" i="15"/>
  <c r="O41" i="15"/>
  <c r="Q41" i="15"/>
  <c r="G44" i="15"/>
  <c r="I44" i="15"/>
  <c r="K44" i="15"/>
  <c r="M44" i="15"/>
  <c r="O44" i="15"/>
  <c r="Q44" i="15"/>
  <c r="G50" i="15"/>
  <c r="I50" i="15"/>
  <c r="K50" i="15"/>
  <c r="M50" i="15"/>
  <c r="O50" i="15"/>
  <c r="Q50" i="15"/>
  <c r="G53" i="15"/>
  <c r="I53" i="15"/>
  <c r="K53" i="15"/>
  <c r="M53" i="15"/>
  <c r="O53" i="15"/>
  <c r="Q53" i="15"/>
  <c r="G56" i="15"/>
  <c r="I56" i="15"/>
  <c r="K56" i="15"/>
  <c r="M56" i="15"/>
  <c r="O56" i="15"/>
  <c r="Q56" i="15"/>
  <c r="O125" i="15"/>
  <c r="O131" i="15"/>
  <c r="Q131" i="15"/>
  <c r="G134" i="15"/>
  <c r="I134" i="15"/>
  <c r="K134" i="15"/>
  <c r="M134" i="15"/>
  <c r="O134" i="15"/>
  <c r="Q134" i="15"/>
  <c r="F143" i="15"/>
  <c r="H143" i="15"/>
  <c r="J143" i="15"/>
  <c r="L143" i="15"/>
  <c r="N143" i="15"/>
  <c r="P143" i="15"/>
  <c r="R143" i="15"/>
  <c r="F146" i="15"/>
  <c r="H146" i="15"/>
  <c r="J146" i="15"/>
  <c r="L146" i="15"/>
  <c r="N146" i="15"/>
  <c r="P146" i="15"/>
  <c r="R146" i="15"/>
  <c r="F149" i="15"/>
  <c r="H149" i="15"/>
  <c r="J149" i="15"/>
  <c r="L149" i="15"/>
  <c r="N149" i="15"/>
  <c r="P149" i="15"/>
  <c r="R149" i="15"/>
  <c r="G8" i="15"/>
  <c r="I8" i="15"/>
  <c r="K8" i="15"/>
  <c r="M8" i="15"/>
  <c r="O8" i="15"/>
  <c r="Q8" i="15"/>
  <c r="R11" i="15"/>
  <c r="G14" i="15"/>
  <c r="I14" i="15"/>
  <c r="K14" i="15"/>
  <c r="M14" i="15"/>
  <c r="O14" i="15"/>
  <c r="Q14" i="15"/>
  <c r="G17" i="15"/>
  <c r="I17" i="15"/>
  <c r="K17" i="15"/>
  <c r="M17" i="15"/>
  <c r="O17" i="15"/>
  <c r="Q17" i="15"/>
  <c r="F20" i="15"/>
  <c r="H20" i="15"/>
  <c r="J20" i="15"/>
  <c r="L20" i="15"/>
  <c r="N20" i="15"/>
  <c r="P20" i="15"/>
  <c r="R20" i="15"/>
  <c r="F23" i="15"/>
  <c r="H23" i="15"/>
  <c r="J23" i="15"/>
  <c r="L23" i="15"/>
  <c r="N23" i="15"/>
  <c r="P23" i="15"/>
  <c r="R23" i="15"/>
  <c r="F26" i="15"/>
  <c r="H26" i="15"/>
  <c r="J26" i="15"/>
  <c r="L26" i="15"/>
  <c r="N26" i="15"/>
  <c r="P26" i="15"/>
  <c r="R26" i="15"/>
  <c r="R32" i="15"/>
  <c r="F35" i="15"/>
  <c r="H35" i="15"/>
  <c r="J35" i="15"/>
  <c r="L35" i="15"/>
  <c r="N35" i="15"/>
  <c r="P35" i="15"/>
  <c r="R35" i="15"/>
  <c r="R38" i="15"/>
  <c r="F41" i="15"/>
  <c r="H41" i="15"/>
  <c r="J41" i="15"/>
  <c r="L41" i="15"/>
  <c r="N41" i="15"/>
  <c r="P41" i="15"/>
  <c r="R41" i="15"/>
  <c r="F44" i="15"/>
  <c r="H44" i="15"/>
  <c r="J44" i="15"/>
  <c r="L44" i="15"/>
  <c r="N44" i="15"/>
  <c r="P44" i="15"/>
  <c r="R44" i="15"/>
  <c r="F50" i="15"/>
  <c r="H50" i="15"/>
  <c r="J50" i="15"/>
  <c r="L50" i="15"/>
  <c r="N50" i="15"/>
  <c r="P50" i="15"/>
  <c r="R50" i="15"/>
  <c r="F53" i="15"/>
  <c r="H53" i="15"/>
  <c r="J53" i="15"/>
  <c r="L53" i="15"/>
  <c r="N53" i="15"/>
  <c r="P53" i="15"/>
  <c r="R53" i="15"/>
  <c r="F56" i="15"/>
  <c r="H56" i="15"/>
  <c r="J56" i="15"/>
  <c r="L56" i="15"/>
  <c r="N56" i="15"/>
  <c r="P56" i="15"/>
  <c r="R56" i="15"/>
  <c r="G59" i="15"/>
  <c r="I59" i="15"/>
  <c r="K59" i="15"/>
  <c r="M59" i="15"/>
  <c r="O59" i="15"/>
  <c r="Q59" i="15"/>
  <c r="G62" i="15"/>
  <c r="I62" i="15"/>
  <c r="K62" i="15"/>
  <c r="M62" i="15"/>
  <c r="G65" i="15"/>
  <c r="I65" i="15"/>
  <c r="K65" i="15"/>
  <c r="M65" i="15"/>
  <c r="O65" i="15"/>
  <c r="Q65" i="15"/>
  <c r="G68" i="15"/>
  <c r="I68" i="15"/>
  <c r="K68" i="15"/>
  <c r="M68" i="15"/>
  <c r="O68" i="15"/>
  <c r="Q68" i="15"/>
  <c r="G71" i="15"/>
  <c r="I71" i="15"/>
  <c r="K71" i="15"/>
  <c r="M71" i="15"/>
  <c r="O71" i="15"/>
  <c r="Q71" i="15"/>
  <c r="G74" i="15"/>
  <c r="I74" i="15"/>
  <c r="K74" i="15"/>
  <c r="M74" i="15"/>
  <c r="O74" i="15"/>
  <c r="Q74" i="15"/>
  <c r="G77" i="15"/>
  <c r="I77" i="15"/>
  <c r="O119" i="15"/>
  <c r="G128" i="15"/>
  <c r="I128" i="15"/>
  <c r="K128" i="15"/>
  <c r="M128" i="15"/>
  <c r="O128" i="15"/>
  <c r="Q128" i="15"/>
  <c r="H65" i="15"/>
  <c r="L65" i="15"/>
  <c r="P65" i="15"/>
  <c r="Q11" i="15"/>
  <c r="O62" i="15"/>
  <c r="Q62" i="15"/>
  <c r="R74" i="15"/>
  <c r="K77" i="15"/>
  <c r="M77" i="15"/>
  <c r="O77" i="15"/>
  <c r="Q77" i="15"/>
  <c r="P77" i="15"/>
  <c r="G80" i="15"/>
  <c r="I80" i="15"/>
  <c r="K80" i="15"/>
  <c r="M80" i="15"/>
  <c r="O80" i="15"/>
  <c r="Q80" i="15"/>
  <c r="G83" i="15"/>
  <c r="I83" i="15"/>
  <c r="K83" i="15"/>
  <c r="M83" i="15"/>
  <c r="O83" i="15"/>
  <c r="Q83" i="15"/>
  <c r="G86" i="15"/>
  <c r="I86" i="15"/>
  <c r="K86" i="15"/>
  <c r="M86" i="15"/>
  <c r="O86" i="15"/>
  <c r="Q86" i="15"/>
  <c r="G89" i="15"/>
  <c r="I89" i="15"/>
  <c r="K89" i="15"/>
  <c r="M89" i="15"/>
  <c r="O89" i="15"/>
  <c r="Q89" i="15"/>
  <c r="G92" i="15"/>
  <c r="I92" i="15"/>
  <c r="K92" i="15"/>
  <c r="M92" i="15"/>
  <c r="O92" i="15"/>
  <c r="Q92" i="15"/>
  <c r="G95" i="15"/>
  <c r="I95" i="15"/>
  <c r="K95" i="15"/>
  <c r="M95" i="15"/>
  <c r="O95" i="15"/>
  <c r="Q95" i="15"/>
  <c r="G98" i="15"/>
  <c r="I98" i="15"/>
  <c r="K98" i="15"/>
  <c r="M98" i="15"/>
  <c r="O98" i="15"/>
  <c r="Q98" i="15"/>
  <c r="G101" i="15"/>
  <c r="I101" i="15"/>
  <c r="K101" i="15"/>
  <c r="M101" i="15"/>
  <c r="O101" i="15"/>
  <c r="Q101" i="15"/>
  <c r="G104" i="15"/>
  <c r="I104" i="15"/>
  <c r="K104" i="15"/>
  <c r="M104" i="15"/>
  <c r="O104" i="15"/>
  <c r="Q104" i="15"/>
  <c r="G107" i="15"/>
  <c r="I107" i="15"/>
  <c r="K107" i="15"/>
  <c r="M107" i="15"/>
  <c r="O107" i="15"/>
  <c r="Q107" i="15"/>
  <c r="G110" i="15"/>
  <c r="I110" i="15"/>
  <c r="K110" i="15"/>
  <c r="M110" i="15"/>
  <c r="O110" i="15"/>
  <c r="Q110" i="15"/>
  <c r="G113" i="15"/>
  <c r="I113" i="15"/>
  <c r="K113" i="15"/>
  <c r="M113" i="15"/>
  <c r="O113" i="15"/>
  <c r="Q113" i="15"/>
  <c r="G116" i="15"/>
  <c r="I116" i="15"/>
  <c r="K116" i="15"/>
  <c r="M116" i="15"/>
  <c r="O116" i="15"/>
  <c r="Q116" i="15"/>
  <c r="I119" i="15"/>
  <c r="K119" i="15"/>
  <c r="M119" i="15"/>
  <c r="Q119" i="15"/>
  <c r="G122" i="15"/>
  <c r="I122" i="15"/>
  <c r="K122" i="15"/>
  <c r="M122" i="15"/>
  <c r="O122" i="15"/>
  <c r="Q122" i="15"/>
  <c r="R125" i="15"/>
  <c r="F128" i="15"/>
  <c r="H128" i="15"/>
  <c r="J128" i="15"/>
  <c r="L128" i="15"/>
  <c r="N128" i="15"/>
  <c r="P128" i="15"/>
  <c r="R128" i="15"/>
  <c r="F131" i="15"/>
  <c r="H131" i="15"/>
  <c r="J131" i="15"/>
  <c r="L131" i="15"/>
  <c r="N131" i="15"/>
  <c r="P131" i="15"/>
  <c r="R131" i="15"/>
  <c r="F134" i="15"/>
  <c r="H134" i="15"/>
  <c r="J134" i="15"/>
  <c r="L134" i="15"/>
  <c r="N134" i="15"/>
  <c r="P134" i="15"/>
  <c r="R134" i="15"/>
  <c r="G137" i="15"/>
  <c r="I137" i="15"/>
  <c r="K137" i="15"/>
  <c r="M137" i="15"/>
  <c r="O137" i="15"/>
  <c r="Q137" i="15"/>
  <c r="G140" i="15"/>
  <c r="I140" i="15"/>
  <c r="K140" i="15"/>
  <c r="M140" i="15"/>
  <c r="O140" i="15"/>
  <c r="Q140" i="15"/>
  <c r="G143" i="15"/>
  <c r="I143" i="15"/>
  <c r="K143" i="15"/>
  <c r="M143" i="15"/>
  <c r="O143" i="15"/>
  <c r="Q143" i="15"/>
  <c r="G146" i="15"/>
  <c r="I146" i="15"/>
  <c r="K146" i="15"/>
  <c r="M146" i="15"/>
  <c r="O146" i="15"/>
  <c r="Q146" i="15"/>
  <c r="G149" i="15"/>
  <c r="I149" i="15"/>
  <c r="K149" i="15"/>
  <c r="M149" i="15"/>
  <c r="O149" i="15"/>
  <c r="Q149" i="15"/>
  <c r="R152" i="15"/>
  <c r="Q29" i="15"/>
  <c r="Q32" i="15"/>
  <c r="Q38" i="15"/>
  <c r="Q125" i="15"/>
  <c r="Q152" i="15"/>
  <c r="L89" i="15"/>
  <c r="P89" i="15"/>
  <c r="H86" i="15"/>
  <c r="H77" i="15"/>
  <c r="L77" i="15"/>
  <c r="L71" i="15"/>
  <c r="K113" i="7"/>
  <c r="L113" i="7"/>
  <c r="P113" i="7"/>
  <c r="P101" i="7"/>
  <c r="O125" i="7"/>
  <c r="O116" i="7"/>
  <c r="O86" i="7"/>
  <c r="O68" i="7"/>
  <c r="N98" i="7"/>
  <c r="M95" i="7"/>
  <c r="M71" i="7"/>
  <c r="Q128" i="7"/>
  <c r="K122" i="7"/>
  <c r="K119" i="7"/>
  <c r="Q113" i="7"/>
  <c r="Q71" i="7"/>
  <c r="Q68" i="7"/>
  <c r="H107" i="7"/>
  <c r="G122" i="7"/>
  <c r="G95" i="7"/>
  <c r="Q95" i="7"/>
  <c r="Q125" i="7"/>
  <c r="Q122" i="7"/>
  <c r="Q119" i="7"/>
  <c r="Q116" i="7"/>
  <c r="Q92" i="7"/>
  <c r="Q86" i="7"/>
  <c r="F8" i="7"/>
  <c r="F32" i="11"/>
  <c r="J32" i="11"/>
  <c r="N32" i="11"/>
  <c r="R32" i="11"/>
  <c r="H41" i="11"/>
  <c r="L41" i="11"/>
  <c r="P41" i="11"/>
  <c r="G47" i="11"/>
  <c r="K47" i="11"/>
  <c r="O47" i="11"/>
  <c r="I50" i="11"/>
  <c r="M50" i="11"/>
  <c r="Q50" i="11"/>
  <c r="H80" i="11"/>
  <c r="L80" i="11"/>
  <c r="P80" i="11"/>
  <c r="F89" i="11"/>
  <c r="J89" i="11"/>
  <c r="N89" i="11"/>
  <c r="R89" i="11"/>
  <c r="G92" i="11"/>
  <c r="K92" i="11"/>
  <c r="O92" i="11"/>
  <c r="I95" i="11"/>
  <c r="M95" i="11"/>
  <c r="Q95" i="11"/>
  <c r="G98" i="11"/>
  <c r="K98" i="11"/>
  <c r="O98" i="11"/>
  <c r="I101" i="11"/>
  <c r="M101" i="11"/>
  <c r="Q101" i="11"/>
  <c r="F128" i="11"/>
  <c r="J128" i="11"/>
  <c r="N128" i="11"/>
  <c r="R128" i="11"/>
  <c r="H131" i="11"/>
  <c r="L131" i="11"/>
  <c r="P131" i="11"/>
  <c r="F134" i="11"/>
  <c r="J134" i="11"/>
  <c r="N134" i="11"/>
  <c r="R134" i="11"/>
  <c r="H137" i="11"/>
  <c r="L137" i="11"/>
  <c r="P137" i="11"/>
  <c r="I140" i="11"/>
  <c r="M140" i="11"/>
  <c r="Q140" i="11"/>
  <c r="G143" i="11"/>
  <c r="K143" i="11"/>
  <c r="O143" i="11"/>
  <c r="I146" i="11"/>
  <c r="M146" i="11"/>
  <c r="Q146" i="11"/>
  <c r="G149" i="11"/>
  <c r="K149" i="11"/>
  <c r="O149" i="11"/>
  <c r="H32" i="11"/>
  <c r="L32" i="11"/>
  <c r="P32" i="11"/>
  <c r="F41" i="11"/>
  <c r="J41" i="11"/>
  <c r="N41" i="11"/>
  <c r="R41" i="11"/>
  <c r="I47" i="11"/>
  <c r="M47" i="11"/>
  <c r="Q47" i="11"/>
  <c r="G50" i="11"/>
  <c r="K50" i="11"/>
  <c r="O50" i="11"/>
  <c r="F80" i="11"/>
  <c r="J80" i="11"/>
  <c r="N80" i="11"/>
  <c r="R80" i="11"/>
  <c r="H83" i="11"/>
  <c r="L83" i="11"/>
  <c r="F86" i="11"/>
  <c r="J86" i="11"/>
  <c r="H89" i="11"/>
  <c r="L89" i="11"/>
  <c r="P89" i="11"/>
  <c r="G95" i="11"/>
  <c r="K95" i="11"/>
  <c r="O95" i="11"/>
  <c r="I98" i="11"/>
  <c r="M98" i="11"/>
  <c r="Q98" i="11"/>
  <c r="G101" i="11"/>
  <c r="K101" i="11"/>
  <c r="O101" i="11"/>
  <c r="H128" i="11"/>
  <c r="L128" i="11"/>
  <c r="P128" i="11"/>
  <c r="F131" i="11"/>
  <c r="J131" i="11"/>
  <c r="N131" i="11"/>
  <c r="R131" i="11"/>
  <c r="H134" i="11"/>
  <c r="L134" i="11"/>
  <c r="P134" i="11"/>
  <c r="F137" i="11"/>
  <c r="J137" i="11"/>
  <c r="N137" i="11"/>
  <c r="R137" i="11"/>
  <c r="G140" i="11"/>
  <c r="K140" i="11"/>
  <c r="O140" i="11"/>
  <c r="I143" i="11"/>
  <c r="M143" i="11"/>
  <c r="Q143" i="11"/>
  <c r="G146" i="11"/>
  <c r="K146" i="11"/>
  <c r="O146" i="11"/>
  <c r="I149" i="11"/>
  <c r="M149" i="11"/>
  <c r="Q149" i="11"/>
  <c r="G11" i="11"/>
  <c r="K11" i="11"/>
  <c r="O11" i="11"/>
  <c r="I14" i="11"/>
  <c r="M14" i="11"/>
  <c r="Q14" i="11"/>
  <c r="H20" i="11"/>
  <c r="L20" i="11"/>
  <c r="P20" i="11"/>
  <c r="F29" i="11"/>
  <c r="J29" i="11"/>
  <c r="N29" i="11"/>
  <c r="R29" i="11"/>
  <c r="I35" i="11"/>
  <c r="M35" i="11"/>
  <c r="Q35" i="11"/>
  <c r="G38" i="11"/>
  <c r="K38" i="11"/>
  <c r="O38" i="11"/>
  <c r="F44" i="11"/>
  <c r="J44" i="11"/>
  <c r="N44" i="11"/>
  <c r="R44" i="11"/>
  <c r="H53" i="11"/>
  <c r="L53" i="11"/>
  <c r="P53" i="11"/>
  <c r="G59" i="11"/>
  <c r="K59" i="11"/>
  <c r="O59" i="11"/>
  <c r="I62" i="11"/>
  <c r="M62" i="11"/>
  <c r="Q62" i="11"/>
  <c r="H68" i="11"/>
  <c r="L68" i="11"/>
  <c r="P68" i="11"/>
  <c r="F77" i="11"/>
  <c r="J77" i="11"/>
  <c r="N77" i="11"/>
  <c r="R77" i="11"/>
  <c r="G80" i="11"/>
  <c r="K80" i="11"/>
  <c r="O80" i="11"/>
  <c r="I83" i="11"/>
  <c r="M83" i="11"/>
  <c r="Q83" i="11"/>
  <c r="G86" i="11"/>
  <c r="K86" i="11"/>
  <c r="O86" i="11"/>
  <c r="F92" i="11"/>
  <c r="J92" i="11"/>
  <c r="N92" i="11"/>
  <c r="R92" i="11"/>
  <c r="H95" i="11"/>
  <c r="L95" i="11"/>
  <c r="P95" i="11"/>
  <c r="F98" i="11"/>
  <c r="J98" i="11"/>
  <c r="N98" i="11"/>
  <c r="R98" i="11"/>
  <c r="I104" i="11"/>
  <c r="M104" i="11"/>
  <c r="Q104" i="11"/>
  <c r="I110" i="11"/>
  <c r="M110" i="11"/>
  <c r="Q110" i="11"/>
  <c r="G113" i="11"/>
  <c r="K113" i="11"/>
  <c r="O113" i="11"/>
  <c r="H116" i="11"/>
  <c r="L116" i="11"/>
  <c r="P116" i="11"/>
  <c r="F119" i="11"/>
  <c r="J119" i="11"/>
  <c r="N119" i="11"/>
  <c r="I11" i="11"/>
  <c r="M11" i="11"/>
  <c r="Q11" i="11"/>
  <c r="G14" i="11"/>
  <c r="K14" i="11"/>
  <c r="O14" i="11"/>
  <c r="F20" i="11"/>
  <c r="J20" i="11"/>
  <c r="N20" i="11"/>
  <c r="R20" i="11"/>
  <c r="H29" i="11"/>
  <c r="L29" i="11"/>
  <c r="P29" i="11"/>
  <c r="G35" i="11"/>
  <c r="K35" i="11"/>
  <c r="O35" i="11"/>
  <c r="I38" i="11"/>
  <c r="M38" i="11"/>
  <c r="Q38" i="11"/>
  <c r="H44" i="11"/>
  <c r="L44" i="11"/>
  <c r="P44" i="11"/>
  <c r="F53" i="11"/>
  <c r="J53" i="11"/>
  <c r="N53" i="11"/>
  <c r="R53" i="11"/>
  <c r="I59" i="11"/>
  <c r="M59" i="11"/>
  <c r="Q59" i="11"/>
  <c r="G62" i="11"/>
  <c r="K62" i="11"/>
  <c r="O62" i="11"/>
  <c r="F68" i="11"/>
  <c r="J68" i="11"/>
  <c r="N68" i="11"/>
  <c r="R68" i="11"/>
  <c r="H71" i="11"/>
  <c r="F74" i="11"/>
  <c r="H77" i="11"/>
  <c r="L77" i="11"/>
  <c r="P77" i="11"/>
  <c r="G83" i="11"/>
  <c r="K83" i="11"/>
  <c r="O83" i="11"/>
  <c r="I86" i="11"/>
  <c r="M86" i="11"/>
  <c r="Q86" i="11"/>
  <c r="G89" i="11"/>
  <c r="K89" i="11"/>
  <c r="H92" i="11"/>
  <c r="L92" i="11"/>
  <c r="P92" i="11"/>
  <c r="J101" i="11"/>
  <c r="R101" i="11"/>
  <c r="G104" i="11"/>
  <c r="K104" i="11"/>
  <c r="O104" i="11"/>
  <c r="I107" i="11"/>
  <c r="M107" i="11"/>
  <c r="Q107" i="11"/>
  <c r="I113" i="11"/>
  <c r="M113" i="11"/>
  <c r="Q113" i="11"/>
  <c r="F113" i="11"/>
  <c r="N113" i="11"/>
  <c r="F116" i="11"/>
  <c r="J116" i="11"/>
  <c r="H119" i="11"/>
  <c r="L119" i="11"/>
  <c r="P119" i="11"/>
  <c r="H122" i="11"/>
  <c r="L122" i="11"/>
  <c r="P122" i="11"/>
  <c r="F125" i="11"/>
  <c r="J125" i="11"/>
  <c r="N125" i="11"/>
  <c r="R125" i="11"/>
  <c r="G128" i="11"/>
  <c r="K128" i="11"/>
  <c r="O128" i="11"/>
  <c r="I131" i="11"/>
  <c r="M131" i="11"/>
  <c r="Q131" i="11"/>
  <c r="G134" i="11"/>
  <c r="K134" i="11"/>
  <c r="O134" i="11"/>
  <c r="I137" i="11"/>
  <c r="M137" i="11"/>
  <c r="Q137" i="11"/>
  <c r="F140" i="11"/>
  <c r="J140" i="11"/>
  <c r="N140" i="11"/>
  <c r="R140" i="11"/>
  <c r="H143" i="11"/>
  <c r="L143" i="11"/>
  <c r="P143" i="11"/>
  <c r="F146" i="11"/>
  <c r="J146" i="11"/>
  <c r="N146" i="11"/>
  <c r="R146" i="11"/>
  <c r="H149" i="11"/>
  <c r="L149" i="11"/>
  <c r="P149" i="11"/>
  <c r="I152" i="11"/>
  <c r="M152" i="11"/>
  <c r="Q152" i="11"/>
  <c r="F122" i="11"/>
  <c r="J122" i="11"/>
  <c r="N122" i="11"/>
  <c r="R122" i="11"/>
  <c r="H125" i="11"/>
  <c r="L125" i="11"/>
  <c r="P125" i="11"/>
  <c r="I128" i="11"/>
  <c r="M128" i="11"/>
  <c r="Q128" i="11"/>
  <c r="G131" i="11"/>
  <c r="K131" i="11"/>
  <c r="O131" i="11"/>
  <c r="I134" i="11"/>
  <c r="M134" i="11"/>
  <c r="Q134" i="11"/>
  <c r="G137" i="11"/>
  <c r="K137" i="11"/>
  <c r="O137" i="11"/>
  <c r="H140" i="11"/>
  <c r="L140" i="11"/>
  <c r="P140" i="11"/>
  <c r="F143" i="11"/>
  <c r="J143" i="11"/>
  <c r="N143" i="11"/>
  <c r="R143" i="11"/>
  <c r="H146" i="11"/>
  <c r="L146" i="11"/>
  <c r="P146" i="11"/>
  <c r="F149" i="11"/>
  <c r="J149" i="11"/>
  <c r="N149" i="11"/>
  <c r="R149" i="11"/>
  <c r="G152" i="11"/>
  <c r="K152" i="11"/>
  <c r="O152" i="11"/>
  <c r="S151" i="11"/>
  <c r="S16" i="11"/>
  <c r="S28" i="11"/>
  <c r="S40" i="11"/>
  <c r="S52" i="11"/>
  <c r="S64" i="11"/>
  <c r="S76" i="11"/>
  <c r="S88" i="11"/>
  <c r="S100" i="11"/>
  <c r="S112" i="11"/>
  <c r="S124" i="11"/>
  <c r="S136" i="11"/>
  <c r="S148" i="11"/>
  <c r="H11" i="11"/>
  <c r="L11" i="11"/>
  <c r="P11" i="11"/>
  <c r="F14" i="11"/>
  <c r="J14" i="11"/>
  <c r="N14" i="11"/>
  <c r="R14" i="11"/>
  <c r="G17" i="11"/>
  <c r="K17" i="11"/>
  <c r="O17" i="11"/>
  <c r="G20" i="11"/>
  <c r="K20" i="11"/>
  <c r="O20" i="11"/>
  <c r="H23" i="11"/>
  <c r="L23" i="11"/>
  <c r="P23" i="11"/>
  <c r="F26" i="11"/>
  <c r="J26" i="11"/>
  <c r="N26" i="11"/>
  <c r="R26" i="11"/>
  <c r="G29" i="11"/>
  <c r="K29" i="11"/>
  <c r="O29" i="11"/>
  <c r="G32" i="11"/>
  <c r="K32" i="11"/>
  <c r="O32" i="11"/>
  <c r="H35" i="11"/>
  <c r="L35" i="11"/>
  <c r="P35" i="11"/>
  <c r="F38" i="11"/>
  <c r="F11" i="11"/>
  <c r="J11" i="11"/>
  <c r="N11" i="11"/>
  <c r="R11" i="11"/>
  <c r="H14" i="11"/>
  <c r="L14" i="11"/>
  <c r="P14" i="11"/>
  <c r="I17" i="11"/>
  <c r="M17" i="11"/>
  <c r="Q17" i="11"/>
  <c r="I20" i="11"/>
  <c r="M20" i="11"/>
  <c r="Q20" i="11"/>
  <c r="F23" i="11"/>
  <c r="J23" i="11"/>
  <c r="N23" i="11"/>
  <c r="R23" i="11"/>
  <c r="H26" i="11"/>
  <c r="L26" i="11"/>
  <c r="P26" i="11"/>
  <c r="I29" i="11"/>
  <c r="M29" i="11"/>
  <c r="Q29" i="11"/>
  <c r="I32" i="11"/>
  <c r="M32" i="11"/>
  <c r="Q32" i="11"/>
  <c r="F35" i="11"/>
  <c r="J35" i="11"/>
  <c r="N35" i="11"/>
  <c r="R35" i="11"/>
  <c r="H38" i="11"/>
  <c r="J38" i="11"/>
  <c r="N38" i="11"/>
  <c r="R38" i="11"/>
  <c r="G41" i="11"/>
  <c r="K41" i="11"/>
  <c r="O41" i="11"/>
  <c r="G44" i="11"/>
  <c r="K44" i="11"/>
  <c r="O44" i="11"/>
  <c r="H47" i="11"/>
  <c r="L47" i="11"/>
  <c r="P47" i="11"/>
  <c r="F50" i="11"/>
  <c r="J50" i="11"/>
  <c r="N50" i="11"/>
  <c r="R50" i="11"/>
  <c r="G53" i="11"/>
  <c r="K53" i="11"/>
  <c r="O53" i="11"/>
  <c r="G56" i="11"/>
  <c r="K56" i="11"/>
  <c r="O56" i="11"/>
  <c r="H59" i="11"/>
  <c r="L59" i="11"/>
  <c r="P59" i="11"/>
  <c r="F62" i="11"/>
  <c r="J62" i="11"/>
  <c r="N62" i="11"/>
  <c r="R62" i="11"/>
  <c r="G65" i="11"/>
  <c r="K65" i="11"/>
  <c r="O65" i="11"/>
  <c r="G68" i="11"/>
  <c r="K68" i="11"/>
  <c r="O68" i="11"/>
  <c r="L71" i="11"/>
  <c r="P71" i="11"/>
  <c r="J74" i="11"/>
  <c r="N74" i="11"/>
  <c r="R74" i="11"/>
  <c r="O77" i="11"/>
  <c r="P83" i="11"/>
  <c r="N86" i="11"/>
  <c r="R86" i="11"/>
  <c r="O89" i="11"/>
  <c r="L38" i="11"/>
  <c r="P38" i="11"/>
  <c r="I41" i="11"/>
  <c r="M41" i="11"/>
  <c r="Q41" i="11"/>
  <c r="I44" i="11"/>
  <c r="M44" i="11"/>
  <c r="Q44" i="11"/>
  <c r="F47" i="11"/>
  <c r="J47" i="11"/>
  <c r="N47" i="11"/>
  <c r="R47" i="11"/>
  <c r="H50" i="11"/>
  <c r="L50" i="11"/>
  <c r="P50" i="11"/>
  <c r="I53" i="11"/>
  <c r="M53" i="11"/>
  <c r="Q53" i="11"/>
  <c r="I56" i="11"/>
  <c r="M56" i="11"/>
  <c r="Q56" i="11"/>
  <c r="F59" i="11"/>
  <c r="J59" i="11"/>
  <c r="N59" i="11"/>
  <c r="R59" i="11"/>
  <c r="H62" i="11"/>
  <c r="L62" i="11"/>
  <c r="P62" i="11"/>
  <c r="I65" i="11"/>
  <c r="M65" i="11"/>
  <c r="Q65" i="11"/>
  <c r="I68" i="11"/>
  <c r="M68" i="11"/>
  <c r="Q68" i="11"/>
  <c r="F71" i="11"/>
  <c r="J71" i="11"/>
  <c r="N71" i="11"/>
  <c r="R71" i="11"/>
  <c r="H74" i="11"/>
  <c r="L74" i="11"/>
  <c r="P74" i="11"/>
  <c r="I77" i="11"/>
  <c r="M77" i="11"/>
  <c r="Q77" i="11"/>
  <c r="I80" i="11"/>
  <c r="M80" i="11"/>
  <c r="Q80" i="11"/>
  <c r="F83" i="11"/>
  <c r="J83" i="11"/>
  <c r="N83" i="11"/>
  <c r="R83" i="11"/>
  <c r="H86" i="11"/>
  <c r="L86" i="11"/>
  <c r="P86" i="11"/>
  <c r="I89" i="11"/>
  <c r="M89" i="11"/>
  <c r="Q89" i="11"/>
  <c r="I92" i="11"/>
  <c r="M92" i="11"/>
  <c r="Q92" i="11"/>
  <c r="F95" i="11"/>
  <c r="J95" i="11"/>
  <c r="N95" i="11"/>
  <c r="R95" i="11"/>
  <c r="H98" i="11"/>
  <c r="L98" i="11"/>
  <c r="P98" i="11"/>
  <c r="H101" i="11"/>
  <c r="L101" i="11"/>
  <c r="P101" i="11"/>
  <c r="L104" i="11"/>
  <c r="G107" i="11"/>
  <c r="K107" i="11"/>
  <c r="O107" i="11"/>
  <c r="G110" i="11"/>
  <c r="K110" i="11"/>
  <c r="O110" i="11"/>
  <c r="H110" i="11"/>
  <c r="P110" i="11"/>
  <c r="J113" i="11"/>
  <c r="R113" i="11"/>
  <c r="N116" i="11"/>
  <c r="R116" i="11"/>
  <c r="R119" i="11"/>
  <c r="F101" i="11"/>
  <c r="N101" i="11"/>
  <c r="L86" i="15"/>
  <c r="P86" i="15"/>
  <c r="S21" i="15"/>
  <c r="S30" i="15"/>
  <c r="S60" i="15"/>
  <c r="S87" i="15"/>
  <c r="S93" i="15"/>
  <c r="S108" i="15"/>
  <c r="S135" i="15"/>
  <c r="S141" i="15"/>
  <c r="S22" i="15"/>
  <c r="S43" i="15"/>
  <c r="S52" i="15"/>
  <c r="S70" i="15"/>
  <c r="S91" i="15"/>
  <c r="S100" i="15"/>
  <c r="S118" i="15"/>
  <c r="S124" i="15"/>
  <c r="S130" i="15"/>
  <c r="S136" i="15"/>
  <c r="S142" i="15"/>
  <c r="S148" i="15"/>
  <c r="S27" i="15"/>
  <c r="S36" i="15"/>
  <c r="S51" i="15"/>
  <c r="S57" i="15"/>
  <c r="S72" i="15"/>
  <c r="S99" i="15"/>
  <c r="S105" i="15"/>
  <c r="S147" i="15"/>
  <c r="S55" i="15"/>
  <c r="S64" i="15"/>
  <c r="S82" i="15"/>
  <c r="S103" i="15"/>
  <c r="S112" i="15"/>
  <c r="S66" i="15"/>
  <c r="S54" i="15"/>
  <c r="S18" i="15"/>
  <c r="S33" i="15"/>
  <c r="S42" i="15"/>
  <c r="S63" i="15"/>
  <c r="S69" i="15"/>
  <c r="S84" i="15"/>
  <c r="S111" i="15"/>
  <c r="S117" i="15"/>
  <c r="S132" i="15"/>
  <c r="S19" i="15"/>
  <c r="S28" i="15"/>
  <c r="S67" i="15"/>
  <c r="S76" i="15"/>
  <c r="S94" i="15"/>
  <c r="S115" i="15"/>
  <c r="S127" i="15"/>
  <c r="S139" i="15"/>
  <c r="S151" i="15"/>
  <c r="S15" i="15"/>
  <c r="S24" i="15"/>
  <c r="S39" i="15"/>
  <c r="S48" i="15"/>
  <c r="S75" i="15"/>
  <c r="S81" i="15"/>
  <c r="S96" i="15"/>
  <c r="S123" i="15"/>
  <c r="S129" i="15"/>
  <c r="S144" i="15"/>
  <c r="S31" i="15"/>
  <c r="S40" i="15"/>
  <c r="S58" i="15"/>
  <c r="S79" i="15"/>
  <c r="S88" i="15"/>
  <c r="S106" i="15"/>
  <c r="S78" i="15"/>
  <c r="S90" i="15"/>
  <c r="S102" i="15"/>
  <c r="S114" i="15"/>
  <c r="S126" i="15"/>
  <c r="S138" i="15"/>
  <c r="S150" i="15"/>
  <c r="S13" i="15"/>
  <c r="S25" i="15"/>
  <c r="S37" i="15"/>
  <c r="S49" i="15"/>
  <c r="S61" i="15"/>
  <c r="S73" i="15"/>
  <c r="S85" i="15"/>
  <c r="S97" i="15"/>
  <c r="S109" i="15"/>
  <c r="S121" i="15"/>
  <c r="S133" i="15"/>
  <c r="S145" i="15"/>
  <c r="S9" i="7"/>
  <c r="S33" i="7"/>
  <c r="S57" i="7"/>
  <c r="S81" i="7"/>
  <c r="S102" i="7"/>
  <c r="S150" i="7"/>
  <c r="S10" i="7"/>
  <c r="S13" i="7"/>
  <c r="S31" i="7"/>
  <c r="S58" i="7"/>
  <c r="S61" i="7"/>
  <c r="S79" i="7"/>
  <c r="S106" i="7"/>
  <c r="S109" i="7"/>
  <c r="S127" i="7"/>
  <c r="S120" i="7"/>
  <c r="S108" i="7"/>
  <c r="S96" i="7"/>
  <c r="S123" i="7"/>
  <c r="S111" i="7"/>
  <c r="S99" i="7"/>
  <c r="S87" i="7"/>
  <c r="S75" i="7"/>
  <c r="S63" i="7"/>
  <c r="S51" i="7"/>
  <c r="S39" i="7"/>
  <c r="S27" i="7"/>
  <c r="S15" i="7"/>
  <c r="S6" i="7"/>
  <c r="S24" i="7"/>
  <c r="S30" i="7"/>
  <c r="S48" i="7"/>
  <c r="S54" i="7"/>
  <c r="S72" i="7"/>
  <c r="S78" i="7"/>
  <c r="S114" i="7"/>
  <c r="S22" i="7"/>
  <c r="S25" i="7"/>
  <c r="S43" i="7"/>
  <c r="S70" i="7"/>
  <c r="S73" i="7"/>
  <c r="S91" i="7"/>
  <c r="S118" i="7"/>
  <c r="S21" i="7"/>
  <c r="S45" i="7"/>
  <c r="S69" i="7"/>
  <c r="S93" i="7"/>
  <c r="S126" i="7"/>
  <c r="S124" i="7"/>
  <c r="S112" i="7"/>
  <c r="S100" i="7"/>
  <c r="S88" i="7"/>
  <c r="S76" i="7"/>
  <c r="S64" i="7"/>
  <c r="S52" i="7"/>
  <c r="S40" i="7"/>
  <c r="S28" i="7"/>
  <c r="S16" i="7"/>
  <c r="S7" i="7"/>
  <c r="S34" i="7"/>
  <c r="S37" i="7"/>
  <c r="S55" i="7"/>
  <c r="S82" i="7"/>
  <c r="S85" i="7"/>
  <c r="S103" i="7"/>
  <c r="S12" i="7"/>
  <c r="S18" i="7"/>
  <c r="S36" i="7"/>
  <c r="S42" i="7"/>
  <c r="S60" i="7"/>
  <c r="S66" i="7"/>
  <c r="S84" i="7"/>
  <c r="S90" i="7"/>
  <c r="S105" i="7"/>
  <c r="S19" i="7"/>
  <c r="S46" i="7"/>
  <c r="S49" i="7"/>
  <c r="S67" i="7"/>
  <c r="S94" i="7"/>
  <c r="S97" i="7"/>
  <c r="S115" i="7"/>
  <c r="Q43" i="1"/>
  <c r="Q127" i="1"/>
  <c r="Q133" i="1"/>
  <c r="F133" i="1"/>
  <c r="G133" i="1"/>
  <c r="H133" i="1"/>
  <c r="I133" i="1"/>
  <c r="J133" i="1"/>
  <c r="K133" i="1"/>
  <c r="L133" i="1"/>
  <c r="M133" i="1"/>
  <c r="N133" i="1"/>
  <c r="O133" i="1"/>
  <c r="P133" i="1"/>
  <c r="R133" i="1"/>
  <c r="T133" i="1"/>
  <c r="U133" i="1"/>
  <c r="F130" i="1"/>
  <c r="G130" i="1"/>
  <c r="H130" i="1"/>
  <c r="I130" i="1"/>
  <c r="J130" i="1"/>
  <c r="K130" i="1"/>
  <c r="L130" i="1"/>
  <c r="M130" i="1"/>
  <c r="N130" i="1"/>
  <c r="O130" i="1"/>
  <c r="P130" i="1"/>
  <c r="Q130" i="1"/>
  <c r="R130" i="1"/>
  <c r="T130" i="1"/>
  <c r="U130" i="1"/>
  <c r="F127" i="1"/>
  <c r="G127" i="1"/>
  <c r="H127" i="1"/>
  <c r="I127" i="1"/>
  <c r="J127" i="1"/>
  <c r="K127" i="1"/>
  <c r="L127" i="1"/>
  <c r="M127" i="1"/>
  <c r="N127" i="1"/>
  <c r="O127" i="1"/>
  <c r="P127" i="1"/>
  <c r="R127" i="1"/>
  <c r="T127" i="1"/>
  <c r="U127" i="1"/>
  <c r="F124" i="1"/>
  <c r="G124" i="1"/>
  <c r="H124" i="1"/>
  <c r="I124" i="1"/>
  <c r="J124" i="1"/>
  <c r="K124" i="1"/>
  <c r="L124" i="1"/>
  <c r="M124" i="1"/>
  <c r="N124" i="1"/>
  <c r="O124" i="1"/>
  <c r="P124" i="1"/>
  <c r="Q124" i="1"/>
  <c r="R124" i="1"/>
  <c r="T124" i="1"/>
  <c r="U124" i="1"/>
  <c r="F121" i="1"/>
  <c r="G121" i="1"/>
  <c r="H121" i="1"/>
  <c r="I121" i="1"/>
  <c r="J121" i="1"/>
  <c r="K121" i="1"/>
  <c r="L121" i="1"/>
  <c r="M121" i="1"/>
  <c r="N121" i="1"/>
  <c r="O121" i="1"/>
  <c r="P121" i="1"/>
  <c r="Q121" i="1"/>
  <c r="R121" i="1"/>
  <c r="T121" i="1"/>
  <c r="U121" i="1"/>
  <c r="F118" i="1"/>
  <c r="G118" i="1"/>
  <c r="H118" i="1"/>
  <c r="I118" i="1"/>
  <c r="J118" i="1"/>
  <c r="K118" i="1"/>
  <c r="L118" i="1"/>
  <c r="M118" i="1"/>
  <c r="N118" i="1"/>
  <c r="O118" i="1"/>
  <c r="P118" i="1"/>
  <c r="Q118" i="1"/>
  <c r="R118" i="1"/>
  <c r="T118" i="1"/>
  <c r="U118" i="1"/>
  <c r="F115" i="1"/>
  <c r="G115" i="1"/>
  <c r="H115" i="1"/>
  <c r="I115" i="1"/>
  <c r="J115" i="1"/>
  <c r="K115" i="1"/>
  <c r="L115" i="1"/>
  <c r="M115" i="1"/>
  <c r="N115" i="1"/>
  <c r="O115" i="1"/>
  <c r="P115" i="1"/>
  <c r="Q115" i="1"/>
  <c r="R115" i="1"/>
  <c r="T115" i="1"/>
  <c r="U115" i="1"/>
  <c r="F112" i="1"/>
  <c r="G112" i="1"/>
  <c r="H112" i="1"/>
  <c r="I112" i="1"/>
  <c r="J112" i="1"/>
  <c r="K112" i="1"/>
  <c r="L112" i="1"/>
  <c r="M112" i="1"/>
  <c r="N112" i="1"/>
  <c r="O112" i="1"/>
  <c r="P112" i="1"/>
  <c r="Q112" i="1"/>
  <c r="R112" i="1"/>
  <c r="T112" i="1"/>
  <c r="U112" i="1"/>
  <c r="F109" i="1"/>
  <c r="G109" i="1"/>
  <c r="H109" i="1"/>
  <c r="I109" i="1"/>
  <c r="J109" i="1"/>
  <c r="K109" i="1"/>
  <c r="L109" i="1"/>
  <c r="M109" i="1"/>
  <c r="N109" i="1"/>
  <c r="O109" i="1"/>
  <c r="P109" i="1"/>
  <c r="Q109" i="1"/>
  <c r="R109" i="1"/>
  <c r="T109" i="1"/>
  <c r="U109" i="1"/>
  <c r="F106" i="1"/>
  <c r="G106" i="1"/>
  <c r="H106" i="1"/>
  <c r="I106" i="1"/>
  <c r="J106" i="1"/>
  <c r="K106" i="1"/>
  <c r="L106" i="1"/>
  <c r="M106" i="1"/>
  <c r="N106" i="1"/>
  <c r="O106" i="1"/>
  <c r="P106" i="1"/>
  <c r="Q106" i="1"/>
  <c r="R106" i="1"/>
  <c r="T106" i="1"/>
  <c r="U106" i="1"/>
  <c r="F103" i="1"/>
  <c r="G103" i="1"/>
  <c r="H103" i="1"/>
  <c r="I103" i="1"/>
  <c r="J103" i="1"/>
  <c r="K103" i="1"/>
  <c r="L103" i="1"/>
  <c r="M103" i="1"/>
  <c r="N103" i="1"/>
  <c r="O103" i="1"/>
  <c r="P103" i="1"/>
  <c r="Q103" i="1"/>
  <c r="R103" i="1"/>
  <c r="T103" i="1"/>
  <c r="U103" i="1"/>
  <c r="F100" i="1"/>
  <c r="G100" i="1"/>
  <c r="H100" i="1"/>
  <c r="I100" i="1"/>
  <c r="J100" i="1"/>
  <c r="K100" i="1"/>
  <c r="L100" i="1"/>
  <c r="M100" i="1"/>
  <c r="N100" i="1"/>
  <c r="O100" i="1"/>
  <c r="P100" i="1"/>
  <c r="Q100" i="1"/>
  <c r="R100" i="1"/>
  <c r="T100" i="1"/>
  <c r="U100" i="1"/>
  <c r="F97" i="1"/>
  <c r="G97" i="1"/>
  <c r="H97" i="1"/>
  <c r="I97" i="1"/>
  <c r="J97" i="1"/>
  <c r="K97" i="1"/>
  <c r="L97" i="1"/>
  <c r="M97" i="1"/>
  <c r="N97" i="1"/>
  <c r="O97" i="1"/>
  <c r="P97" i="1"/>
  <c r="Q97" i="1"/>
  <c r="R97" i="1"/>
  <c r="T97" i="1"/>
  <c r="U97" i="1"/>
  <c r="F94" i="1"/>
  <c r="G94" i="1"/>
  <c r="H94" i="1"/>
  <c r="I94" i="1"/>
  <c r="J94" i="1"/>
  <c r="K94" i="1"/>
  <c r="L94" i="1"/>
  <c r="M94" i="1"/>
  <c r="N94" i="1"/>
  <c r="O94" i="1"/>
  <c r="P94" i="1"/>
  <c r="Q94" i="1"/>
  <c r="R94" i="1"/>
  <c r="T94" i="1"/>
  <c r="U94" i="1"/>
  <c r="F91" i="1"/>
  <c r="G91" i="1"/>
  <c r="H91" i="1"/>
  <c r="I91" i="1"/>
  <c r="J91" i="1"/>
  <c r="K91" i="1"/>
  <c r="L91" i="1"/>
  <c r="M91" i="1"/>
  <c r="N91" i="1"/>
  <c r="O91" i="1"/>
  <c r="P91" i="1"/>
  <c r="Q91" i="1"/>
  <c r="R91" i="1"/>
  <c r="T91" i="1"/>
  <c r="U91" i="1"/>
  <c r="F88" i="1"/>
  <c r="G88" i="1"/>
  <c r="H88" i="1"/>
  <c r="I88" i="1"/>
  <c r="J88" i="1"/>
  <c r="K88" i="1"/>
  <c r="L88" i="1"/>
  <c r="M88" i="1"/>
  <c r="N88" i="1"/>
  <c r="O88" i="1"/>
  <c r="P88" i="1"/>
  <c r="Q88" i="1"/>
  <c r="R88" i="1"/>
  <c r="T88" i="1"/>
  <c r="U88" i="1"/>
  <c r="F85" i="1"/>
  <c r="G85" i="1"/>
  <c r="H85" i="1"/>
  <c r="I85" i="1"/>
  <c r="J85" i="1"/>
  <c r="K85" i="1"/>
  <c r="L85" i="1"/>
  <c r="M85" i="1"/>
  <c r="N85" i="1"/>
  <c r="O85" i="1"/>
  <c r="P85" i="1"/>
  <c r="Q85" i="1"/>
  <c r="R85" i="1"/>
  <c r="T85" i="1"/>
  <c r="U85" i="1"/>
  <c r="F82" i="1"/>
  <c r="G82" i="1"/>
  <c r="H82" i="1"/>
  <c r="I82" i="1"/>
  <c r="J82" i="1"/>
  <c r="K82" i="1"/>
  <c r="L82" i="1"/>
  <c r="M82" i="1"/>
  <c r="N82" i="1"/>
  <c r="O82" i="1"/>
  <c r="P82" i="1"/>
  <c r="Q82" i="1"/>
  <c r="R82" i="1"/>
  <c r="T82" i="1"/>
  <c r="U82" i="1"/>
  <c r="F79" i="1"/>
  <c r="G79" i="1"/>
  <c r="H79" i="1"/>
  <c r="I79" i="1"/>
  <c r="J79" i="1"/>
  <c r="K79" i="1"/>
  <c r="L79" i="1"/>
  <c r="M79" i="1"/>
  <c r="N79" i="1"/>
  <c r="O79" i="1"/>
  <c r="P79" i="1"/>
  <c r="Q79" i="1"/>
  <c r="R79" i="1"/>
  <c r="T79" i="1"/>
  <c r="U79" i="1"/>
  <c r="F76" i="1"/>
  <c r="G76" i="1"/>
  <c r="H76" i="1"/>
  <c r="I76" i="1"/>
  <c r="J76" i="1"/>
  <c r="K76" i="1"/>
  <c r="L76" i="1"/>
  <c r="M76" i="1"/>
  <c r="N76" i="1"/>
  <c r="O76" i="1"/>
  <c r="P76" i="1"/>
  <c r="Q76" i="1"/>
  <c r="T76" i="1"/>
  <c r="U76" i="1"/>
  <c r="F73" i="1"/>
  <c r="G73" i="1"/>
  <c r="H73" i="1"/>
  <c r="I73" i="1"/>
  <c r="J73" i="1"/>
  <c r="K73" i="1"/>
  <c r="L73" i="1"/>
  <c r="M73" i="1"/>
  <c r="N73" i="1"/>
  <c r="O73" i="1"/>
  <c r="P73" i="1"/>
  <c r="Q73" i="1"/>
  <c r="R73" i="1"/>
  <c r="T73" i="1"/>
  <c r="U73" i="1"/>
  <c r="F70" i="1"/>
  <c r="G70" i="1"/>
  <c r="H70" i="1"/>
  <c r="I70" i="1"/>
  <c r="J70" i="1"/>
  <c r="K70" i="1"/>
  <c r="L70" i="1"/>
  <c r="M70" i="1"/>
  <c r="N70" i="1"/>
  <c r="O70" i="1"/>
  <c r="P70" i="1"/>
  <c r="Q70" i="1"/>
  <c r="R70" i="1"/>
  <c r="T70" i="1"/>
  <c r="U70" i="1"/>
  <c r="F67" i="1"/>
  <c r="G67" i="1"/>
  <c r="H67" i="1"/>
  <c r="I67" i="1"/>
  <c r="J67" i="1"/>
  <c r="K67" i="1"/>
  <c r="L67" i="1"/>
  <c r="M67" i="1"/>
  <c r="N67" i="1"/>
  <c r="O67" i="1"/>
  <c r="P67" i="1"/>
  <c r="Q67" i="1"/>
  <c r="R67" i="1"/>
  <c r="T67" i="1"/>
  <c r="U67" i="1"/>
  <c r="F64" i="1"/>
  <c r="G64" i="1"/>
  <c r="H64" i="1"/>
  <c r="I64" i="1"/>
  <c r="J64" i="1"/>
  <c r="K64" i="1"/>
  <c r="L64" i="1"/>
  <c r="M64" i="1"/>
  <c r="N64" i="1"/>
  <c r="O64" i="1"/>
  <c r="P64" i="1"/>
  <c r="Q64" i="1"/>
  <c r="R64" i="1"/>
  <c r="T64" i="1"/>
  <c r="U64" i="1"/>
  <c r="F61" i="1"/>
  <c r="G61" i="1"/>
  <c r="H61" i="1"/>
  <c r="I61" i="1"/>
  <c r="J61" i="1"/>
  <c r="K61" i="1"/>
  <c r="L61" i="1"/>
  <c r="M61" i="1"/>
  <c r="N61" i="1"/>
  <c r="O61" i="1"/>
  <c r="P61" i="1"/>
  <c r="Q61" i="1"/>
  <c r="R61" i="1"/>
  <c r="T61" i="1"/>
  <c r="U61" i="1"/>
  <c r="F58" i="1"/>
  <c r="G58" i="1"/>
  <c r="H58" i="1"/>
  <c r="I58" i="1"/>
  <c r="J58" i="1"/>
  <c r="K58" i="1"/>
  <c r="L58" i="1"/>
  <c r="M58" i="1"/>
  <c r="N58" i="1"/>
  <c r="O58" i="1"/>
  <c r="P58" i="1"/>
  <c r="Q58" i="1"/>
  <c r="R58" i="1"/>
  <c r="T58" i="1"/>
  <c r="U58" i="1"/>
  <c r="F55" i="1"/>
  <c r="G55" i="1"/>
  <c r="H55" i="1"/>
  <c r="I55" i="1"/>
  <c r="J55" i="1"/>
  <c r="K55" i="1"/>
  <c r="L55" i="1"/>
  <c r="M55" i="1"/>
  <c r="N55" i="1"/>
  <c r="O55" i="1"/>
  <c r="P55" i="1"/>
  <c r="Q55" i="1"/>
  <c r="R55" i="1"/>
  <c r="T55" i="1"/>
  <c r="U55" i="1"/>
  <c r="F52" i="1"/>
  <c r="G52" i="1"/>
  <c r="H52" i="1"/>
  <c r="I52" i="1"/>
  <c r="J52" i="1"/>
  <c r="K52" i="1"/>
  <c r="L52" i="1"/>
  <c r="M52" i="1"/>
  <c r="N52" i="1"/>
  <c r="O52" i="1"/>
  <c r="Q52" i="1"/>
  <c r="R52" i="1"/>
  <c r="T52" i="1"/>
  <c r="U52" i="1"/>
  <c r="F49" i="1"/>
  <c r="G49" i="1"/>
  <c r="H49" i="1"/>
  <c r="I49" i="1"/>
  <c r="J49" i="1"/>
  <c r="K49" i="1"/>
  <c r="L49" i="1"/>
  <c r="M49" i="1"/>
  <c r="N49" i="1"/>
  <c r="O49" i="1"/>
  <c r="P49" i="1"/>
  <c r="Q49" i="1"/>
  <c r="R49" i="1"/>
  <c r="T49" i="1"/>
  <c r="U49" i="1"/>
  <c r="F46" i="1"/>
  <c r="G46" i="1"/>
  <c r="H46" i="1"/>
  <c r="I46" i="1"/>
  <c r="J46" i="1"/>
  <c r="K46" i="1"/>
  <c r="L46" i="1"/>
  <c r="M46" i="1"/>
  <c r="N46" i="1"/>
  <c r="O46" i="1"/>
  <c r="P46" i="1"/>
  <c r="Q46" i="1"/>
  <c r="R46" i="1"/>
  <c r="T46" i="1"/>
  <c r="U46" i="1"/>
  <c r="F43" i="1"/>
  <c r="G43" i="1"/>
  <c r="H43" i="1"/>
  <c r="I43" i="1"/>
  <c r="J43" i="1"/>
  <c r="K43" i="1"/>
  <c r="L43" i="1"/>
  <c r="M43" i="1"/>
  <c r="N43" i="1"/>
  <c r="O43" i="1"/>
  <c r="P43" i="1"/>
  <c r="R43" i="1"/>
  <c r="T43" i="1"/>
  <c r="U43" i="1"/>
  <c r="F40" i="1"/>
  <c r="G40" i="1"/>
  <c r="H40" i="1"/>
  <c r="I40" i="1"/>
  <c r="J40" i="1"/>
  <c r="K40" i="1"/>
  <c r="L40" i="1"/>
  <c r="M40" i="1"/>
  <c r="N40" i="1"/>
  <c r="O40" i="1"/>
  <c r="P40" i="1"/>
  <c r="Q40" i="1"/>
  <c r="R40" i="1"/>
  <c r="T40" i="1"/>
  <c r="U40" i="1"/>
  <c r="F37" i="1"/>
  <c r="G37" i="1"/>
  <c r="H37" i="1"/>
  <c r="I37" i="1"/>
  <c r="J37" i="1"/>
  <c r="K37" i="1"/>
  <c r="L37" i="1"/>
  <c r="M37" i="1"/>
  <c r="N37" i="1"/>
  <c r="O37" i="1"/>
  <c r="P37" i="1"/>
  <c r="Q37" i="1"/>
  <c r="R37" i="1"/>
  <c r="T37" i="1"/>
  <c r="U37" i="1"/>
  <c r="F34" i="1"/>
  <c r="G34" i="1"/>
  <c r="H34" i="1"/>
  <c r="I34" i="1"/>
  <c r="J34" i="1"/>
  <c r="K34" i="1"/>
  <c r="L34" i="1"/>
  <c r="M34" i="1"/>
  <c r="N34" i="1"/>
  <c r="O34" i="1"/>
  <c r="P34" i="1"/>
  <c r="Q34" i="1"/>
  <c r="R34" i="1"/>
  <c r="T34" i="1"/>
  <c r="U34" i="1"/>
  <c r="F31" i="1"/>
  <c r="G31" i="1"/>
  <c r="H31" i="1"/>
  <c r="I31" i="1"/>
  <c r="J31" i="1"/>
  <c r="K31" i="1"/>
  <c r="L31" i="1"/>
  <c r="M31" i="1"/>
  <c r="N31" i="1"/>
  <c r="O31" i="1"/>
  <c r="P31" i="1"/>
  <c r="Q31" i="1"/>
  <c r="R31" i="1"/>
  <c r="T31" i="1"/>
  <c r="U31" i="1"/>
  <c r="F28" i="1"/>
  <c r="G28" i="1"/>
  <c r="H28" i="1"/>
  <c r="I28" i="1"/>
  <c r="J28" i="1"/>
  <c r="K28" i="1"/>
  <c r="L28" i="1"/>
  <c r="M28" i="1"/>
  <c r="N28" i="1"/>
  <c r="O28" i="1"/>
  <c r="P28" i="1"/>
  <c r="Q28" i="1"/>
  <c r="R28" i="1"/>
  <c r="T28" i="1"/>
  <c r="U28" i="1"/>
  <c r="F25" i="1"/>
  <c r="G25" i="1"/>
  <c r="H25" i="1"/>
  <c r="I25" i="1"/>
  <c r="J25" i="1"/>
  <c r="K25" i="1"/>
  <c r="L25" i="1"/>
  <c r="M25" i="1"/>
  <c r="N25" i="1"/>
  <c r="O25" i="1"/>
  <c r="P25" i="1"/>
  <c r="Q25" i="1"/>
  <c r="R25" i="1"/>
  <c r="T25" i="1"/>
  <c r="U25" i="1"/>
  <c r="F22" i="1"/>
  <c r="G22" i="1"/>
  <c r="H22" i="1"/>
  <c r="I22" i="1"/>
  <c r="J22" i="1"/>
  <c r="K22" i="1"/>
  <c r="L22" i="1"/>
  <c r="M22" i="1"/>
  <c r="N22" i="1"/>
  <c r="O22" i="1"/>
  <c r="P22" i="1"/>
  <c r="Q22" i="1"/>
  <c r="R22" i="1"/>
  <c r="T22" i="1"/>
  <c r="U22" i="1"/>
  <c r="F19" i="1"/>
  <c r="G19" i="1"/>
  <c r="H19" i="1"/>
  <c r="I19" i="1"/>
  <c r="J19" i="1"/>
  <c r="K19" i="1"/>
  <c r="L19" i="1"/>
  <c r="M19" i="1"/>
  <c r="N19" i="1"/>
  <c r="O19" i="1"/>
  <c r="P19" i="1"/>
  <c r="Q19" i="1"/>
  <c r="R19" i="1"/>
  <c r="T19" i="1"/>
  <c r="U19" i="1"/>
  <c r="F16" i="1"/>
  <c r="G16" i="1"/>
  <c r="H16" i="1"/>
  <c r="I16" i="1"/>
  <c r="J16" i="1"/>
  <c r="K16" i="1"/>
  <c r="L16" i="1"/>
  <c r="M16" i="1"/>
  <c r="N16" i="1"/>
  <c r="O16" i="1"/>
  <c r="P16" i="1"/>
  <c r="Q16" i="1"/>
  <c r="R16" i="1"/>
  <c r="T16" i="1"/>
  <c r="U16" i="1"/>
  <c r="F13" i="1"/>
  <c r="G13" i="1"/>
  <c r="H13" i="1"/>
  <c r="I13" i="1"/>
  <c r="J13" i="1"/>
  <c r="K13" i="1"/>
  <c r="L13" i="1"/>
  <c r="M13" i="1"/>
  <c r="N13" i="1"/>
  <c r="O13" i="1"/>
  <c r="P13" i="1"/>
  <c r="Q13" i="1"/>
  <c r="R13" i="1"/>
  <c r="T13" i="1"/>
  <c r="U13" i="1"/>
  <c r="F10" i="1"/>
  <c r="G10" i="1"/>
  <c r="H10" i="1"/>
  <c r="I10" i="1"/>
  <c r="J10" i="1"/>
  <c r="K10" i="1"/>
  <c r="L10" i="1"/>
  <c r="M10" i="1"/>
  <c r="N10" i="1"/>
  <c r="O10" i="1"/>
  <c r="P10" i="1"/>
  <c r="Q10" i="1"/>
  <c r="R10" i="1"/>
  <c r="T10" i="1"/>
  <c r="U10" i="1"/>
  <c r="F132" i="1"/>
  <c r="G132" i="1"/>
  <c r="G134" i="1" s="1"/>
  <c r="H132" i="1"/>
  <c r="H134" i="1" s="1"/>
  <c r="I132" i="1"/>
  <c r="J132" i="1"/>
  <c r="J134" i="1" s="1"/>
  <c r="K132" i="1"/>
  <c r="K134" i="1" s="1"/>
  <c r="L132" i="1"/>
  <c r="L134" i="1" s="1"/>
  <c r="M132" i="1"/>
  <c r="N132" i="1"/>
  <c r="O132" i="1"/>
  <c r="O134" i="1" s="1"/>
  <c r="P132" i="1"/>
  <c r="P134" i="1" s="1"/>
  <c r="Q132" i="1"/>
  <c r="R132" i="1"/>
  <c r="T132" i="1"/>
  <c r="T134" i="1" s="1"/>
  <c r="U132" i="1"/>
  <c r="U134" i="1" s="1"/>
  <c r="F129" i="1"/>
  <c r="G129" i="1"/>
  <c r="H129" i="1"/>
  <c r="I129" i="1"/>
  <c r="J129" i="1"/>
  <c r="K129" i="1"/>
  <c r="L129" i="1"/>
  <c r="L131" i="1" s="1"/>
  <c r="M129" i="1"/>
  <c r="N129" i="1"/>
  <c r="O129" i="1"/>
  <c r="P129" i="1"/>
  <c r="Q129" i="1"/>
  <c r="R129" i="1"/>
  <c r="T129" i="1"/>
  <c r="U129" i="1"/>
  <c r="U131" i="1" s="1"/>
  <c r="F126" i="1"/>
  <c r="F128" i="1" s="1"/>
  <c r="G126" i="1"/>
  <c r="H126" i="1"/>
  <c r="I126" i="1"/>
  <c r="J126" i="1"/>
  <c r="J128" i="1" s="1"/>
  <c r="K126" i="1"/>
  <c r="L126" i="1"/>
  <c r="M126" i="1"/>
  <c r="M128" i="1" s="1"/>
  <c r="N126" i="1"/>
  <c r="N128" i="1" s="1"/>
  <c r="O126" i="1"/>
  <c r="P126" i="1"/>
  <c r="Q126" i="1"/>
  <c r="R126" i="1"/>
  <c r="T126" i="1"/>
  <c r="T128" i="1" s="1"/>
  <c r="U126" i="1"/>
  <c r="F123" i="1"/>
  <c r="F125" i="1" s="1"/>
  <c r="G123" i="1"/>
  <c r="H123" i="1"/>
  <c r="H125" i="1" s="1"/>
  <c r="I123" i="1"/>
  <c r="J123" i="1"/>
  <c r="J125" i="1" s="1"/>
  <c r="K123" i="1"/>
  <c r="L123" i="1"/>
  <c r="L125" i="1" s="1"/>
  <c r="M123" i="1"/>
  <c r="N123" i="1"/>
  <c r="N125" i="1" s="1"/>
  <c r="O123" i="1"/>
  <c r="P123" i="1"/>
  <c r="Q123" i="1"/>
  <c r="R123" i="1"/>
  <c r="T123" i="1"/>
  <c r="U123" i="1"/>
  <c r="U125" i="1" s="1"/>
  <c r="F120" i="1"/>
  <c r="G120" i="1"/>
  <c r="G122" i="1" s="1"/>
  <c r="H120" i="1"/>
  <c r="H122" i="1" s="1"/>
  <c r="I120" i="1"/>
  <c r="I122" i="1" s="1"/>
  <c r="J120" i="1"/>
  <c r="K120" i="1"/>
  <c r="K122" i="1" s="1"/>
  <c r="L120" i="1"/>
  <c r="M120" i="1"/>
  <c r="M122" i="1" s="1"/>
  <c r="N120" i="1"/>
  <c r="O120" i="1"/>
  <c r="O122" i="1" s="1"/>
  <c r="P120" i="1"/>
  <c r="P122" i="1" s="1"/>
  <c r="Q120" i="1"/>
  <c r="R120" i="1"/>
  <c r="T120" i="1"/>
  <c r="T122" i="1" s="1"/>
  <c r="U120" i="1"/>
  <c r="F117" i="1"/>
  <c r="F119" i="1" s="1"/>
  <c r="G117" i="1"/>
  <c r="H117" i="1"/>
  <c r="H119" i="1" s="1"/>
  <c r="I117" i="1"/>
  <c r="J117" i="1"/>
  <c r="J119" i="1" s="1"/>
  <c r="K117" i="1"/>
  <c r="L117" i="1"/>
  <c r="L119" i="1" s="1"/>
  <c r="M117" i="1"/>
  <c r="N117" i="1"/>
  <c r="N119" i="1" s="1"/>
  <c r="O117" i="1"/>
  <c r="P117" i="1"/>
  <c r="P119" i="1" s="1"/>
  <c r="Q117" i="1"/>
  <c r="R117" i="1"/>
  <c r="T117" i="1"/>
  <c r="U117" i="1"/>
  <c r="U119" i="1" s="1"/>
  <c r="F114" i="1"/>
  <c r="G114" i="1"/>
  <c r="G116" i="1" s="1"/>
  <c r="H114" i="1"/>
  <c r="I114" i="1"/>
  <c r="I116" i="1" s="1"/>
  <c r="J114" i="1"/>
  <c r="J116" i="1" s="1"/>
  <c r="K114" i="1"/>
  <c r="K116" i="1" s="1"/>
  <c r="L114" i="1"/>
  <c r="M114" i="1"/>
  <c r="M116" i="1" s="1"/>
  <c r="N114" i="1"/>
  <c r="O114" i="1"/>
  <c r="O116" i="1" s="1"/>
  <c r="P114" i="1"/>
  <c r="Q114" i="1"/>
  <c r="R114" i="1"/>
  <c r="T114" i="1"/>
  <c r="T116" i="1" s="1"/>
  <c r="U114" i="1"/>
  <c r="F111" i="1"/>
  <c r="F113" i="1" s="1"/>
  <c r="G111" i="1"/>
  <c r="H111" i="1"/>
  <c r="H113" i="1" s="1"/>
  <c r="I111" i="1"/>
  <c r="J111" i="1"/>
  <c r="J113" i="1" s="1"/>
  <c r="K111" i="1"/>
  <c r="L111" i="1"/>
  <c r="L113" i="1" s="1"/>
  <c r="M111" i="1"/>
  <c r="N111" i="1"/>
  <c r="N113" i="1" s="1"/>
  <c r="O111" i="1"/>
  <c r="P111" i="1"/>
  <c r="P113" i="1" s="1"/>
  <c r="Q111" i="1"/>
  <c r="R111" i="1"/>
  <c r="T111" i="1"/>
  <c r="T113" i="1" s="1"/>
  <c r="U111" i="1"/>
  <c r="U113" i="1" s="1"/>
  <c r="F108" i="1"/>
  <c r="G108" i="1"/>
  <c r="G110" i="1" s="1"/>
  <c r="H108" i="1"/>
  <c r="I108" i="1"/>
  <c r="I110" i="1" s="1"/>
  <c r="J108" i="1"/>
  <c r="K108" i="1"/>
  <c r="K110" i="1" s="1"/>
  <c r="L108" i="1"/>
  <c r="L110" i="1" s="1"/>
  <c r="M108" i="1"/>
  <c r="M110" i="1" s="1"/>
  <c r="N108" i="1"/>
  <c r="O108" i="1"/>
  <c r="O110" i="1" s="1"/>
  <c r="P108" i="1"/>
  <c r="Q108" i="1"/>
  <c r="R108" i="1"/>
  <c r="T108" i="1"/>
  <c r="T110" i="1" s="1"/>
  <c r="U108" i="1"/>
  <c r="U110" i="1" s="1"/>
  <c r="F105" i="1"/>
  <c r="F107" i="1" s="1"/>
  <c r="G105" i="1"/>
  <c r="H105" i="1"/>
  <c r="H107" i="1" s="1"/>
  <c r="I105" i="1"/>
  <c r="J105" i="1"/>
  <c r="J107" i="1" s="1"/>
  <c r="K105" i="1"/>
  <c r="L105" i="1"/>
  <c r="L107" i="1" s="1"/>
  <c r="M105" i="1"/>
  <c r="N105" i="1"/>
  <c r="N107" i="1" s="1"/>
  <c r="O105" i="1"/>
  <c r="P105" i="1"/>
  <c r="P107" i="1" s="1"/>
  <c r="Q105" i="1"/>
  <c r="R105" i="1"/>
  <c r="T105" i="1"/>
  <c r="U105" i="1"/>
  <c r="U107" i="1" s="1"/>
  <c r="F102" i="1"/>
  <c r="F104" i="1" s="1"/>
  <c r="G102" i="1"/>
  <c r="G104" i="1" s="1"/>
  <c r="H102" i="1"/>
  <c r="I102" i="1"/>
  <c r="I104" i="1" s="1"/>
  <c r="J102" i="1"/>
  <c r="K102" i="1"/>
  <c r="K104" i="1" s="1"/>
  <c r="L102" i="1"/>
  <c r="M102" i="1"/>
  <c r="M104" i="1" s="1"/>
  <c r="N102" i="1"/>
  <c r="N104" i="1" s="1"/>
  <c r="O102" i="1"/>
  <c r="O104" i="1" s="1"/>
  <c r="P102" i="1"/>
  <c r="Q102" i="1"/>
  <c r="R102" i="1"/>
  <c r="T102" i="1"/>
  <c r="T104" i="1" s="1"/>
  <c r="U102" i="1"/>
  <c r="F99" i="1"/>
  <c r="F101" i="1" s="1"/>
  <c r="G99" i="1"/>
  <c r="H99" i="1"/>
  <c r="H101" i="1" s="1"/>
  <c r="I99" i="1"/>
  <c r="J99" i="1"/>
  <c r="J101" i="1" s="1"/>
  <c r="K99" i="1"/>
  <c r="L99" i="1"/>
  <c r="L101" i="1" s="1"/>
  <c r="M99" i="1"/>
  <c r="N99" i="1"/>
  <c r="N101" i="1" s="1"/>
  <c r="O99" i="1"/>
  <c r="P99" i="1"/>
  <c r="P101" i="1" s="1"/>
  <c r="Q99" i="1"/>
  <c r="R99" i="1"/>
  <c r="T99" i="1"/>
  <c r="U99" i="1"/>
  <c r="U101" i="1" s="1"/>
  <c r="F96" i="1"/>
  <c r="G96" i="1"/>
  <c r="G98" i="1" s="1"/>
  <c r="H96" i="1"/>
  <c r="H98" i="1" s="1"/>
  <c r="I96" i="1"/>
  <c r="I98" i="1" s="1"/>
  <c r="J96" i="1"/>
  <c r="K96" i="1"/>
  <c r="K98" i="1" s="1"/>
  <c r="L96" i="1"/>
  <c r="M96" i="1"/>
  <c r="M98" i="1" s="1"/>
  <c r="N96" i="1"/>
  <c r="O96" i="1"/>
  <c r="O98" i="1" s="1"/>
  <c r="P96" i="1"/>
  <c r="P98" i="1" s="1"/>
  <c r="Q96" i="1"/>
  <c r="R96" i="1"/>
  <c r="T96" i="1"/>
  <c r="T98" i="1" s="1"/>
  <c r="U96" i="1"/>
  <c r="F93" i="1"/>
  <c r="F95" i="1" s="1"/>
  <c r="G93" i="1"/>
  <c r="H93" i="1"/>
  <c r="H95" i="1" s="1"/>
  <c r="I93" i="1"/>
  <c r="J93" i="1"/>
  <c r="J95" i="1" s="1"/>
  <c r="K93" i="1"/>
  <c r="L93" i="1"/>
  <c r="L95" i="1" s="1"/>
  <c r="M93" i="1"/>
  <c r="N93" i="1"/>
  <c r="N95" i="1" s="1"/>
  <c r="O93" i="1"/>
  <c r="P93" i="1"/>
  <c r="P95" i="1" s="1"/>
  <c r="Q93" i="1"/>
  <c r="R93" i="1"/>
  <c r="T93" i="1"/>
  <c r="U93" i="1"/>
  <c r="U95" i="1" s="1"/>
  <c r="F90" i="1"/>
  <c r="G90" i="1"/>
  <c r="G92" i="1" s="1"/>
  <c r="H90" i="1"/>
  <c r="I90" i="1"/>
  <c r="I92" i="1" s="1"/>
  <c r="J90" i="1"/>
  <c r="J92" i="1" s="1"/>
  <c r="K90" i="1"/>
  <c r="K92" i="1" s="1"/>
  <c r="L90" i="1"/>
  <c r="M90" i="1"/>
  <c r="M92" i="1" s="1"/>
  <c r="N90" i="1"/>
  <c r="O90" i="1"/>
  <c r="O92" i="1" s="1"/>
  <c r="P90" i="1"/>
  <c r="Q90" i="1"/>
  <c r="R90" i="1"/>
  <c r="T90" i="1"/>
  <c r="T92" i="1" s="1"/>
  <c r="U90" i="1"/>
  <c r="F87" i="1"/>
  <c r="F89" i="1" s="1"/>
  <c r="G87" i="1"/>
  <c r="H87" i="1"/>
  <c r="H89" i="1" s="1"/>
  <c r="I87" i="1"/>
  <c r="J87" i="1"/>
  <c r="J89" i="1" s="1"/>
  <c r="K87" i="1"/>
  <c r="L87" i="1"/>
  <c r="L89" i="1" s="1"/>
  <c r="M87" i="1"/>
  <c r="N87" i="1"/>
  <c r="N89" i="1" s="1"/>
  <c r="O87" i="1"/>
  <c r="P87" i="1"/>
  <c r="P89" i="1" s="1"/>
  <c r="Q87" i="1"/>
  <c r="R87" i="1"/>
  <c r="T87" i="1"/>
  <c r="T89" i="1" s="1"/>
  <c r="U87" i="1"/>
  <c r="U89" i="1" s="1"/>
  <c r="F84" i="1"/>
  <c r="G84" i="1"/>
  <c r="G86" i="1" s="1"/>
  <c r="H84" i="1"/>
  <c r="I84" i="1"/>
  <c r="I86" i="1" s="1"/>
  <c r="J84" i="1"/>
  <c r="K84" i="1"/>
  <c r="K86" i="1" s="1"/>
  <c r="L84" i="1"/>
  <c r="L86" i="1" s="1"/>
  <c r="M84" i="1"/>
  <c r="M86" i="1" s="1"/>
  <c r="N84" i="1"/>
  <c r="O84" i="1"/>
  <c r="O86" i="1" s="1"/>
  <c r="P84" i="1"/>
  <c r="Q84" i="1"/>
  <c r="R84" i="1"/>
  <c r="T84" i="1"/>
  <c r="T86" i="1" s="1"/>
  <c r="U84" i="1"/>
  <c r="U86" i="1" s="1"/>
  <c r="F83" i="1"/>
  <c r="H81" i="1"/>
  <c r="I81" i="1"/>
  <c r="J81" i="1"/>
  <c r="J83" i="1" s="1"/>
  <c r="K81" i="1"/>
  <c r="L81" i="1"/>
  <c r="M81" i="1"/>
  <c r="N81" i="1"/>
  <c r="N83" i="1" s="1"/>
  <c r="O81" i="1"/>
  <c r="P81" i="1"/>
  <c r="T81" i="1"/>
  <c r="T83" i="1" s="1"/>
  <c r="U81" i="1"/>
  <c r="U83" i="1" s="1"/>
  <c r="F78" i="1"/>
  <c r="F80" i="1" s="1"/>
  <c r="G78" i="1"/>
  <c r="G80" i="1" s="1"/>
  <c r="H78" i="1"/>
  <c r="H80" i="1" s="1"/>
  <c r="I78" i="1"/>
  <c r="I80" i="1" s="1"/>
  <c r="J78" i="1"/>
  <c r="J80" i="1" s="1"/>
  <c r="K78" i="1"/>
  <c r="K80" i="1" s="1"/>
  <c r="L78" i="1"/>
  <c r="L80" i="1" s="1"/>
  <c r="M78" i="1"/>
  <c r="M80" i="1" s="1"/>
  <c r="N78" i="1"/>
  <c r="N80" i="1" s="1"/>
  <c r="O78" i="1"/>
  <c r="O80" i="1" s="1"/>
  <c r="P78" i="1"/>
  <c r="P80" i="1" s="1"/>
  <c r="Q78" i="1"/>
  <c r="R78" i="1"/>
  <c r="T78" i="1"/>
  <c r="T80" i="1" s="1"/>
  <c r="U78" i="1"/>
  <c r="U80" i="1" s="1"/>
  <c r="F75" i="1"/>
  <c r="F77" i="1" s="1"/>
  <c r="G75" i="1"/>
  <c r="H75" i="1"/>
  <c r="H77" i="1" s="1"/>
  <c r="I75" i="1"/>
  <c r="J75" i="1"/>
  <c r="J77" i="1" s="1"/>
  <c r="K75" i="1"/>
  <c r="L75" i="1"/>
  <c r="L77" i="1" s="1"/>
  <c r="M75" i="1"/>
  <c r="N75" i="1"/>
  <c r="N77" i="1" s="1"/>
  <c r="O75" i="1"/>
  <c r="P75" i="1"/>
  <c r="P77" i="1" s="1"/>
  <c r="Q75" i="1"/>
  <c r="R75" i="1"/>
  <c r="T75" i="1"/>
  <c r="U75" i="1"/>
  <c r="F72" i="1"/>
  <c r="F74" i="1" s="1"/>
  <c r="G72" i="1"/>
  <c r="G74" i="1" s="1"/>
  <c r="H72" i="1"/>
  <c r="I72" i="1"/>
  <c r="I74" i="1" s="1"/>
  <c r="J72" i="1"/>
  <c r="J74" i="1" s="1"/>
  <c r="K72" i="1"/>
  <c r="K74" i="1" s="1"/>
  <c r="L72" i="1"/>
  <c r="M72" i="1"/>
  <c r="N72" i="1"/>
  <c r="N74" i="1" s="1"/>
  <c r="O72" i="1"/>
  <c r="O74" i="1" s="1"/>
  <c r="P72" i="1"/>
  <c r="Q72" i="1"/>
  <c r="R72" i="1"/>
  <c r="T72" i="1"/>
  <c r="T74" i="1" s="1"/>
  <c r="U72" i="1"/>
  <c r="F69" i="1"/>
  <c r="G69" i="1"/>
  <c r="H69" i="1"/>
  <c r="H71" i="1" s="1"/>
  <c r="I69" i="1"/>
  <c r="J69" i="1"/>
  <c r="J71" i="1" s="1"/>
  <c r="K69" i="1"/>
  <c r="L69" i="1"/>
  <c r="L71" i="1" s="1"/>
  <c r="M69" i="1"/>
  <c r="N69" i="1"/>
  <c r="O69" i="1"/>
  <c r="P69" i="1"/>
  <c r="P71" i="1" s="1"/>
  <c r="Q69" i="1"/>
  <c r="R69" i="1"/>
  <c r="T69" i="1"/>
  <c r="T71" i="1" s="1"/>
  <c r="U69" i="1"/>
  <c r="U71" i="1" s="1"/>
  <c r="F66" i="1"/>
  <c r="G66" i="1"/>
  <c r="H66" i="1"/>
  <c r="H68" i="1" s="1"/>
  <c r="I66" i="1"/>
  <c r="I68" i="1" s="1"/>
  <c r="J66" i="1"/>
  <c r="K66" i="1"/>
  <c r="K68" i="1" s="1"/>
  <c r="L66" i="1"/>
  <c r="L68" i="1" s="1"/>
  <c r="M66" i="1"/>
  <c r="M68" i="1" s="1"/>
  <c r="N66" i="1"/>
  <c r="O66" i="1"/>
  <c r="P66" i="1"/>
  <c r="P68" i="1" s="1"/>
  <c r="Q66" i="1"/>
  <c r="R66" i="1"/>
  <c r="T66" i="1"/>
  <c r="T68" i="1" s="1"/>
  <c r="U66" i="1"/>
  <c r="U68" i="1" s="1"/>
  <c r="F63" i="1"/>
  <c r="F65" i="1" s="1"/>
  <c r="G63" i="1"/>
  <c r="H63" i="1"/>
  <c r="I63" i="1"/>
  <c r="J63" i="1"/>
  <c r="J65" i="1" s="1"/>
  <c r="K63" i="1"/>
  <c r="L63" i="1"/>
  <c r="L65" i="1" s="1"/>
  <c r="M63" i="1"/>
  <c r="N63" i="1"/>
  <c r="N65" i="1" s="1"/>
  <c r="O63" i="1"/>
  <c r="P63" i="1"/>
  <c r="Q63" i="1"/>
  <c r="R63" i="1"/>
  <c r="T63" i="1"/>
  <c r="U63" i="1"/>
  <c r="U65" i="1" s="1"/>
  <c r="F60" i="1"/>
  <c r="F62" i="1" s="1"/>
  <c r="G60" i="1"/>
  <c r="G62" i="1" s="1"/>
  <c r="H60" i="1"/>
  <c r="I60" i="1"/>
  <c r="J60" i="1"/>
  <c r="J62" i="1" s="1"/>
  <c r="K60" i="1"/>
  <c r="K62" i="1" s="1"/>
  <c r="L60" i="1"/>
  <c r="M60" i="1"/>
  <c r="M62" i="1" s="1"/>
  <c r="N60" i="1"/>
  <c r="N62" i="1" s="1"/>
  <c r="O60" i="1"/>
  <c r="O62" i="1" s="1"/>
  <c r="P60" i="1"/>
  <c r="Q60" i="1"/>
  <c r="R60" i="1"/>
  <c r="T60" i="1"/>
  <c r="T62" i="1" s="1"/>
  <c r="U60" i="1"/>
  <c r="F57" i="1"/>
  <c r="F59" i="1" s="1"/>
  <c r="G57" i="1"/>
  <c r="H57" i="1"/>
  <c r="H59" i="1" s="1"/>
  <c r="I57" i="1"/>
  <c r="J57" i="1"/>
  <c r="K57" i="1"/>
  <c r="L57" i="1"/>
  <c r="L59" i="1" s="1"/>
  <c r="M57" i="1"/>
  <c r="N57" i="1"/>
  <c r="N59" i="1" s="1"/>
  <c r="O57" i="1"/>
  <c r="P57" i="1"/>
  <c r="P59" i="1" s="1"/>
  <c r="Q57" i="1"/>
  <c r="R57" i="1"/>
  <c r="T57" i="1"/>
  <c r="T59" i="1" s="1"/>
  <c r="U57" i="1"/>
  <c r="U59" i="1" s="1"/>
  <c r="F54" i="1"/>
  <c r="G54" i="1"/>
  <c r="G56" i="1" s="1"/>
  <c r="H54" i="1"/>
  <c r="H56" i="1" s="1"/>
  <c r="I54" i="1"/>
  <c r="I56" i="1" s="1"/>
  <c r="J54" i="1"/>
  <c r="K54" i="1"/>
  <c r="L54" i="1"/>
  <c r="L56" i="1" s="1"/>
  <c r="M54" i="1"/>
  <c r="M56" i="1" s="1"/>
  <c r="N54" i="1"/>
  <c r="O54" i="1"/>
  <c r="O56" i="1" s="1"/>
  <c r="P54" i="1"/>
  <c r="P56" i="1" s="1"/>
  <c r="Q54" i="1"/>
  <c r="R54" i="1"/>
  <c r="T54" i="1"/>
  <c r="U54" i="1"/>
  <c r="U56" i="1" s="1"/>
  <c r="F51" i="1"/>
  <c r="F53" i="1" s="1"/>
  <c r="G51" i="1"/>
  <c r="H51" i="1"/>
  <c r="H53" i="1" s="1"/>
  <c r="I51" i="1"/>
  <c r="J51" i="1"/>
  <c r="J53" i="1" s="1"/>
  <c r="K51" i="1"/>
  <c r="L51" i="1"/>
  <c r="M51" i="1"/>
  <c r="N51" i="1"/>
  <c r="N53" i="1" s="1"/>
  <c r="O51" i="1"/>
  <c r="P51" i="1"/>
  <c r="P53" i="1" s="1"/>
  <c r="Q51" i="1"/>
  <c r="R51" i="1"/>
  <c r="T51" i="1"/>
  <c r="U51" i="1"/>
  <c r="F48" i="1"/>
  <c r="G48" i="1"/>
  <c r="G50" i="1" s="1"/>
  <c r="H48" i="1"/>
  <c r="I48" i="1"/>
  <c r="I50" i="1" s="1"/>
  <c r="J48" i="1"/>
  <c r="J50" i="1" s="1"/>
  <c r="K48" i="1"/>
  <c r="K50" i="1" s="1"/>
  <c r="L48" i="1"/>
  <c r="M48" i="1"/>
  <c r="N48" i="1"/>
  <c r="O48" i="1"/>
  <c r="O50" i="1" s="1"/>
  <c r="P48" i="1"/>
  <c r="Q48" i="1"/>
  <c r="R48" i="1"/>
  <c r="T48" i="1"/>
  <c r="T50" i="1" s="1"/>
  <c r="U48" i="1"/>
  <c r="F45" i="1"/>
  <c r="G45" i="1"/>
  <c r="H45" i="1"/>
  <c r="H47" i="1" s="1"/>
  <c r="I45" i="1"/>
  <c r="J45" i="1"/>
  <c r="J47" i="1" s="1"/>
  <c r="K45" i="1"/>
  <c r="L45" i="1"/>
  <c r="L47" i="1" s="1"/>
  <c r="M45" i="1"/>
  <c r="N45" i="1"/>
  <c r="O45" i="1"/>
  <c r="P45" i="1"/>
  <c r="P47" i="1" s="1"/>
  <c r="Q45" i="1"/>
  <c r="R45" i="1"/>
  <c r="T45" i="1"/>
  <c r="T47" i="1" s="1"/>
  <c r="U45" i="1"/>
  <c r="U47" i="1" s="1"/>
  <c r="F42" i="1"/>
  <c r="G42" i="1"/>
  <c r="H42" i="1"/>
  <c r="I42" i="1"/>
  <c r="I44" i="1" s="1"/>
  <c r="J42" i="1"/>
  <c r="K42" i="1"/>
  <c r="K44" i="1" s="1"/>
  <c r="L42" i="1"/>
  <c r="L44" i="1" s="1"/>
  <c r="M42" i="1"/>
  <c r="M44" i="1" s="1"/>
  <c r="N42" i="1"/>
  <c r="O42" i="1"/>
  <c r="P42" i="1"/>
  <c r="Q42" i="1"/>
  <c r="R42" i="1"/>
  <c r="T42" i="1"/>
  <c r="T44" i="1" s="1"/>
  <c r="U42" i="1"/>
  <c r="U44" i="1" s="1"/>
  <c r="F39" i="1"/>
  <c r="F41" i="1" s="1"/>
  <c r="G39" i="1"/>
  <c r="H39" i="1"/>
  <c r="I39" i="1"/>
  <c r="J39" i="1"/>
  <c r="K39" i="1"/>
  <c r="L39" i="1"/>
  <c r="L41" i="1" s="1"/>
  <c r="M39" i="1"/>
  <c r="N39" i="1"/>
  <c r="N41" i="1" s="1"/>
  <c r="O39" i="1"/>
  <c r="P39" i="1"/>
  <c r="Q39" i="1"/>
  <c r="R39" i="1"/>
  <c r="T39" i="1"/>
  <c r="T41" i="1" s="1"/>
  <c r="U39" i="1"/>
  <c r="U41" i="1" s="1"/>
  <c r="F36" i="1"/>
  <c r="F38" i="1" s="1"/>
  <c r="G36" i="1"/>
  <c r="G38" i="1" s="1"/>
  <c r="H36" i="1"/>
  <c r="H38" i="1" s="1"/>
  <c r="I36" i="1"/>
  <c r="J36" i="1"/>
  <c r="J38" i="1" s="1"/>
  <c r="K36" i="1"/>
  <c r="L36" i="1"/>
  <c r="L38" i="1" s="1"/>
  <c r="M36" i="1"/>
  <c r="M38" i="1" s="1"/>
  <c r="N36" i="1"/>
  <c r="N38" i="1" s="1"/>
  <c r="O36" i="1"/>
  <c r="O38" i="1" s="1"/>
  <c r="P36" i="1"/>
  <c r="P38" i="1" s="1"/>
  <c r="Q36" i="1"/>
  <c r="R36" i="1"/>
  <c r="T36" i="1"/>
  <c r="U36" i="1"/>
  <c r="U38" i="1" s="1"/>
  <c r="F33" i="1"/>
  <c r="F35" i="1" s="1"/>
  <c r="G33" i="1"/>
  <c r="H33" i="1"/>
  <c r="H35" i="1" s="1"/>
  <c r="I33" i="1"/>
  <c r="J33" i="1"/>
  <c r="K33" i="1"/>
  <c r="L33" i="1"/>
  <c r="M33" i="1"/>
  <c r="N33" i="1"/>
  <c r="N35" i="1" s="1"/>
  <c r="O33" i="1"/>
  <c r="P33" i="1"/>
  <c r="P35" i="1" s="1"/>
  <c r="Q33" i="1"/>
  <c r="R33" i="1"/>
  <c r="T33" i="1"/>
  <c r="T35" i="1" s="1"/>
  <c r="U33" i="1"/>
  <c r="F30" i="1"/>
  <c r="F32" i="1" s="1"/>
  <c r="G30" i="1"/>
  <c r="G32" i="1" s="1"/>
  <c r="H30" i="1"/>
  <c r="H32" i="1" s="1"/>
  <c r="I30" i="1"/>
  <c r="I32" i="1" s="1"/>
  <c r="J30" i="1"/>
  <c r="J32" i="1" s="1"/>
  <c r="K30" i="1"/>
  <c r="L30" i="1"/>
  <c r="L32" i="1" s="1"/>
  <c r="M30" i="1"/>
  <c r="N30" i="1"/>
  <c r="N32" i="1" s="1"/>
  <c r="O30" i="1"/>
  <c r="O32" i="1" s="1"/>
  <c r="P30" i="1"/>
  <c r="P32" i="1" s="1"/>
  <c r="Q30" i="1"/>
  <c r="R30" i="1"/>
  <c r="T30" i="1"/>
  <c r="T32" i="1" s="1"/>
  <c r="U30" i="1"/>
  <c r="U32" i="1" s="1"/>
  <c r="F27" i="1"/>
  <c r="G27" i="1"/>
  <c r="H27" i="1"/>
  <c r="H29" i="1" s="1"/>
  <c r="I27" i="1"/>
  <c r="J27" i="1"/>
  <c r="J29" i="1" s="1"/>
  <c r="K27" i="1"/>
  <c r="L27" i="1"/>
  <c r="L29" i="1" s="1"/>
  <c r="M27" i="1"/>
  <c r="N27" i="1"/>
  <c r="O27" i="1"/>
  <c r="P27" i="1"/>
  <c r="P29" i="1" s="1"/>
  <c r="Q27" i="1"/>
  <c r="R27" i="1"/>
  <c r="T27" i="1"/>
  <c r="T29" i="1" s="1"/>
  <c r="U27" i="1"/>
  <c r="U29" i="1" s="1"/>
  <c r="F24" i="1"/>
  <c r="F26" i="1" s="1"/>
  <c r="G24" i="1"/>
  <c r="H24" i="1"/>
  <c r="H26" i="1" s="1"/>
  <c r="I24" i="1"/>
  <c r="I26" i="1" s="1"/>
  <c r="J24" i="1"/>
  <c r="J26" i="1" s="1"/>
  <c r="K24" i="1"/>
  <c r="K26" i="1" s="1"/>
  <c r="L24" i="1"/>
  <c r="L26" i="1" s="1"/>
  <c r="M24" i="1"/>
  <c r="M26" i="1" s="1"/>
  <c r="N24" i="1"/>
  <c r="N26" i="1" s="1"/>
  <c r="O24" i="1"/>
  <c r="P24" i="1"/>
  <c r="P26" i="1" s="1"/>
  <c r="Q24" i="1"/>
  <c r="R24" i="1"/>
  <c r="T24" i="1"/>
  <c r="T26" i="1" s="1"/>
  <c r="U24" i="1"/>
  <c r="U26" i="1" s="1"/>
  <c r="F21" i="1"/>
  <c r="F23" i="1" s="1"/>
  <c r="G21" i="1"/>
  <c r="H21" i="1"/>
  <c r="I21" i="1"/>
  <c r="J21" i="1"/>
  <c r="J23" i="1" s="1"/>
  <c r="K21" i="1"/>
  <c r="L21" i="1"/>
  <c r="L23" i="1" s="1"/>
  <c r="M21" i="1"/>
  <c r="N21" i="1"/>
  <c r="N23" i="1" s="1"/>
  <c r="O21" i="1"/>
  <c r="P21" i="1"/>
  <c r="Q21" i="1"/>
  <c r="R21" i="1"/>
  <c r="T21" i="1"/>
  <c r="T23" i="1" s="1"/>
  <c r="U21" i="1"/>
  <c r="U23" i="1" s="1"/>
  <c r="F18" i="1"/>
  <c r="F20" i="1" s="1"/>
  <c r="G18" i="1"/>
  <c r="G20" i="1" s="1"/>
  <c r="H18" i="1"/>
  <c r="H20" i="1" s="1"/>
  <c r="I18" i="1"/>
  <c r="J18" i="1"/>
  <c r="J20" i="1" s="1"/>
  <c r="K18" i="1"/>
  <c r="K20" i="1" s="1"/>
  <c r="L18" i="1"/>
  <c r="L20" i="1" s="1"/>
  <c r="M18" i="1"/>
  <c r="M20" i="1" s="1"/>
  <c r="N18" i="1"/>
  <c r="N20" i="1" s="1"/>
  <c r="O18" i="1"/>
  <c r="O20" i="1" s="1"/>
  <c r="P18" i="1"/>
  <c r="P20" i="1" s="1"/>
  <c r="Q18" i="1"/>
  <c r="R18" i="1"/>
  <c r="T18" i="1"/>
  <c r="T20" i="1" s="1"/>
  <c r="U18" i="1"/>
  <c r="U20" i="1" s="1"/>
  <c r="F15" i="1"/>
  <c r="F17" i="1" s="1"/>
  <c r="G15" i="1"/>
  <c r="H15" i="1"/>
  <c r="H17" i="1" s="1"/>
  <c r="I15" i="1"/>
  <c r="J15" i="1"/>
  <c r="K15" i="1"/>
  <c r="L15" i="1"/>
  <c r="L17" i="1" s="1"/>
  <c r="M15" i="1"/>
  <c r="N15" i="1"/>
  <c r="N17" i="1" s="1"/>
  <c r="O15" i="1"/>
  <c r="P15" i="1"/>
  <c r="P17" i="1" s="1"/>
  <c r="Q15" i="1"/>
  <c r="R15" i="1"/>
  <c r="T15" i="1"/>
  <c r="T17" i="1" s="1"/>
  <c r="U15" i="1"/>
  <c r="U17" i="1" s="1"/>
  <c r="F12" i="1"/>
  <c r="F14" i="1" s="1"/>
  <c r="G12" i="1"/>
  <c r="G14" i="1" s="1"/>
  <c r="H12" i="1"/>
  <c r="H14" i="1" s="1"/>
  <c r="I12" i="1"/>
  <c r="I14" i="1" s="1"/>
  <c r="J12" i="1"/>
  <c r="J14" i="1" s="1"/>
  <c r="K12" i="1"/>
  <c r="L12" i="1"/>
  <c r="L14" i="1" s="1"/>
  <c r="M12" i="1"/>
  <c r="M14" i="1" s="1"/>
  <c r="N12" i="1"/>
  <c r="N14" i="1" s="1"/>
  <c r="O12" i="1"/>
  <c r="O14" i="1" s="1"/>
  <c r="P12" i="1"/>
  <c r="P14" i="1" s="1"/>
  <c r="Q12" i="1"/>
  <c r="Q14" i="1" s="1"/>
  <c r="R12" i="1"/>
  <c r="R14" i="1" s="1"/>
  <c r="T12" i="1"/>
  <c r="U12" i="1"/>
  <c r="U14" i="1" s="1"/>
  <c r="F9" i="1"/>
  <c r="G9" i="1"/>
  <c r="G11" i="1" s="1"/>
  <c r="H9" i="1"/>
  <c r="H11" i="1" s="1"/>
  <c r="I9" i="1"/>
  <c r="I11" i="1" s="1"/>
  <c r="J9" i="1"/>
  <c r="J11" i="1" s="1"/>
  <c r="K9" i="1"/>
  <c r="K11" i="1" s="1"/>
  <c r="L9" i="1"/>
  <c r="M9" i="1"/>
  <c r="M11" i="1" s="1"/>
  <c r="N9" i="1"/>
  <c r="N11" i="1" s="1"/>
  <c r="O9" i="1"/>
  <c r="O11" i="1" s="1"/>
  <c r="P9" i="1"/>
  <c r="P11" i="1" s="1"/>
  <c r="Q9" i="1"/>
  <c r="R9" i="1"/>
  <c r="T9" i="1"/>
  <c r="T11" i="1" s="1"/>
  <c r="U9" i="1"/>
  <c r="R81" i="1"/>
  <c r="S12" i="1"/>
  <c r="Q81" i="1"/>
  <c r="N44" i="1" l="1"/>
  <c r="F44" i="1"/>
  <c r="U50" i="1"/>
  <c r="L50" i="1"/>
  <c r="T53" i="1"/>
  <c r="J56" i="1"/>
  <c r="P62" i="1"/>
  <c r="H62" i="1"/>
  <c r="N68" i="1"/>
  <c r="F68" i="1"/>
  <c r="U74" i="1"/>
  <c r="L74" i="1"/>
  <c r="T77" i="1"/>
  <c r="O128" i="1"/>
  <c r="G128" i="1"/>
  <c r="N131" i="1"/>
  <c r="F131" i="1"/>
  <c r="M134" i="1"/>
  <c r="L83" i="1"/>
  <c r="J86" i="1"/>
  <c r="P92" i="1"/>
  <c r="H92" i="1"/>
  <c r="N98" i="1"/>
  <c r="F98" i="1"/>
  <c r="U104" i="1"/>
  <c r="L104" i="1"/>
  <c r="T107" i="1"/>
  <c r="J110" i="1"/>
  <c r="P116" i="1"/>
  <c r="H116" i="1"/>
  <c r="N122" i="1"/>
  <c r="F122" i="1"/>
  <c r="U128" i="1"/>
  <c r="L128" i="1"/>
  <c r="T131" i="1"/>
  <c r="J44" i="1"/>
  <c r="P50" i="1"/>
  <c r="N56" i="1"/>
  <c r="F56" i="1"/>
  <c r="U62" i="1"/>
  <c r="L62" i="1"/>
  <c r="T65" i="1"/>
  <c r="J68" i="1"/>
  <c r="P74" i="1"/>
  <c r="H74" i="1"/>
  <c r="K128" i="1"/>
  <c r="J131" i="1"/>
  <c r="I134" i="1"/>
  <c r="K32" i="1"/>
  <c r="J35" i="1"/>
  <c r="I38" i="1"/>
  <c r="P41" i="1"/>
  <c r="H41" i="1"/>
  <c r="O44" i="1"/>
  <c r="G44" i="1"/>
  <c r="N47" i="1"/>
  <c r="F47" i="1"/>
  <c r="M50" i="1"/>
  <c r="U53" i="1"/>
  <c r="P83" i="1"/>
  <c r="H83" i="1"/>
  <c r="N86" i="1"/>
  <c r="F86" i="1"/>
  <c r="U92" i="1"/>
  <c r="L92" i="1"/>
  <c r="T95" i="1"/>
  <c r="J98" i="1"/>
  <c r="P104" i="1"/>
  <c r="H104" i="1"/>
  <c r="N110" i="1"/>
  <c r="F110" i="1"/>
  <c r="U116" i="1"/>
  <c r="L116" i="1"/>
  <c r="T119" i="1"/>
  <c r="J122" i="1"/>
  <c r="P128" i="1"/>
  <c r="H128" i="1"/>
  <c r="U11" i="1"/>
  <c r="T14" i="1"/>
  <c r="K14" i="1"/>
  <c r="J17" i="1"/>
  <c r="I20" i="1"/>
  <c r="P23" i="1"/>
  <c r="H23" i="1"/>
  <c r="O26" i="1"/>
  <c r="G26" i="1"/>
  <c r="N29" i="1"/>
  <c r="F29" i="1"/>
  <c r="M32" i="1"/>
  <c r="U35" i="1"/>
  <c r="T38" i="1"/>
  <c r="K38" i="1"/>
  <c r="J41" i="1"/>
  <c r="P86" i="1"/>
  <c r="H86" i="1"/>
  <c r="N92" i="1"/>
  <c r="F92" i="1"/>
  <c r="U98" i="1"/>
  <c r="T101" i="1"/>
  <c r="J104" i="1"/>
  <c r="P110" i="1"/>
  <c r="H110" i="1"/>
  <c r="N116" i="1"/>
  <c r="F116" i="1"/>
  <c r="U122" i="1"/>
  <c r="L122" i="1"/>
  <c r="T125" i="1"/>
  <c r="L11" i="1"/>
  <c r="P44" i="1"/>
  <c r="H44" i="1"/>
  <c r="N50" i="1"/>
  <c r="F50" i="1"/>
  <c r="I128" i="1"/>
  <c r="P131" i="1"/>
  <c r="H131" i="1"/>
  <c r="L53" i="1"/>
  <c r="T56" i="1"/>
  <c r="K56" i="1"/>
  <c r="J59" i="1"/>
  <c r="I62" i="1"/>
  <c r="P65" i="1"/>
  <c r="H65" i="1"/>
  <c r="O68" i="1"/>
  <c r="G68" i="1"/>
  <c r="N71" i="1"/>
  <c r="F71" i="1"/>
  <c r="M74" i="1"/>
  <c r="U77" i="1"/>
  <c r="N134" i="1"/>
  <c r="F134" i="1"/>
  <c r="P125" i="1"/>
  <c r="L98" i="1"/>
  <c r="H50" i="1"/>
  <c r="S149" i="15"/>
  <c r="S137" i="15"/>
  <c r="S149" i="11"/>
  <c r="S143" i="11"/>
  <c r="S134" i="11"/>
  <c r="S137" i="11"/>
  <c r="S140" i="11"/>
  <c r="S119" i="11"/>
  <c r="S131" i="11"/>
  <c r="S107" i="11"/>
  <c r="S125" i="11"/>
  <c r="S122" i="11"/>
  <c r="S128" i="11"/>
  <c r="S110" i="11"/>
  <c r="S113" i="11"/>
  <c r="S116" i="11"/>
  <c r="S98" i="11"/>
  <c r="S101" i="11"/>
  <c r="S95" i="11"/>
  <c r="S104" i="11"/>
  <c r="S71" i="11"/>
  <c r="S86" i="11"/>
  <c r="S89" i="11"/>
  <c r="S92" i="11"/>
  <c r="S74" i="11"/>
  <c r="S77" i="11"/>
  <c r="S80" i="11"/>
  <c r="S47" i="11"/>
  <c r="S62" i="11"/>
  <c r="S65" i="11"/>
  <c r="S59" i="11"/>
  <c r="S68" i="11"/>
  <c r="S50" i="11"/>
  <c r="S53" i="11"/>
  <c r="S56" i="11"/>
  <c r="S23" i="11"/>
  <c r="S38" i="11"/>
  <c r="S41" i="11"/>
  <c r="S35" i="11"/>
  <c r="S44" i="11"/>
  <c r="S26" i="11"/>
  <c r="S29" i="11"/>
  <c r="S32" i="11"/>
  <c r="S8" i="11"/>
  <c r="S17" i="11"/>
  <c r="S11" i="11"/>
  <c r="S20" i="11"/>
  <c r="S125" i="15"/>
  <c r="S101" i="15"/>
  <c r="S77" i="15"/>
  <c r="S53" i="15"/>
  <c r="S17" i="15"/>
  <c r="S146" i="15"/>
  <c r="S98" i="15"/>
  <c r="S50" i="15"/>
  <c r="S35" i="15"/>
  <c r="S26" i="15"/>
  <c r="S11" i="15"/>
  <c r="S107" i="15"/>
  <c r="S59" i="15"/>
  <c r="S29" i="15"/>
  <c r="S122" i="15"/>
  <c r="S74" i="15"/>
  <c r="S23" i="15"/>
  <c r="S134" i="15"/>
  <c r="S110" i="15"/>
  <c r="S86" i="15"/>
  <c r="S62" i="15"/>
  <c r="S44" i="15"/>
  <c r="S32" i="15"/>
  <c r="S113" i="15"/>
  <c r="S89" i="15"/>
  <c r="S65" i="15"/>
  <c r="S131" i="15"/>
  <c r="S83" i="15"/>
  <c r="S41" i="15"/>
  <c r="S140" i="15"/>
  <c r="S119" i="15"/>
  <c r="S92" i="15"/>
  <c r="S71" i="15"/>
  <c r="S143" i="15"/>
  <c r="S116" i="15"/>
  <c r="S95" i="15"/>
  <c r="S68" i="15"/>
  <c r="S128" i="15"/>
  <c r="S104" i="15"/>
  <c r="S80" i="15"/>
  <c r="S56" i="15"/>
  <c r="S38" i="15"/>
  <c r="S20" i="15"/>
  <c r="R76" i="1"/>
  <c r="R77" i="1" s="1"/>
  <c r="L35" i="1"/>
  <c r="S10" i="1"/>
  <c r="O17" i="1"/>
  <c r="M17" i="1"/>
  <c r="K17" i="1"/>
  <c r="I17" i="1"/>
  <c r="G17" i="1"/>
  <c r="O23" i="1"/>
  <c r="M23" i="1"/>
  <c r="K23" i="1"/>
  <c r="I23" i="1"/>
  <c r="G23" i="1"/>
  <c r="O29" i="1"/>
  <c r="M29" i="1"/>
  <c r="K29" i="1"/>
  <c r="I29" i="1"/>
  <c r="G29" i="1"/>
  <c r="O35" i="1"/>
  <c r="M35" i="1"/>
  <c r="K35" i="1"/>
  <c r="I35" i="1"/>
  <c r="G35" i="1"/>
  <c r="O41" i="1"/>
  <c r="M41" i="1"/>
  <c r="K41" i="1"/>
  <c r="I41" i="1"/>
  <c r="G41" i="1"/>
  <c r="O47" i="1"/>
  <c r="M47" i="1"/>
  <c r="K47" i="1"/>
  <c r="I47" i="1"/>
  <c r="G47" i="1"/>
  <c r="O53" i="1"/>
  <c r="M53" i="1"/>
  <c r="K53" i="1"/>
  <c r="I53" i="1"/>
  <c r="G53" i="1"/>
  <c r="O59" i="1"/>
  <c r="M59" i="1"/>
  <c r="K59" i="1"/>
  <c r="I59" i="1"/>
  <c r="G59" i="1"/>
  <c r="O65" i="1"/>
  <c r="M65" i="1"/>
  <c r="K65" i="1"/>
  <c r="I65" i="1"/>
  <c r="G65" i="1"/>
  <c r="O71" i="1"/>
  <c r="M71" i="1"/>
  <c r="K71" i="1"/>
  <c r="I71" i="1"/>
  <c r="G71" i="1"/>
  <c r="O77" i="1"/>
  <c r="M77" i="1"/>
  <c r="K77" i="1"/>
  <c r="I77" i="1"/>
  <c r="G77" i="1"/>
  <c r="O83" i="1"/>
  <c r="M83" i="1"/>
  <c r="K83" i="1"/>
  <c r="I83" i="1"/>
  <c r="G83" i="1"/>
  <c r="O89" i="1"/>
  <c r="M89" i="1"/>
  <c r="K89" i="1"/>
  <c r="I89" i="1"/>
  <c r="G89" i="1"/>
  <c r="O95" i="1"/>
  <c r="M95" i="1"/>
  <c r="K95" i="1"/>
  <c r="I95" i="1"/>
  <c r="G95" i="1"/>
  <c r="O101" i="1"/>
  <c r="M101" i="1"/>
  <c r="K101" i="1"/>
  <c r="I101" i="1"/>
  <c r="G101" i="1"/>
  <c r="O107" i="1"/>
  <c r="M107" i="1"/>
  <c r="K107" i="1"/>
  <c r="I107" i="1"/>
  <c r="G107" i="1"/>
  <c r="O113" i="1"/>
  <c r="M113" i="1"/>
  <c r="K113" i="1"/>
  <c r="I113" i="1"/>
  <c r="G113" i="1"/>
  <c r="O119" i="1"/>
  <c r="M119" i="1"/>
  <c r="K119" i="1"/>
  <c r="I119" i="1"/>
  <c r="G119" i="1"/>
  <c r="O125" i="1"/>
  <c r="M125" i="1"/>
  <c r="K125" i="1"/>
  <c r="I125" i="1"/>
  <c r="G125" i="1"/>
  <c r="O131" i="1"/>
  <c r="M131" i="1"/>
  <c r="K131" i="1"/>
  <c r="I131" i="1"/>
  <c r="G131" i="1"/>
  <c r="Q11" i="1"/>
  <c r="R17" i="1"/>
  <c r="Q20" i="1"/>
  <c r="R23" i="1"/>
  <c r="Q26" i="1"/>
  <c r="R29" i="1"/>
  <c r="Q32" i="1"/>
  <c r="R35" i="1"/>
  <c r="Q38" i="1"/>
  <c r="R41" i="1"/>
  <c r="Q44" i="1"/>
  <c r="R47" i="1"/>
  <c r="Q50" i="1"/>
  <c r="R53" i="1"/>
  <c r="Q56" i="1"/>
  <c r="R59" i="1"/>
  <c r="Q62" i="1"/>
  <c r="R65" i="1"/>
  <c r="Q68" i="1"/>
  <c r="R71" i="1"/>
  <c r="Q74" i="1"/>
  <c r="Q80" i="1"/>
  <c r="R83" i="1"/>
  <c r="Q86" i="1"/>
  <c r="R89" i="1"/>
  <c r="Q92" i="1"/>
  <c r="R95" i="1"/>
  <c r="Q98" i="1"/>
  <c r="R101" i="1"/>
  <c r="Q104" i="1"/>
  <c r="R107" i="1"/>
  <c r="Q110" i="1"/>
  <c r="R113" i="1"/>
  <c r="Q116" i="1"/>
  <c r="R119" i="1"/>
  <c r="Q122" i="1"/>
  <c r="R125" i="1"/>
  <c r="Q128" i="1"/>
  <c r="R131" i="1"/>
  <c r="Q134" i="1"/>
  <c r="R11" i="1"/>
  <c r="F11" i="1"/>
  <c r="Q17" i="1"/>
  <c r="R20" i="1"/>
  <c r="Q23" i="1"/>
  <c r="R26" i="1"/>
  <c r="Q29" i="1"/>
  <c r="R32" i="1"/>
  <c r="Q35" i="1"/>
  <c r="R38" i="1"/>
  <c r="Q41" i="1"/>
  <c r="R44" i="1"/>
  <c r="Q47" i="1"/>
  <c r="R50" i="1"/>
  <c r="Q53" i="1"/>
  <c r="R56" i="1"/>
  <c r="Q59" i="1"/>
  <c r="R62" i="1"/>
  <c r="Q65" i="1"/>
  <c r="R68" i="1"/>
  <c r="Q71" i="1"/>
  <c r="R74" i="1"/>
  <c r="Q77" i="1"/>
  <c r="R80" i="1"/>
  <c r="Q83" i="1"/>
  <c r="R86" i="1"/>
  <c r="Q89" i="1"/>
  <c r="R92" i="1"/>
  <c r="Q95" i="1"/>
  <c r="R98" i="1"/>
  <c r="Q101" i="1"/>
  <c r="R104" i="1"/>
  <c r="Q107" i="1"/>
  <c r="R110" i="1"/>
  <c r="Q113" i="1"/>
  <c r="R116" i="1"/>
  <c r="Q119" i="1"/>
  <c r="R122" i="1"/>
  <c r="Q125" i="1"/>
  <c r="R128" i="1"/>
  <c r="Q131" i="1"/>
  <c r="R134" i="1"/>
  <c r="S63" i="11"/>
  <c r="S141" i="11"/>
  <c r="S108" i="11"/>
  <c r="S66" i="11"/>
  <c r="S42" i="11"/>
  <c r="S18" i="11"/>
  <c r="S126" i="11"/>
  <c r="S147" i="11"/>
  <c r="S96" i="11"/>
  <c r="S144" i="11"/>
  <c r="S120" i="11"/>
  <c r="S39" i="11"/>
  <c r="S129" i="11"/>
  <c r="S81" i="11"/>
  <c r="S57" i="11"/>
  <c r="S33" i="11"/>
  <c r="S90" i="11"/>
  <c r="S138" i="11"/>
  <c r="S9" i="11"/>
  <c r="S75" i="11"/>
  <c r="S132" i="11"/>
  <c r="S84" i="11"/>
  <c r="S60" i="11"/>
  <c r="S36" i="11"/>
  <c r="S12" i="11"/>
  <c r="S93" i="11"/>
  <c r="S15" i="11"/>
  <c r="S123" i="11"/>
  <c r="S102" i="11"/>
  <c r="S117" i="11"/>
  <c r="S51" i="11"/>
  <c r="S105" i="11"/>
  <c r="S78" i="11"/>
  <c r="S54" i="11"/>
  <c r="S30" i="11"/>
  <c r="S150" i="11"/>
  <c r="S87" i="11"/>
  <c r="S72" i="11"/>
  <c r="S48" i="11"/>
  <c r="S24" i="11"/>
  <c r="S114" i="11"/>
  <c r="S135" i="11"/>
  <c r="S27" i="11"/>
  <c r="S99" i="11"/>
  <c r="S69" i="11"/>
  <c r="S45" i="11"/>
  <c r="S21" i="11"/>
  <c r="S133" i="11"/>
  <c r="S85" i="11"/>
  <c r="S37" i="11"/>
  <c r="S121" i="11"/>
  <c r="S73" i="11"/>
  <c r="S25" i="11"/>
  <c r="S109" i="11"/>
  <c r="S61" i="11"/>
  <c r="S13" i="11"/>
  <c r="S145" i="11"/>
  <c r="S97" i="11"/>
  <c r="S49" i="11"/>
  <c r="S139" i="11"/>
  <c r="S43" i="11"/>
  <c r="S83" i="11"/>
  <c r="S118" i="11"/>
  <c r="S70" i="11"/>
  <c r="S22" i="11"/>
  <c r="S127" i="11"/>
  <c r="S79" i="11"/>
  <c r="S31" i="11"/>
  <c r="S146" i="11"/>
  <c r="S106" i="11"/>
  <c r="S58" i="11"/>
  <c r="S10" i="11"/>
  <c r="S115" i="11"/>
  <c r="S67" i="11"/>
  <c r="S19" i="11"/>
  <c r="S142" i="11"/>
  <c r="S94" i="11"/>
  <c r="S46" i="11"/>
  <c r="S7" i="11"/>
  <c r="S91" i="11"/>
  <c r="S103" i="11"/>
  <c r="S55" i="11"/>
  <c r="S130" i="11"/>
  <c r="S82" i="11"/>
  <c r="S34" i="11"/>
  <c r="S127" i="1"/>
  <c r="S115" i="1"/>
  <c r="S103" i="1"/>
  <c r="S91" i="1"/>
  <c r="S79" i="1"/>
  <c r="S67" i="1"/>
  <c r="S55" i="1"/>
  <c r="S43" i="1"/>
  <c r="S31" i="1"/>
  <c r="S19" i="1"/>
  <c r="S124" i="1"/>
  <c r="S112" i="1"/>
  <c r="S100" i="1"/>
  <c r="S88" i="1"/>
  <c r="S76" i="1"/>
  <c r="S64" i="1"/>
  <c r="S52" i="1"/>
  <c r="S40" i="1"/>
  <c r="S28" i="1"/>
  <c r="S16" i="1"/>
  <c r="S133" i="1"/>
  <c r="S121" i="1"/>
  <c r="S109" i="1"/>
  <c r="S97" i="1"/>
  <c r="S85" i="1"/>
  <c r="S73" i="1"/>
  <c r="S61" i="1"/>
  <c r="S49" i="1"/>
  <c r="S37" i="1"/>
  <c r="S25" i="1"/>
  <c r="S13" i="1"/>
  <c r="S14" i="1" s="1"/>
  <c r="S130" i="1"/>
  <c r="S118" i="1"/>
  <c r="S106" i="1"/>
  <c r="S94" i="1"/>
  <c r="S82" i="1"/>
  <c r="S70" i="1"/>
  <c r="S58" i="1"/>
  <c r="S46" i="1"/>
  <c r="S34" i="1"/>
  <c r="S22" i="1"/>
  <c r="S111" i="1"/>
  <c r="S87" i="1"/>
  <c r="S63" i="1"/>
  <c r="S39" i="1"/>
  <c r="S15" i="1"/>
  <c r="S129" i="1"/>
  <c r="S105" i="1"/>
  <c r="S81" i="1"/>
  <c r="S57" i="1"/>
  <c r="S33" i="1"/>
  <c r="S9" i="1"/>
  <c r="S123" i="1"/>
  <c r="S99" i="1"/>
  <c r="S75" i="1"/>
  <c r="S51" i="1"/>
  <c r="S27" i="1"/>
  <c r="S117" i="1"/>
  <c r="S93" i="1"/>
  <c r="S69" i="1"/>
  <c r="S45" i="1"/>
  <c r="S21" i="1"/>
  <c r="S126" i="1"/>
  <c r="S114" i="1"/>
  <c r="S102" i="1"/>
  <c r="S90" i="1"/>
  <c r="S78" i="1"/>
  <c r="S66" i="1"/>
  <c r="S54" i="1"/>
  <c r="S42" i="1"/>
  <c r="S30" i="1"/>
  <c r="S18" i="1"/>
  <c r="S132" i="1"/>
  <c r="S120" i="1"/>
  <c r="S108" i="1"/>
  <c r="S96" i="1"/>
  <c r="S84" i="1"/>
  <c r="S72" i="1"/>
  <c r="S60" i="1"/>
  <c r="S48" i="1"/>
  <c r="S36" i="1"/>
  <c r="S24" i="1"/>
  <c r="S131" i="1" l="1"/>
  <c r="S161" i="1"/>
  <c r="S152" i="15"/>
  <c r="S152" i="11"/>
  <c r="S152" i="1"/>
  <c r="S155" i="1"/>
  <c r="S140" i="1"/>
  <c r="S143" i="1"/>
  <c r="S128" i="1"/>
  <c r="S158" i="1"/>
  <c r="S146" i="1"/>
  <c r="S149" i="1"/>
  <c r="S134" i="1"/>
  <c r="S137" i="1"/>
  <c r="S122" i="1"/>
  <c r="S125" i="1"/>
  <c r="S29" i="1" l="1"/>
  <c r="S41" i="1"/>
  <c r="S44" i="1"/>
  <c r="S65" i="1"/>
  <c r="S77" i="1"/>
  <c r="S89" i="1"/>
  <c r="S101" i="1"/>
  <c r="S113" i="1"/>
  <c r="S17" i="1"/>
  <c r="S20" i="1"/>
  <c r="S32" i="1"/>
  <c r="S53" i="1"/>
  <c r="S56" i="1"/>
  <c r="S68" i="1"/>
  <c r="S80" i="1"/>
  <c r="S92" i="1"/>
  <c r="S104" i="1"/>
  <c r="S116" i="1"/>
  <c r="S26" i="1"/>
  <c r="S38" i="1"/>
  <c r="S50" i="1"/>
  <c r="S62" i="1"/>
  <c r="S74" i="1"/>
  <c r="S86" i="1"/>
  <c r="S98" i="1"/>
  <c r="S110" i="1"/>
  <c r="S11" i="1"/>
  <c r="S23" i="1"/>
  <c r="S35" i="1"/>
  <c r="S47" i="1"/>
  <c r="S59" i="1"/>
  <c r="S71" i="1"/>
  <c r="S83" i="1"/>
  <c r="S95" i="1"/>
  <c r="S107" i="1"/>
  <c r="S119" i="1"/>
  <c r="S9" i="15"/>
</calcChain>
</file>

<file path=xl/sharedStrings.xml><?xml version="1.0" encoding="utf-8"?>
<sst xmlns="http://schemas.openxmlformats.org/spreadsheetml/2006/main" count="4192" uniqueCount="77">
  <si>
    <r>
      <t>N</t>
    </r>
    <r>
      <rPr>
        <u/>
        <sz val="11"/>
        <color theme="1"/>
        <rFont val="Calibri"/>
        <family val="2"/>
        <scheme val="minor"/>
      </rPr>
      <t>o</t>
    </r>
  </si>
  <si>
    <t>Student Name</t>
  </si>
  <si>
    <t>Age</t>
  </si>
  <si>
    <t>Sex</t>
  </si>
  <si>
    <t>Amharic</t>
  </si>
  <si>
    <t>English</t>
  </si>
  <si>
    <t>Maths</t>
  </si>
  <si>
    <t>physics</t>
  </si>
  <si>
    <t>chemistry</t>
  </si>
  <si>
    <t>Biology</t>
  </si>
  <si>
    <t>Geography</t>
  </si>
  <si>
    <t>History</t>
  </si>
  <si>
    <t>Civics</t>
  </si>
  <si>
    <t>ICT</t>
  </si>
  <si>
    <t>H.P.E</t>
  </si>
  <si>
    <t>Total</t>
  </si>
  <si>
    <t>Average</t>
  </si>
  <si>
    <t>Rank</t>
  </si>
  <si>
    <t>Condc.</t>
  </si>
  <si>
    <t>Abse.</t>
  </si>
  <si>
    <t>M</t>
  </si>
  <si>
    <t>Semister 1</t>
  </si>
  <si>
    <t>Semister 2</t>
  </si>
  <si>
    <t>F</t>
  </si>
  <si>
    <r>
      <t>N</t>
    </r>
    <r>
      <rPr>
        <b/>
        <u/>
        <sz val="12"/>
        <color theme="1"/>
        <rFont val="Calibri"/>
        <family val="2"/>
        <scheme val="minor"/>
      </rPr>
      <t>o</t>
    </r>
  </si>
  <si>
    <t>Semester</t>
  </si>
  <si>
    <t>Semster 1 Average</t>
  </si>
  <si>
    <t>Semster 2 Average</t>
  </si>
  <si>
    <r>
      <t>N</t>
    </r>
    <r>
      <rPr>
        <b/>
        <u/>
        <sz val="11"/>
        <color theme="1"/>
        <rFont val="Calibri"/>
        <family val="2"/>
        <scheme val="minor"/>
      </rPr>
      <t>o</t>
    </r>
  </si>
  <si>
    <t xml:space="preserve">Economics </t>
  </si>
  <si>
    <t>G.Business</t>
  </si>
  <si>
    <t>TD</t>
  </si>
  <si>
    <t>f</t>
  </si>
  <si>
    <t xml:space="preserve">Maria Rubbato Catholic School 2015 E.C Roster Grade 9A Student's </t>
  </si>
  <si>
    <r>
      <t xml:space="preserve">         Home Room Teacher </t>
    </r>
    <r>
      <rPr>
        <u/>
        <sz val="11"/>
        <color theme="1"/>
        <rFont val="Bookman Old Style"/>
        <family val="1"/>
      </rPr>
      <t xml:space="preserve">      </t>
    </r>
    <r>
      <rPr>
        <u/>
        <sz val="11"/>
        <color theme="1"/>
        <rFont val="Bookman Old Style"/>
        <family val="1"/>
      </rPr>
      <t xml:space="preserve">                        </t>
    </r>
    <r>
      <rPr>
        <sz val="11"/>
        <color theme="1"/>
        <rFont val="Bookman Old Style"/>
        <family val="1"/>
      </rPr>
      <t xml:space="preserve">                          Grade </t>
    </r>
    <r>
      <rPr>
        <u/>
        <sz val="11"/>
        <color theme="1"/>
        <rFont val="Bookman Old Style"/>
        <family val="1"/>
      </rPr>
      <t xml:space="preserve">    9A      </t>
    </r>
    <r>
      <rPr>
        <sz val="11"/>
        <color theme="1"/>
        <rFont val="Bookman Old Style"/>
        <family val="1"/>
      </rPr>
      <t xml:space="preserve"> </t>
    </r>
  </si>
  <si>
    <r>
      <t xml:space="preserve">         Home Room Teacher </t>
    </r>
    <r>
      <rPr>
        <u/>
        <sz val="11"/>
        <color theme="1"/>
        <rFont val="Bookman Old Style"/>
        <family val="1"/>
      </rPr>
      <t xml:space="preserve">      </t>
    </r>
    <r>
      <rPr>
        <u/>
        <sz val="11"/>
        <color theme="1"/>
        <rFont val="Lucida Calligraphy"/>
        <family val="4"/>
      </rPr>
      <t xml:space="preserve">                                                Grade     9A   </t>
    </r>
    <r>
      <rPr>
        <u/>
        <sz val="11"/>
        <color theme="1"/>
        <rFont val="Bookman Old Style"/>
        <family val="1"/>
      </rPr>
      <t xml:space="preserve">  </t>
    </r>
    <r>
      <rPr>
        <sz val="11"/>
        <color theme="1"/>
        <rFont val="Bookman Old Style"/>
        <family val="1"/>
      </rPr>
      <t xml:space="preserve"> </t>
    </r>
  </si>
  <si>
    <r>
      <t xml:space="preserve">         Home Room Teacher </t>
    </r>
    <r>
      <rPr>
        <u/>
        <sz val="11"/>
        <color theme="1"/>
        <rFont val="Bookman Old Style"/>
        <family val="1"/>
      </rPr>
      <t xml:space="preserve">      </t>
    </r>
    <r>
      <rPr>
        <u/>
        <sz val="11"/>
        <color theme="1"/>
        <rFont val="Lucida Calligraphy"/>
        <family val="4"/>
      </rPr>
      <t xml:space="preserve">                                                 Grade     9A   </t>
    </r>
    <r>
      <rPr>
        <u/>
        <sz val="11"/>
        <color theme="1"/>
        <rFont val="Bookman Old Style"/>
        <family val="1"/>
      </rPr>
      <t xml:space="preserve">     </t>
    </r>
    <r>
      <rPr>
        <sz val="11"/>
        <color theme="1"/>
        <rFont val="Bookman Old Style"/>
        <family val="1"/>
      </rPr>
      <t xml:space="preserve"> </t>
    </r>
  </si>
  <si>
    <t xml:space="preserve">Home Room Teacher                                                         Grade     9A         </t>
  </si>
  <si>
    <t xml:space="preserve">Maria Rubbato Catholic School 2015E.C Roster Grade 9A Student's </t>
  </si>
  <si>
    <r>
      <t xml:space="preserve">         Home Room Teacher </t>
    </r>
    <r>
      <rPr>
        <u/>
        <sz val="11"/>
        <color theme="1"/>
        <rFont val="Bookman Old Style"/>
        <family val="1"/>
      </rPr>
      <t xml:space="preserve">      </t>
    </r>
    <r>
      <rPr>
        <u/>
        <sz val="11"/>
        <color theme="1"/>
        <rFont val="Bookman Old Style"/>
        <family val="1"/>
      </rPr>
      <t xml:space="preserve">                      </t>
    </r>
    <r>
      <rPr>
        <sz val="11"/>
        <color theme="1"/>
        <rFont val="Bookman Old Style"/>
        <family val="1"/>
      </rPr>
      <t xml:space="preserve">                          Grade </t>
    </r>
    <r>
      <rPr>
        <u/>
        <sz val="11"/>
        <color theme="1"/>
        <rFont val="Bookman Old Style"/>
        <family val="1"/>
      </rPr>
      <t xml:space="preserve">    9B      </t>
    </r>
    <r>
      <rPr>
        <sz val="11"/>
        <color theme="1"/>
        <rFont val="Bookman Old Style"/>
        <family val="1"/>
      </rPr>
      <t xml:space="preserve"> </t>
    </r>
  </si>
  <si>
    <t xml:space="preserve">Maria Rubbato Catholic School 2015 E.C Roster Grade 9B Student's </t>
  </si>
  <si>
    <r>
      <t xml:space="preserve">         Home Room Teacher </t>
    </r>
    <r>
      <rPr>
        <u/>
        <sz val="11"/>
        <color theme="1"/>
        <rFont val="Bookman Old Style"/>
        <family val="1"/>
      </rPr>
      <t xml:space="preserve">      </t>
    </r>
    <r>
      <rPr>
        <u/>
        <sz val="11"/>
        <color theme="1"/>
        <rFont val="Lucida Calligraphy"/>
        <family val="4"/>
      </rPr>
      <t xml:space="preserve"> </t>
    </r>
    <r>
      <rPr>
        <u/>
        <sz val="11"/>
        <color theme="1"/>
        <rFont val="Bookman Old Style"/>
        <family val="1"/>
      </rPr>
      <t xml:space="preserve">                     </t>
    </r>
    <r>
      <rPr>
        <sz val="11"/>
        <color theme="1"/>
        <rFont val="Bookman Old Style"/>
        <family val="1"/>
      </rPr>
      <t xml:space="preserve">                          Grade </t>
    </r>
    <r>
      <rPr>
        <u/>
        <sz val="11"/>
        <color theme="1"/>
        <rFont val="Bookman Old Style"/>
        <family val="1"/>
      </rPr>
      <t xml:space="preserve">    9B      </t>
    </r>
    <r>
      <rPr>
        <sz val="11"/>
        <color theme="1"/>
        <rFont val="Bookman Old Style"/>
        <family val="1"/>
      </rPr>
      <t xml:space="preserve"> </t>
    </r>
  </si>
  <si>
    <t xml:space="preserve">Home Room Teacher                                                       Grade     9B      </t>
  </si>
  <si>
    <r>
      <t xml:space="preserve">         Home Room Teacher </t>
    </r>
    <r>
      <rPr>
        <u/>
        <sz val="11"/>
        <color theme="1"/>
        <rFont val="Bookman Old Style"/>
        <family val="1"/>
      </rPr>
      <t xml:space="preserve">      </t>
    </r>
    <r>
      <rPr>
        <u/>
        <sz val="11"/>
        <color theme="1"/>
        <rFont val="Bookman Old Style"/>
        <family val="1"/>
      </rPr>
      <t xml:space="preserve">                      </t>
    </r>
    <r>
      <rPr>
        <sz val="11"/>
        <color theme="1"/>
        <rFont val="Bookman Old Style"/>
        <family val="1"/>
      </rPr>
      <t xml:space="preserve">                          Grade </t>
    </r>
    <r>
      <rPr>
        <u/>
        <sz val="11"/>
        <color theme="1"/>
        <rFont val="Bookman Old Style"/>
        <family val="1"/>
      </rPr>
      <t xml:space="preserve">    10A     </t>
    </r>
    <r>
      <rPr>
        <sz val="11"/>
        <color theme="1"/>
        <rFont val="Bookman Old Style"/>
        <family val="1"/>
      </rPr>
      <t xml:space="preserve"> </t>
    </r>
  </si>
  <si>
    <t xml:space="preserve">Maria Rubbato Catholic School 2015 E.C Roster Grade 10A Student's </t>
  </si>
  <si>
    <r>
      <t xml:space="preserve">         Home Room Teacher </t>
    </r>
    <r>
      <rPr>
        <u/>
        <sz val="11"/>
        <color theme="1"/>
        <rFont val="Bookman Old Style"/>
        <family val="1"/>
      </rPr>
      <t xml:space="preserve">      </t>
    </r>
    <r>
      <rPr>
        <u/>
        <sz val="11"/>
        <color theme="1"/>
        <rFont val="Lucida Calligraphy"/>
        <family val="4"/>
      </rPr>
      <t xml:space="preserve"> </t>
    </r>
    <r>
      <rPr>
        <u/>
        <sz val="11"/>
        <color theme="1"/>
        <rFont val="Bookman Old Style"/>
        <family val="1"/>
      </rPr>
      <t xml:space="preserve">                    </t>
    </r>
    <r>
      <rPr>
        <sz val="11"/>
        <color theme="1"/>
        <rFont val="Bookman Old Style"/>
        <family val="1"/>
      </rPr>
      <t xml:space="preserve">                          Grade </t>
    </r>
    <r>
      <rPr>
        <u/>
        <sz val="11"/>
        <color theme="1"/>
        <rFont val="Bookman Old Style"/>
        <family val="1"/>
      </rPr>
      <t xml:space="preserve">   10A      </t>
    </r>
    <r>
      <rPr>
        <sz val="11"/>
        <color theme="1"/>
        <rFont val="Bookman Old Style"/>
        <family val="1"/>
      </rPr>
      <t xml:space="preserve"> </t>
    </r>
  </si>
  <si>
    <r>
      <t xml:space="preserve">         Home Room Teacher </t>
    </r>
    <r>
      <rPr>
        <u/>
        <sz val="11"/>
        <color theme="1"/>
        <rFont val="Bookman Old Style"/>
        <family val="1"/>
      </rPr>
      <t xml:space="preserve">      </t>
    </r>
    <r>
      <rPr>
        <u/>
        <sz val="11"/>
        <color theme="1"/>
        <rFont val="Lucida Calligraphy"/>
        <family val="4"/>
      </rPr>
      <t xml:space="preserve"> </t>
    </r>
    <r>
      <rPr>
        <u/>
        <sz val="11"/>
        <color theme="1"/>
        <rFont val="Bookman Old Style"/>
        <family val="1"/>
      </rPr>
      <t xml:space="preserve">                      </t>
    </r>
    <r>
      <rPr>
        <sz val="11"/>
        <color theme="1"/>
        <rFont val="Bookman Old Style"/>
        <family val="1"/>
      </rPr>
      <t xml:space="preserve">                          Grade </t>
    </r>
    <r>
      <rPr>
        <u/>
        <sz val="11"/>
        <color theme="1"/>
        <rFont val="Bookman Old Style"/>
        <family val="1"/>
      </rPr>
      <t xml:space="preserve">    10A      </t>
    </r>
    <r>
      <rPr>
        <sz val="11"/>
        <color theme="1"/>
        <rFont val="Bookman Old Style"/>
        <family val="1"/>
      </rPr>
      <t xml:space="preserve"> </t>
    </r>
  </si>
  <si>
    <t xml:space="preserve">Home Room Teacher                                                      Grade    10A    </t>
  </si>
  <si>
    <t xml:space="preserve">Maria Rubbato Catholic School 2015 E.C Roster Grade 10B Student's </t>
  </si>
  <si>
    <r>
      <t xml:space="preserve">         Home Room Teacher </t>
    </r>
    <r>
      <rPr>
        <u/>
        <sz val="11"/>
        <color theme="1"/>
        <rFont val="Bookman Old Style"/>
        <family val="1"/>
      </rPr>
      <t xml:space="preserve">      </t>
    </r>
    <r>
      <rPr>
        <u/>
        <sz val="11"/>
        <color theme="1"/>
        <rFont val="Lucida Calligraphy"/>
        <family val="4"/>
      </rPr>
      <t xml:space="preserve"> </t>
    </r>
    <r>
      <rPr>
        <u/>
        <sz val="11"/>
        <color theme="1"/>
        <rFont val="Bookman Old Style"/>
        <family val="1"/>
      </rPr>
      <t xml:space="preserve">                        </t>
    </r>
    <r>
      <rPr>
        <sz val="11"/>
        <color theme="1"/>
        <rFont val="Bookman Old Style"/>
        <family val="1"/>
      </rPr>
      <t xml:space="preserve">                          Grade </t>
    </r>
    <r>
      <rPr>
        <u/>
        <sz val="11"/>
        <color theme="1"/>
        <rFont val="Bookman Old Style"/>
        <family val="1"/>
      </rPr>
      <t xml:space="preserve">    10B      </t>
    </r>
    <r>
      <rPr>
        <sz val="11"/>
        <color theme="1"/>
        <rFont val="Bookman Old Style"/>
        <family val="1"/>
      </rPr>
      <t xml:space="preserve"> </t>
    </r>
  </si>
  <si>
    <r>
      <t xml:space="preserve">         Home Room Teacher </t>
    </r>
    <r>
      <rPr>
        <u/>
        <sz val="11"/>
        <color theme="1"/>
        <rFont val="Bookman Old Style"/>
        <family val="1"/>
      </rPr>
      <t xml:space="preserve">      </t>
    </r>
    <r>
      <rPr>
        <u/>
        <sz val="11"/>
        <color theme="1"/>
        <rFont val="Lucida Calligraphy"/>
        <family val="4"/>
      </rPr>
      <t xml:space="preserve">  </t>
    </r>
    <r>
      <rPr>
        <u/>
        <sz val="11"/>
        <color theme="1"/>
        <rFont val="Bookman Old Style"/>
        <family val="1"/>
      </rPr>
      <t xml:space="preserve">                        </t>
    </r>
    <r>
      <rPr>
        <sz val="11"/>
        <color theme="1"/>
        <rFont val="Bookman Old Style"/>
        <family val="1"/>
      </rPr>
      <t xml:space="preserve">                          Grade </t>
    </r>
    <r>
      <rPr>
        <u/>
        <sz val="11"/>
        <color theme="1"/>
        <rFont val="Bookman Old Style"/>
        <family val="1"/>
      </rPr>
      <t xml:space="preserve">   10B      </t>
    </r>
    <r>
      <rPr>
        <sz val="11"/>
        <color theme="1"/>
        <rFont val="Bookman Old Style"/>
        <family val="1"/>
      </rPr>
      <t xml:space="preserve"> </t>
    </r>
  </si>
  <si>
    <r>
      <t xml:space="preserve">         Home Room Teacher </t>
    </r>
    <r>
      <rPr>
        <u/>
        <sz val="11"/>
        <color theme="1"/>
        <rFont val="Bookman Old Style"/>
        <family val="1"/>
      </rPr>
      <t xml:space="preserve">      </t>
    </r>
    <r>
      <rPr>
        <u/>
        <sz val="11"/>
        <color theme="1"/>
        <rFont val="Lucida Calligraphy"/>
        <family val="4"/>
      </rPr>
      <t xml:space="preserve">  </t>
    </r>
    <r>
      <rPr>
        <u/>
        <sz val="11"/>
        <color theme="1"/>
        <rFont val="Bookman Old Style"/>
        <family val="1"/>
      </rPr>
      <t xml:space="preserve">                        </t>
    </r>
    <r>
      <rPr>
        <sz val="11"/>
        <color theme="1"/>
        <rFont val="Bookman Old Style"/>
        <family val="1"/>
      </rPr>
      <t xml:space="preserve">                          Grade </t>
    </r>
    <r>
      <rPr>
        <u/>
        <sz val="11"/>
        <color theme="1"/>
        <rFont val="Bookman Old Style"/>
        <family val="1"/>
      </rPr>
      <t xml:space="preserve">    10B      </t>
    </r>
    <r>
      <rPr>
        <sz val="11"/>
        <color theme="1"/>
        <rFont val="Bookman Old Style"/>
        <family val="1"/>
      </rPr>
      <t xml:space="preserve"> </t>
    </r>
  </si>
  <si>
    <t xml:space="preserve">Maria Rubbato Catholic School 2015 E.C  Roster Grade 11A (Natural Science) Student's </t>
  </si>
  <si>
    <r>
      <t xml:space="preserve">      Home Room Teacher </t>
    </r>
    <r>
      <rPr>
        <u/>
        <sz val="12"/>
        <color theme="1"/>
        <rFont val="Bookman Old Style"/>
        <family val="1"/>
      </rPr>
      <t xml:space="preserve">       </t>
    </r>
    <r>
      <rPr>
        <u/>
        <sz val="12"/>
        <color theme="1"/>
        <rFont val="Lucida Calligraphy"/>
        <family val="4"/>
      </rPr>
      <t xml:space="preserve">                      Grade    11A(Natural Science)    </t>
    </r>
  </si>
  <si>
    <r>
      <t xml:space="preserve">      Home Room Teacher </t>
    </r>
    <r>
      <rPr>
        <u/>
        <sz val="12"/>
        <color theme="1"/>
        <rFont val="Bookman Old Style"/>
        <family val="1"/>
      </rPr>
      <t xml:space="preserve">       </t>
    </r>
    <r>
      <rPr>
        <u/>
        <sz val="12"/>
        <color theme="1"/>
        <rFont val="Lucida Calligraphy"/>
        <family val="4"/>
      </rPr>
      <t xml:space="preserve">                     Grade    11A (Natural Science)    </t>
    </r>
    <r>
      <rPr>
        <u/>
        <sz val="12"/>
        <color theme="1"/>
        <rFont val="Bookman Old Style"/>
        <family val="1"/>
      </rPr>
      <t xml:space="preserve">           </t>
    </r>
  </si>
  <si>
    <r>
      <t xml:space="preserve">      Home Room Teacher </t>
    </r>
    <r>
      <rPr>
        <u/>
        <sz val="12"/>
        <color theme="1"/>
        <rFont val="Bookman Old Style"/>
        <family val="1"/>
      </rPr>
      <t xml:space="preserve">       </t>
    </r>
    <r>
      <rPr>
        <u/>
        <sz val="12"/>
        <color theme="1"/>
        <rFont val="Lucida Calligraphy"/>
        <family val="4"/>
      </rPr>
      <t xml:space="preserve">                      Grade    11A (Natural Science)    </t>
    </r>
    <r>
      <rPr>
        <u/>
        <sz val="12"/>
        <color theme="1"/>
        <rFont val="Bookman Old Style"/>
        <family val="1"/>
      </rPr>
      <t xml:space="preserve">                </t>
    </r>
  </si>
  <si>
    <r>
      <t xml:space="preserve">      Home Room Teacher </t>
    </r>
    <r>
      <rPr>
        <u/>
        <sz val="12"/>
        <color theme="1"/>
        <rFont val="Bookman Old Style"/>
        <family val="1"/>
      </rPr>
      <t xml:space="preserve">       </t>
    </r>
    <r>
      <rPr>
        <u/>
        <sz val="12"/>
        <color theme="1"/>
        <rFont val="Lucida Calligraphy"/>
        <family val="4"/>
      </rPr>
      <t xml:space="preserve">                      Grade    11A(Natural Science)    </t>
    </r>
    <r>
      <rPr>
        <u/>
        <sz val="12"/>
        <color theme="1"/>
        <rFont val="Bookman Old Style"/>
        <family val="1"/>
      </rPr>
      <t xml:space="preserve">                </t>
    </r>
  </si>
  <si>
    <t xml:space="preserve">Maria Rubbato Catholic School 2015 E.C  Roster Grade 11B (Natural Science) Student's </t>
  </si>
  <si>
    <r>
      <t xml:space="preserve">      Home Room Teacher </t>
    </r>
    <r>
      <rPr>
        <u/>
        <sz val="12"/>
        <color theme="1"/>
        <rFont val="Bookman Old Style"/>
        <family val="1"/>
      </rPr>
      <t xml:space="preserve">       </t>
    </r>
    <r>
      <rPr>
        <u/>
        <sz val="12"/>
        <color theme="1"/>
        <rFont val="Lucida Calligraphy"/>
        <family val="4"/>
      </rPr>
      <t xml:space="preserve">                      Grade    11B (Natural Science)    </t>
    </r>
    <r>
      <rPr>
        <u/>
        <sz val="12"/>
        <color theme="1"/>
        <rFont val="Bookman Old Style"/>
        <family val="1"/>
      </rPr>
      <t xml:space="preserve">                </t>
    </r>
  </si>
  <si>
    <r>
      <t xml:space="preserve">      Home Room Teacher </t>
    </r>
    <r>
      <rPr>
        <u/>
        <sz val="12"/>
        <color theme="1"/>
        <rFont val="Bookman Old Style"/>
        <family val="1"/>
      </rPr>
      <t xml:space="preserve">       </t>
    </r>
    <r>
      <rPr>
        <u/>
        <sz val="12"/>
        <color theme="1"/>
        <rFont val="Lucida Calligraphy"/>
        <family val="4"/>
      </rPr>
      <t xml:space="preserve">                      Grade    11B(Natural Science)    </t>
    </r>
    <r>
      <rPr>
        <u/>
        <sz val="12"/>
        <color theme="1"/>
        <rFont val="Bookman Old Style"/>
        <family val="1"/>
      </rPr>
      <t xml:space="preserve">                </t>
    </r>
  </si>
  <si>
    <t xml:space="preserve">Maria Rubbato Catholic School 2015 E.C Roster Grade 11C Student's </t>
  </si>
  <si>
    <r>
      <t xml:space="preserve">         Home Room Teacher </t>
    </r>
    <r>
      <rPr>
        <u/>
        <sz val="11"/>
        <color theme="1"/>
        <rFont val="Bookman Old Style"/>
        <family val="1"/>
      </rPr>
      <t xml:space="preserve">                                                     Grade     11C   </t>
    </r>
  </si>
  <si>
    <r>
      <t xml:space="preserve">         Home Room Teacher </t>
    </r>
    <r>
      <rPr>
        <u/>
        <sz val="11"/>
        <color theme="1"/>
        <rFont val="Bookman Old Style"/>
        <family val="1"/>
      </rPr>
      <t xml:space="preserve">      </t>
    </r>
    <r>
      <rPr>
        <u/>
        <sz val="11"/>
        <color theme="1"/>
        <rFont val="Bookman Old Style"/>
        <family val="1"/>
      </rPr>
      <t xml:space="preserve">                       </t>
    </r>
    <r>
      <rPr>
        <sz val="11"/>
        <color theme="1"/>
        <rFont val="Bookman Old Style"/>
        <family val="1"/>
      </rPr>
      <t xml:space="preserve">                          Grade </t>
    </r>
    <r>
      <rPr>
        <u/>
        <sz val="11"/>
        <color theme="1"/>
        <rFont val="Bookman Old Style"/>
        <family val="1"/>
      </rPr>
      <t xml:space="preserve">    11C      </t>
    </r>
    <r>
      <rPr>
        <sz val="11"/>
        <color theme="1"/>
        <rFont val="Bookman Old Style"/>
        <family val="1"/>
      </rPr>
      <t xml:space="preserve"> </t>
    </r>
  </si>
  <si>
    <r>
      <t xml:space="preserve">         Home Room Teacher </t>
    </r>
    <r>
      <rPr>
        <u/>
        <sz val="11"/>
        <color theme="1"/>
        <rFont val="Bookman Old Style"/>
        <family val="1"/>
      </rPr>
      <t xml:space="preserve">                                                      Grade     11C   (S.S)</t>
    </r>
    <r>
      <rPr>
        <sz val="11"/>
        <color theme="1"/>
        <rFont val="Bookman Old Style"/>
        <family val="1"/>
      </rPr>
      <t xml:space="preserve"> </t>
    </r>
  </si>
  <si>
    <t xml:space="preserve"> Home Room Teacher                              Grade     11C   (S.S) </t>
  </si>
  <si>
    <r>
      <t xml:space="preserve">         Home Room Teacher </t>
    </r>
    <r>
      <rPr>
        <u/>
        <sz val="11"/>
        <color theme="1"/>
        <rFont val="Bookman Old Style"/>
        <family val="1"/>
      </rPr>
      <t xml:space="preserve">      </t>
    </r>
    <r>
      <rPr>
        <u/>
        <sz val="11"/>
        <color theme="1"/>
        <rFont val="Bookman Old Style"/>
        <family val="1"/>
      </rPr>
      <t xml:space="preserve">                        </t>
    </r>
    <r>
      <rPr>
        <sz val="11"/>
        <color theme="1"/>
        <rFont val="Bookman Old Style"/>
        <family val="1"/>
      </rPr>
      <t xml:space="preserve">                          Grade </t>
    </r>
    <r>
      <rPr>
        <u/>
        <sz val="11"/>
        <color theme="1"/>
        <rFont val="Bookman Old Style"/>
        <family val="1"/>
      </rPr>
      <t xml:space="preserve">    12A      </t>
    </r>
    <r>
      <rPr>
        <sz val="11"/>
        <color theme="1"/>
        <rFont val="Bookman Old Style"/>
        <family val="1"/>
      </rPr>
      <t xml:space="preserve"> </t>
    </r>
  </si>
  <si>
    <t xml:space="preserve">Maria Rubbato Catholic School 2015 E.C Roster Grade 12A Student's </t>
  </si>
  <si>
    <r>
      <t xml:space="preserve">         Home Room Teacher </t>
    </r>
    <r>
      <rPr>
        <u/>
        <sz val="11"/>
        <color theme="1"/>
        <rFont val="Bookman Old Style"/>
        <family val="1"/>
      </rPr>
      <t xml:space="preserve">                           </t>
    </r>
    <r>
      <rPr>
        <sz val="11"/>
        <color theme="1"/>
        <rFont val="Bookman Old Style"/>
        <family val="1"/>
      </rPr>
      <t xml:space="preserve">                          Grade </t>
    </r>
    <r>
      <rPr>
        <u/>
        <sz val="11"/>
        <color theme="1"/>
        <rFont val="Bookman Old Style"/>
        <family val="1"/>
      </rPr>
      <t xml:space="preserve">    12A      </t>
    </r>
    <r>
      <rPr>
        <sz val="11"/>
        <color theme="1"/>
        <rFont val="Bookman Old Style"/>
        <family val="1"/>
      </rPr>
      <t xml:space="preserve"> </t>
    </r>
  </si>
  <si>
    <t xml:space="preserve">Home Room Teacher                                             Grade     12A </t>
  </si>
  <si>
    <t xml:space="preserve">Maria Rubbato Catholic School 2015 E.C Roster Grade 12B Student's </t>
  </si>
  <si>
    <r>
      <t xml:space="preserve">         Home Room Teacher </t>
    </r>
    <r>
      <rPr>
        <u/>
        <sz val="11"/>
        <color theme="1"/>
        <rFont val="Bookman Old Style"/>
        <family val="1"/>
      </rPr>
      <t xml:space="preserve">      </t>
    </r>
    <r>
      <rPr>
        <u/>
        <sz val="11"/>
        <color theme="1"/>
        <rFont val="Lucida Calligraphy"/>
        <family val="4"/>
      </rPr>
      <t xml:space="preserve">                      Grade    12B (Natural Science) </t>
    </r>
    <r>
      <rPr>
        <u/>
        <sz val="11"/>
        <color theme="1"/>
        <rFont val="Bookman Old Style"/>
        <family val="1"/>
      </rPr>
      <t xml:space="preserve">   </t>
    </r>
    <r>
      <rPr>
        <sz val="11"/>
        <color theme="1"/>
        <rFont val="Bookman Old Style"/>
        <family val="1"/>
      </rPr>
      <t xml:space="preserve"> </t>
    </r>
  </si>
  <si>
    <r>
      <t xml:space="preserve">         Home Room Teacher </t>
    </r>
    <r>
      <rPr>
        <u/>
        <sz val="11"/>
        <color theme="1"/>
        <rFont val="Bookman Old Style"/>
        <family val="1"/>
      </rPr>
      <t xml:space="preserve">      </t>
    </r>
    <r>
      <rPr>
        <u/>
        <sz val="11"/>
        <color theme="1"/>
        <rFont val="Lucida Calligraphy"/>
        <family val="4"/>
      </rPr>
      <t xml:space="preserve">                      Grade    12B (Natural Science) </t>
    </r>
    <r>
      <rPr>
        <u/>
        <sz val="11"/>
        <color theme="1"/>
        <rFont val="Bookman Old Style"/>
        <family val="1"/>
      </rPr>
      <t xml:space="preserve">    </t>
    </r>
    <r>
      <rPr>
        <sz val="11"/>
        <color theme="1"/>
        <rFont val="Bookman Old Style"/>
        <family val="1"/>
      </rPr>
      <t xml:space="preserve"> </t>
    </r>
  </si>
  <si>
    <t xml:space="preserve">                    Grade    12B (Natural Science) </t>
  </si>
  <si>
    <r>
      <t xml:space="preserve">      Home Room Teacher </t>
    </r>
    <r>
      <rPr>
        <u/>
        <sz val="12"/>
        <color theme="1"/>
        <rFont val="Bookman Old Style"/>
        <family val="1"/>
      </rPr>
      <t xml:space="preserve">       </t>
    </r>
    <r>
      <rPr>
        <u/>
        <sz val="12"/>
        <color theme="1"/>
        <rFont val="Lucida Calligraphy"/>
        <family val="4"/>
      </rPr>
      <t xml:space="preserve">                      Grade    11B(Natural Science)    </t>
    </r>
  </si>
  <si>
    <r>
      <t xml:space="preserve">      Home Room Teacher </t>
    </r>
    <r>
      <rPr>
        <u/>
        <sz val="12"/>
        <color theme="1"/>
        <rFont val="Bookman Old Style"/>
        <family val="1"/>
      </rPr>
      <t xml:space="preserve">       </t>
    </r>
    <r>
      <rPr>
        <u/>
        <sz val="12"/>
        <color theme="1"/>
        <rFont val="Lucida Calligraphy"/>
        <family val="4"/>
      </rPr>
      <t xml:space="preserve">                      Grade    11B (Natural Science)    </t>
    </r>
    <r>
      <rPr>
        <u/>
        <sz val="12"/>
        <color theme="1"/>
        <rFont val="Bookman Old Style"/>
        <family val="1"/>
      </rPr>
      <t xml:space="preserve">           </t>
    </r>
  </si>
  <si>
    <r>
      <t xml:space="preserve">         Home Room Teacher </t>
    </r>
    <r>
      <rPr>
        <u/>
        <sz val="11"/>
        <color theme="1"/>
        <rFont val="Bookman Old Style"/>
        <family val="1"/>
      </rPr>
      <t xml:space="preserve">      </t>
    </r>
    <r>
      <rPr>
        <u/>
        <sz val="11"/>
        <color theme="1"/>
        <rFont val="Lucida Calligraphy"/>
        <family val="4"/>
      </rPr>
      <t xml:space="preserve">                      Grade    12B (Social Science) </t>
    </r>
    <r>
      <rPr>
        <u/>
        <sz val="11"/>
        <color theme="1"/>
        <rFont val="Bookman Old Style"/>
        <family val="1"/>
      </rPr>
      <t xml:space="preserve"> </t>
    </r>
    <r>
      <rPr>
        <sz val="11"/>
        <color theme="1"/>
        <rFont val="Bookman Old Style"/>
        <family val="1"/>
      </rPr>
      <t xml:space="preserve"> </t>
    </r>
  </si>
  <si>
    <t xml:space="preserve">በ </t>
  </si>
</sst>
</file>

<file path=xl/styles.xml><?xml version="1.0" encoding="utf-8"?>
<styleSheet xmlns="http://schemas.openxmlformats.org/spreadsheetml/2006/main" xmlns:mc="http://schemas.openxmlformats.org/markup-compatibility/2006" xmlns:x14ac="http://schemas.microsoft.com/office/spreadsheetml/2009/9/ac" mc:Ignorable="x14ac">
  <fonts count="40" x14ac:knownFonts="1">
    <font>
      <sz val="11"/>
      <color theme="1"/>
      <name val="Calibri"/>
      <family val="2"/>
      <scheme val="minor"/>
    </font>
    <font>
      <b/>
      <sz val="11"/>
      <color theme="1"/>
      <name val="Calibri"/>
      <family val="2"/>
      <scheme val="minor"/>
    </font>
    <font>
      <sz val="16"/>
      <color theme="1"/>
      <name val="Times New Roman"/>
      <family val="1"/>
    </font>
    <font>
      <sz val="11"/>
      <color theme="1"/>
      <name val="Bookman Old Style"/>
      <family val="1"/>
    </font>
    <font>
      <u/>
      <sz val="11"/>
      <color theme="1"/>
      <name val="Bookman Old Style"/>
      <family val="1"/>
    </font>
    <font>
      <u/>
      <sz val="11"/>
      <color theme="1"/>
      <name val="Lucida Calligraphy"/>
      <family val="4"/>
    </font>
    <font>
      <sz val="9"/>
      <color rgb="FF000000"/>
      <name val="Bookman Old Style"/>
      <family val="1"/>
    </font>
    <font>
      <u/>
      <sz val="11"/>
      <color theme="1"/>
      <name val="Calibri"/>
      <family val="2"/>
      <scheme val="minor"/>
    </font>
    <font>
      <sz val="9"/>
      <color theme="1"/>
      <name val="Calibri"/>
      <family val="2"/>
      <scheme val="minor"/>
    </font>
    <font>
      <sz val="10"/>
      <color theme="1"/>
      <name val="Calibri"/>
      <family val="2"/>
      <scheme val="minor"/>
    </font>
    <font>
      <sz val="11"/>
      <color rgb="FF000000"/>
      <name val="Bookman Old Style"/>
      <family val="1"/>
    </font>
    <font>
      <sz val="8"/>
      <color rgb="FF000000"/>
      <name val="Bookman Old Style"/>
      <family val="1"/>
    </font>
    <font>
      <sz val="12"/>
      <color theme="1"/>
      <name val="Bookman Old Style"/>
      <family val="1"/>
    </font>
    <font>
      <sz val="10"/>
      <color rgb="FF000000"/>
      <name val="Bookman Old Style"/>
      <family val="1"/>
    </font>
    <font>
      <b/>
      <sz val="12"/>
      <color theme="1"/>
      <name val="Calibri"/>
      <family val="2"/>
      <scheme val="minor"/>
    </font>
    <font>
      <b/>
      <u/>
      <sz val="12"/>
      <color theme="1"/>
      <name val="Calibri"/>
      <family val="2"/>
      <scheme val="minor"/>
    </font>
    <font>
      <b/>
      <sz val="9"/>
      <color theme="1"/>
      <name val="Calibri"/>
      <family val="2"/>
      <scheme val="minor"/>
    </font>
    <font>
      <b/>
      <sz val="8"/>
      <color theme="1"/>
      <name val="Calibri"/>
      <family val="2"/>
      <scheme val="minor"/>
    </font>
    <font>
      <b/>
      <sz val="10"/>
      <color theme="1"/>
      <name val="Calibri"/>
      <family val="2"/>
      <scheme val="minor"/>
    </font>
    <font>
      <sz val="11"/>
      <name val="Calibri"/>
      <family val="2"/>
      <scheme val="minor"/>
    </font>
    <font>
      <sz val="11"/>
      <color theme="1"/>
      <name val="Times New Roman"/>
      <family val="1"/>
    </font>
    <font>
      <sz val="8"/>
      <color theme="1"/>
      <name val="Bookman Old Style"/>
      <family val="1"/>
    </font>
    <font>
      <u/>
      <sz val="12"/>
      <color theme="1"/>
      <name val="Bookman Old Style"/>
      <family val="1"/>
    </font>
    <font>
      <u/>
      <sz val="12"/>
      <color theme="1"/>
      <name val="Lucida Calligraphy"/>
      <family val="4"/>
    </font>
    <font>
      <sz val="13"/>
      <name val="Calibri"/>
      <family val="2"/>
      <scheme val="minor"/>
    </font>
    <font>
      <sz val="13"/>
      <color theme="1"/>
      <name val="Calibri"/>
      <family val="2"/>
      <scheme val="minor"/>
    </font>
    <font>
      <sz val="11"/>
      <color rgb="FF000000"/>
      <name val="Visual Geez Unicode"/>
    </font>
    <font>
      <sz val="11"/>
      <color rgb="FF000000"/>
      <name val="Calibri"/>
      <family val="2"/>
      <scheme val="minor"/>
    </font>
    <font>
      <sz val="10"/>
      <color theme="1"/>
      <name val="Bookman Old Style"/>
      <family val="1"/>
    </font>
    <font>
      <sz val="11"/>
      <color rgb="FF000000"/>
      <name val="Cambria"/>
      <family val="1"/>
    </font>
    <font>
      <b/>
      <u/>
      <sz val="11"/>
      <color theme="1"/>
      <name val="Calibri"/>
      <family val="2"/>
      <scheme val="minor"/>
    </font>
    <font>
      <sz val="12"/>
      <color theme="1"/>
      <name val="Calibri"/>
      <family val="2"/>
      <scheme val="minor"/>
    </font>
    <font>
      <sz val="12"/>
      <name val="Calibri"/>
      <family val="2"/>
      <scheme val="minor"/>
    </font>
    <font>
      <sz val="13"/>
      <color theme="1"/>
      <name val="Visual Geez Unicode"/>
    </font>
    <font>
      <sz val="12"/>
      <color rgb="FF000000"/>
      <name val="Times New Roman"/>
      <family val="1"/>
    </font>
    <font>
      <sz val="11"/>
      <color rgb="FF000000"/>
      <name val="Times New Roman"/>
      <family val="1"/>
    </font>
    <font>
      <sz val="12"/>
      <color theme="1"/>
      <name val="Times New Roman"/>
      <family val="1"/>
    </font>
    <font>
      <sz val="13.5"/>
      <color rgb="FF000000"/>
      <name val="Times New Roman"/>
      <family val="1"/>
    </font>
    <font>
      <sz val="12"/>
      <color theme="1"/>
      <name val="Baskerville Old Face"/>
      <family val="1"/>
    </font>
    <font>
      <sz val="13"/>
      <color theme="1"/>
      <name val="Times New Roman"/>
      <family val="1"/>
    </font>
  </fonts>
  <fills count="7">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theme="1" tint="0.249977111117893"/>
        <bgColor indexed="64"/>
      </patternFill>
    </fill>
  </fills>
  <borders count="31">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thin">
        <color indexed="64"/>
      </left>
      <right/>
      <top/>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top style="medium">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top/>
      <bottom/>
      <diagonal/>
    </border>
  </borders>
  <cellStyleXfs count="1">
    <xf numFmtId="0" fontId="0" fillId="0" borderId="0"/>
  </cellStyleXfs>
  <cellXfs count="360">
    <xf numFmtId="0" fontId="0" fillId="0" borderId="0" xfId="0"/>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6" fillId="0" borderId="0" xfId="0" applyFont="1" applyBorder="1" applyAlignment="1">
      <alignment wrapText="1"/>
    </xf>
    <xf numFmtId="0" fontId="3" fillId="0" borderId="0" xfId="0" applyFont="1" applyBorder="1" applyAlignment="1">
      <alignment horizontal="left" vertical="center"/>
    </xf>
    <xf numFmtId="0" fontId="8" fillId="0" borderId="8" xfId="0" applyFont="1" applyBorder="1" applyAlignment="1">
      <alignment horizontal="left" vertical="center"/>
    </xf>
    <xf numFmtId="0" fontId="12" fillId="0" borderId="0" xfId="0" applyFont="1" applyBorder="1" applyAlignment="1">
      <alignment wrapText="1"/>
    </xf>
    <xf numFmtId="0" fontId="12" fillId="0" borderId="9" xfId="0" applyFont="1" applyBorder="1" applyAlignment="1">
      <alignment wrapText="1"/>
    </xf>
    <xf numFmtId="0" fontId="0" fillId="0" borderId="9" xfId="0" applyBorder="1" applyAlignment="1"/>
    <xf numFmtId="0" fontId="0" fillId="0" borderId="0" xfId="0" applyAlignment="1"/>
    <xf numFmtId="0" fontId="8" fillId="0" borderId="0" xfId="0" applyFont="1" applyAlignment="1">
      <alignment horizontal="center" vertical="center"/>
    </xf>
    <xf numFmtId="0" fontId="10" fillId="0" borderId="11" xfId="0" applyFont="1" applyBorder="1" applyAlignment="1">
      <alignment vertical="center" wrapText="1"/>
    </xf>
    <xf numFmtId="0" fontId="11" fillId="0" borderId="11" xfId="0" applyFont="1" applyBorder="1" applyAlignment="1">
      <alignment vertical="center" wrapText="1"/>
    </xf>
    <xf numFmtId="0" fontId="12" fillId="0" borderId="11" xfId="0" applyFont="1" applyBorder="1" applyAlignment="1">
      <alignment horizontal="center" vertical="center" wrapText="1"/>
    </xf>
    <xf numFmtId="0" fontId="0" fillId="0" borderId="0" xfId="0" applyAlignment="1">
      <alignment horizontal="center" vertical="center"/>
    </xf>
    <xf numFmtId="0" fontId="0" fillId="0" borderId="11" xfId="0" applyBorder="1" applyAlignment="1">
      <alignment horizontal="center" vertical="center"/>
    </xf>
    <xf numFmtId="0" fontId="3" fillId="0" borderId="11" xfId="0" applyFont="1" applyBorder="1" applyAlignment="1">
      <alignment horizontal="center" vertical="center" wrapText="1"/>
    </xf>
    <xf numFmtId="0" fontId="13" fillId="0" borderId="11" xfId="0" applyFont="1" applyBorder="1" applyAlignment="1">
      <alignment vertical="center" wrapText="1"/>
    </xf>
    <xf numFmtId="0" fontId="8" fillId="0" borderId="10" xfId="0" applyFont="1" applyBorder="1" applyAlignment="1">
      <alignment horizontal="center" vertical="center" textRotation="180"/>
    </xf>
    <xf numFmtId="0" fontId="9" fillId="0" borderId="10" xfId="0" applyFont="1" applyBorder="1" applyAlignment="1">
      <alignment horizontal="center" vertical="center" textRotation="180"/>
    </xf>
    <xf numFmtId="0" fontId="0" fillId="0" borderId="11" xfId="0" applyBorder="1"/>
    <xf numFmtId="0" fontId="14" fillId="0" borderId="7" xfId="0" applyFont="1" applyBorder="1" applyAlignment="1">
      <alignment horizontal="center" vertical="center"/>
    </xf>
    <xf numFmtId="0" fontId="14" fillId="0" borderId="7" xfId="0" applyFont="1" applyBorder="1" applyAlignment="1">
      <alignment horizontal="left" vertical="center"/>
    </xf>
    <xf numFmtId="0" fontId="14" fillId="0" borderId="7" xfId="0" applyFont="1" applyBorder="1" applyAlignment="1">
      <alignment horizontal="left" vertical="center" wrapText="1"/>
    </xf>
    <xf numFmtId="0" fontId="0" fillId="0" borderId="13" xfId="0" applyBorder="1" applyAlignment="1">
      <alignment horizontal="center" vertical="center"/>
    </xf>
    <xf numFmtId="0" fontId="16" fillId="0" borderId="10" xfId="0" applyFont="1" applyBorder="1" applyAlignment="1">
      <alignment horizontal="center" vertical="center" textRotation="180"/>
    </xf>
    <xf numFmtId="0" fontId="17" fillId="0" borderId="10" xfId="0" applyFont="1" applyBorder="1" applyAlignment="1">
      <alignment horizontal="center" vertical="center" textRotation="180"/>
    </xf>
    <xf numFmtId="0" fontId="18" fillId="0" borderId="10" xfId="0" applyFont="1" applyBorder="1" applyAlignment="1">
      <alignment horizontal="center" vertical="center" textRotation="180"/>
    </xf>
    <xf numFmtId="0" fontId="17" fillId="0" borderId="10" xfId="0" applyFont="1" applyFill="1" applyBorder="1" applyAlignment="1">
      <alignment horizontal="center" vertical="center" textRotation="180"/>
    </xf>
    <xf numFmtId="0" fontId="9" fillId="0" borderId="11" xfId="0" applyFont="1" applyBorder="1"/>
    <xf numFmtId="0" fontId="0" fillId="2" borderId="11" xfId="0" applyFont="1" applyFill="1" applyBorder="1" applyAlignment="1">
      <alignment horizontal="center" vertical="center"/>
    </xf>
    <xf numFmtId="0" fontId="19" fillId="2" borderId="11" xfId="0" applyFont="1" applyFill="1" applyBorder="1" applyAlignment="1">
      <alignment horizontal="center" vertical="center"/>
    </xf>
    <xf numFmtId="0" fontId="0" fillId="0" borderId="11" xfId="0" applyFont="1" applyBorder="1"/>
    <xf numFmtId="2" fontId="0" fillId="0" borderId="11" xfId="0" applyNumberFormat="1" applyBorder="1" applyAlignment="1">
      <alignment horizontal="center" vertical="center"/>
    </xf>
    <xf numFmtId="0" fontId="8" fillId="0" borderId="10" xfId="0" applyFont="1" applyFill="1" applyBorder="1" applyAlignment="1">
      <alignment horizontal="center" vertical="center" textRotation="180"/>
    </xf>
    <xf numFmtId="0" fontId="20" fillId="0" borderId="5" xfId="0" applyFont="1" applyBorder="1" applyAlignment="1">
      <alignment horizontal="center" vertical="center"/>
    </xf>
    <xf numFmtId="0" fontId="20" fillId="0" borderId="6" xfId="0" applyFont="1" applyBorder="1" applyAlignment="1">
      <alignment horizontal="center" vertical="center"/>
    </xf>
    <xf numFmtId="0" fontId="0" fillId="0" borderId="0" xfId="0" applyFont="1"/>
    <xf numFmtId="0" fontId="0" fillId="0" borderId="11" xfId="0" applyFont="1" applyBorder="1" applyAlignment="1">
      <alignment horizontal="center" vertical="center"/>
    </xf>
    <xf numFmtId="0" fontId="1" fillId="0" borderId="11" xfId="0" applyFont="1" applyBorder="1" applyAlignment="1">
      <alignment horizontal="center" vertical="center" wrapText="1"/>
    </xf>
    <xf numFmtId="0" fontId="1" fillId="0" borderId="11" xfId="0" applyFont="1" applyBorder="1" applyAlignment="1">
      <alignment horizontal="center" vertical="center"/>
    </xf>
    <xf numFmtId="0" fontId="0" fillId="0" borderId="11" xfId="0" applyFont="1" applyBorder="1" applyAlignment="1">
      <alignment horizontal="center"/>
    </xf>
    <xf numFmtId="0" fontId="0" fillId="0" borderId="11" xfId="0" applyFont="1" applyBorder="1" applyAlignment="1">
      <alignment horizontal="center" textRotation="255"/>
    </xf>
    <xf numFmtId="0" fontId="0" fillId="0" borderId="11" xfId="0" applyFont="1" applyFill="1" applyBorder="1" applyAlignment="1">
      <alignment horizontal="center" textRotation="255"/>
    </xf>
    <xf numFmtId="0" fontId="0" fillId="0" borderId="11" xfId="0" applyFont="1" applyFill="1" applyBorder="1" applyAlignment="1">
      <alignment horizontal="center"/>
    </xf>
    <xf numFmtId="0" fontId="0" fillId="2" borderId="11" xfId="0" applyFont="1" applyFill="1" applyBorder="1" applyAlignment="1">
      <alignment horizontal="center"/>
    </xf>
    <xf numFmtId="0" fontId="2" fillId="0" borderId="0" xfId="0" applyFont="1" applyBorder="1" applyAlignment="1">
      <alignment vertical="center"/>
    </xf>
    <xf numFmtId="0" fontId="24" fillId="2" borderId="11" xfId="0" applyFont="1" applyFill="1" applyBorder="1" applyAlignment="1">
      <alignment horizontal="center" vertical="center"/>
    </xf>
    <xf numFmtId="0" fontId="19" fillId="2" borderId="11" xfId="0" applyNumberFormat="1" applyFont="1" applyFill="1" applyBorder="1" applyAlignment="1">
      <alignment horizontal="center" vertical="center"/>
    </xf>
    <xf numFmtId="0" fontId="0" fillId="0" borderId="11" xfId="0" applyFont="1" applyBorder="1" applyAlignment="1">
      <alignment horizontal="left" vertical="center"/>
    </xf>
    <xf numFmtId="0" fontId="0" fillId="0" borderId="11" xfId="0" applyFont="1" applyBorder="1" applyAlignment="1">
      <alignment horizontal="left" vertical="center" wrapText="1"/>
    </xf>
    <xf numFmtId="0" fontId="1" fillId="0" borderId="14" xfId="0" applyFont="1" applyBorder="1" applyAlignment="1">
      <alignment horizontal="left" vertical="center"/>
    </xf>
    <xf numFmtId="0" fontId="1" fillId="0" borderId="11" xfId="0" applyFont="1" applyBorder="1" applyAlignment="1">
      <alignment horizontal="left" vertical="center"/>
    </xf>
    <xf numFmtId="0" fontId="1" fillId="0" borderId="11" xfId="0" applyFont="1" applyBorder="1"/>
    <xf numFmtId="2" fontId="19" fillId="2" borderId="11" xfId="0" applyNumberFormat="1" applyFont="1" applyFill="1" applyBorder="1" applyAlignment="1">
      <alignment horizontal="center" vertical="center"/>
    </xf>
    <xf numFmtId="0" fontId="20" fillId="0" borderId="11" xfId="0" applyFont="1" applyBorder="1" applyAlignment="1">
      <alignment horizontal="center" vertical="center"/>
    </xf>
    <xf numFmtId="0" fontId="32" fillId="2" borderId="11" xfId="0" applyFont="1" applyFill="1" applyBorder="1" applyAlignment="1">
      <alignment horizontal="center" vertical="center"/>
    </xf>
    <xf numFmtId="0" fontId="31" fillId="2" borderId="11" xfId="0" applyFont="1" applyFill="1" applyBorder="1" applyAlignment="1">
      <alignment horizontal="center" vertical="center"/>
    </xf>
    <xf numFmtId="0" fontId="0" fillId="0" borderId="3" xfId="0" applyBorder="1" applyAlignment="1">
      <alignment horizontal="center" vertical="center"/>
    </xf>
    <xf numFmtId="0" fontId="0" fillId="0" borderId="15" xfId="0" applyBorder="1" applyAlignment="1">
      <alignment horizontal="center" vertical="center"/>
    </xf>
    <xf numFmtId="0" fontId="31" fillId="2" borderId="15" xfId="0" applyFont="1" applyFill="1" applyBorder="1" applyAlignment="1">
      <alignment horizontal="center" vertical="center"/>
    </xf>
    <xf numFmtId="0" fontId="0" fillId="0" borderId="16" xfId="0" applyBorder="1" applyAlignment="1">
      <alignment horizontal="center" vertical="center"/>
    </xf>
    <xf numFmtId="2" fontId="0" fillId="0" borderId="15" xfId="0" applyNumberFormat="1" applyBorder="1" applyAlignment="1">
      <alignment horizontal="center" vertical="center"/>
    </xf>
    <xf numFmtId="0" fontId="14" fillId="0" borderId="8" xfId="0" applyFont="1" applyBorder="1" applyAlignment="1">
      <alignment horizontal="center" vertical="center"/>
    </xf>
    <xf numFmtId="0" fontId="14" fillId="0" borderId="8" xfId="0" applyFont="1" applyBorder="1" applyAlignment="1">
      <alignment horizontal="left" vertical="center"/>
    </xf>
    <xf numFmtId="0" fontId="14" fillId="0" borderId="8" xfId="0" applyFont="1" applyBorder="1" applyAlignment="1">
      <alignment horizontal="left" vertical="center" wrapText="1"/>
    </xf>
    <xf numFmtId="0" fontId="16" fillId="0" borderId="8" xfId="0" applyFont="1" applyBorder="1" applyAlignment="1">
      <alignment horizontal="center" vertical="center" textRotation="180"/>
    </xf>
    <xf numFmtId="0" fontId="17" fillId="0" borderId="8" xfId="0" applyFont="1" applyBorder="1" applyAlignment="1">
      <alignment horizontal="center" vertical="center" textRotation="180"/>
    </xf>
    <xf numFmtId="0" fontId="18" fillId="0" borderId="8" xfId="0" applyFont="1" applyBorder="1" applyAlignment="1">
      <alignment horizontal="center" vertical="center" textRotation="180"/>
    </xf>
    <xf numFmtId="0" fontId="0" fillId="0" borderId="15" xfId="0" applyBorder="1"/>
    <xf numFmtId="2" fontId="0" fillId="0" borderId="11" xfId="0" applyNumberFormat="1" applyBorder="1"/>
    <xf numFmtId="0" fontId="0" fillId="0" borderId="7" xfId="0" applyFont="1" applyBorder="1" applyAlignment="1">
      <alignment horizontal="left" vertical="center"/>
    </xf>
    <xf numFmtId="0" fontId="1" fillId="0" borderId="7" xfId="0" applyFont="1" applyBorder="1" applyAlignment="1">
      <alignment horizontal="center" vertical="center" wrapText="1"/>
    </xf>
    <xf numFmtId="0" fontId="1" fillId="0" borderId="4" xfId="0" applyFont="1" applyBorder="1" applyAlignment="1">
      <alignment horizontal="center" vertical="center" wrapText="1"/>
    </xf>
    <xf numFmtId="0" fontId="2" fillId="0" borderId="11" xfId="0" applyFont="1" applyBorder="1" applyAlignment="1">
      <alignment vertical="center"/>
    </xf>
    <xf numFmtId="0" fontId="0" fillId="2" borderId="15" xfId="0" applyFont="1" applyFill="1" applyBorder="1" applyAlignment="1">
      <alignment horizontal="center" vertical="center"/>
    </xf>
    <xf numFmtId="0" fontId="1" fillId="0" borderId="8" xfId="0" applyFont="1" applyBorder="1" applyAlignment="1">
      <alignment horizontal="left" vertical="center"/>
    </xf>
    <xf numFmtId="0" fontId="9" fillId="0" borderId="15" xfId="0" applyFont="1" applyBorder="1"/>
    <xf numFmtId="0" fontId="0" fillId="0" borderId="15" xfId="0" applyFont="1" applyBorder="1" applyAlignment="1">
      <alignment horizontal="center" textRotation="255"/>
    </xf>
    <xf numFmtId="0" fontId="0" fillId="0" borderId="15" xfId="0" applyFont="1" applyFill="1" applyBorder="1" applyAlignment="1">
      <alignment horizontal="center" textRotation="255"/>
    </xf>
    <xf numFmtId="0" fontId="16" fillId="0" borderId="8" xfId="0" applyFont="1" applyBorder="1" applyAlignment="1">
      <alignment horizontal="left" vertical="center"/>
    </xf>
    <xf numFmtId="0" fontId="16" fillId="0" borderId="8" xfId="0" applyFont="1" applyFill="1" applyBorder="1" applyAlignment="1">
      <alignment horizontal="center" vertical="center" textRotation="180"/>
    </xf>
    <xf numFmtId="0" fontId="16" fillId="0" borderId="10" xfId="0" applyFont="1" applyFill="1" applyBorder="1" applyAlignment="1">
      <alignment horizontal="center" vertical="center" textRotation="180"/>
    </xf>
    <xf numFmtId="0" fontId="9" fillId="0" borderId="16" xfId="0" applyFont="1" applyBorder="1"/>
    <xf numFmtId="0" fontId="9" fillId="0" borderId="3" xfId="0" applyFont="1" applyBorder="1"/>
    <xf numFmtId="0" fontId="25" fillId="2" borderId="11" xfId="0" applyFont="1" applyFill="1" applyBorder="1" applyAlignment="1">
      <alignment horizontal="center" vertical="center"/>
    </xf>
    <xf numFmtId="0" fontId="33" fillId="2" borderId="11" xfId="0" applyFont="1" applyFill="1" applyBorder="1" applyAlignment="1">
      <alignment horizontal="center" vertical="center"/>
    </xf>
    <xf numFmtId="0" fontId="25" fillId="2" borderId="11" xfId="0" applyFont="1" applyFill="1" applyBorder="1" applyAlignment="1">
      <alignment horizontal="center"/>
    </xf>
    <xf numFmtId="0" fontId="0" fillId="0" borderId="8" xfId="0" applyBorder="1" applyAlignment="1">
      <alignment horizontal="left" vertical="center"/>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31" fillId="0" borderId="11" xfId="0" applyFont="1" applyBorder="1" applyAlignment="1">
      <alignment horizontal="center" vertical="center"/>
    </xf>
    <xf numFmtId="0" fontId="3" fillId="0" borderId="11" xfId="0" applyFont="1" applyFill="1" applyBorder="1" applyAlignment="1">
      <alignment horizontal="center" vertical="center" wrapText="1"/>
    </xf>
    <xf numFmtId="0" fontId="14" fillId="0" borderId="11" xfId="0" applyFont="1" applyBorder="1" applyAlignment="1">
      <alignment horizontal="left" vertical="center"/>
    </xf>
    <xf numFmtId="0" fontId="14" fillId="0" borderId="11" xfId="0" applyFont="1" applyBorder="1" applyAlignment="1">
      <alignment horizontal="left" vertical="center" wrapText="1"/>
    </xf>
    <xf numFmtId="0" fontId="20" fillId="0" borderId="0" xfId="0" applyFont="1" applyBorder="1" applyAlignment="1">
      <alignment horizontal="left" vertical="center"/>
    </xf>
    <xf numFmtId="0" fontId="0" fillId="0" borderId="10" xfId="0" applyFont="1" applyBorder="1" applyAlignment="1">
      <alignment horizontal="center" vertical="center" textRotation="180"/>
    </xf>
    <xf numFmtId="0" fontId="0" fillId="0" borderId="10" xfId="0" applyFont="1" applyFill="1" applyBorder="1" applyAlignment="1">
      <alignment horizontal="center" vertical="center" textRotation="180"/>
    </xf>
    <xf numFmtId="0" fontId="25" fillId="0" borderId="11" xfId="0" applyFont="1" applyBorder="1" applyAlignment="1">
      <alignment horizontal="center" vertical="center"/>
    </xf>
    <xf numFmtId="0" fontId="1" fillId="0" borderId="10" xfId="0" applyFont="1" applyFill="1" applyBorder="1" applyAlignment="1">
      <alignment horizontal="center" vertical="center" textRotation="180"/>
    </xf>
    <xf numFmtId="0" fontId="24" fillId="2" borderId="11" xfId="0" applyNumberFormat="1" applyFont="1" applyFill="1" applyBorder="1" applyAlignment="1">
      <alignment horizontal="center" vertical="center"/>
    </xf>
    <xf numFmtId="0" fontId="39" fillId="0" borderId="11" xfId="0" applyFont="1" applyBorder="1" applyAlignment="1">
      <alignment vertical="center"/>
    </xf>
    <xf numFmtId="0" fontId="25" fillId="0" borderId="0" xfId="0" applyFont="1"/>
    <xf numFmtId="0" fontId="25" fillId="0" borderId="11" xfId="0" applyFont="1" applyBorder="1"/>
    <xf numFmtId="0" fontId="25" fillId="0" borderId="0" xfId="0" applyFont="1" applyAlignment="1"/>
    <xf numFmtId="1" fontId="0" fillId="2" borderId="11" xfId="0" applyNumberFormat="1" applyFont="1" applyFill="1" applyBorder="1" applyAlignment="1">
      <alignment horizontal="center" vertical="center"/>
    </xf>
    <xf numFmtId="1" fontId="0" fillId="0" borderId="11" xfId="0" applyNumberFormat="1" applyBorder="1" applyAlignment="1">
      <alignment horizontal="center" vertical="center"/>
    </xf>
    <xf numFmtId="0" fontId="12" fillId="0" borderId="11" xfId="0" applyFont="1" applyBorder="1" applyAlignment="1">
      <alignment horizontal="center" vertical="center" wrapText="1"/>
    </xf>
    <xf numFmtId="0" fontId="9" fillId="0" borderId="7" xfId="0" applyFont="1" applyBorder="1"/>
    <xf numFmtId="0" fontId="0" fillId="2" borderId="7" xfId="0" applyFont="1" applyFill="1" applyBorder="1" applyAlignment="1">
      <alignment horizontal="center" vertical="center"/>
    </xf>
    <xf numFmtId="0" fontId="0" fillId="2" borderId="7" xfId="0" applyFont="1" applyFill="1" applyBorder="1" applyAlignment="1">
      <alignment horizontal="center"/>
    </xf>
    <xf numFmtId="0" fontId="0" fillId="0" borderId="11" xfId="0" applyBorder="1" applyAlignment="1">
      <alignment horizontal="center"/>
    </xf>
    <xf numFmtId="0" fontId="0" fillId="0" borderId="11" xfId="0" applyBorder="1" applyAlignment="1"/>
    <xf numFmtId="0" fontId="31" fillId="0" borderId="7" xfId="0" applyFont="1" applyBorder="1" applyAlignment="1">
      <alignment horizontal="center" vertical="center"/>
    </xf>
    <xf numFmtId="0" fontId="25" fillId="0" borderId="7" xfId="0" applyFont="1" applyBorder="1" applyAlignment="1">
      <alignment horizontal="center" vertical="center"/>
    </xf>
    <xf numFmtId="0" fontId="0" fillId="0" borderId="6" xfId="0" applyBorder="1" applyAlignment="1">
      <alignment horizontal="center" vertical="center"/>
    </xf>
    <xf numFmtId="2" fontId="0" fillId="0" borderId="7" xfId="0" applyNumberFormat="1" applyBorder="1" applyAlignment="1">
      <alignment horizontal="center" vertical="center"/>
    </xf>
    <xf numFmtId="0" fontId="0" fillId="0" borderId="7" xfId="0" applyBorder="1" applyAlignment="1">
      <alignment horizontal="center" vertical="center"/>
    </xf>
    <xf numFmtId="0" fontId="0" fillId="0" borderId="25" xfId="0" applyBorder="1"/>
    <xf numFmtId="2" fontId="0" fillId="0" borderId="25" xfId="0" applyNumberFormat="1" applyBorder="1"/>
    <xf numFmtId="0" fontId="0" fillId="0" borderId="1" xfId="0" applyFont="1" applyBorder="1" applyAlignment="1">
      <alignment horizontal="left" vertical="center" wrapText="1"/>
    </xf>
    <xf numFmtId="0" fontId="3" fillId="0" borderId="1" xfId="0" applyFont="1" applyBorder="1" applyAlignment="1">
      <alignment horizontal="center" vertical="center" wrapText="1"/>
    </xf>
    <xf numFmtId="0" fontId="0" fillId="0" borderId="1" xfId="0" applyBorder="1"/>
    <xf numFmtId="0" fontId="1" fillId="0" borderId="7" xfId="0" applyFont="1" applyBorder="1" applyAlignment="1">
      <alignment horizontal="center" vertical="center"/>
    </xf>
    <xf numFmtId="0" fontId="34" fillId="0" borderId="11" xfId="0" applyFont="1" applyBorder="1" applyAlignment="1">
      <alignment vertical="top" wrapText="1"/>
    </xf>
    <xf numFmtId="0" fontId="35" fillId="0" borderId="11" xfId="0" applyFont="1" applyBorder="1" applyAlignment="1">
      <alignment wrapText="1"/>
    </xf>
    <xf numFmtId="0" fontId="34" fillId="0" borderId="11" xfId="0" applyFont="1" applyBorder="1" applyAlignment="1">
      <alignment wrapText="1"/>
    </xf>
    <xf numFmtId="2" fontId="0" fillId="0" borderId="11" xfId="0" applyNumberFormat="1" applyBorder="1" applyAlignment="1">
      <alignment horizontal="center"/>
    </xf>
    <xf numFmtId="0" fontId="1" fillId="0" borderId="0" xfId="0" applyFont="1" applyFill="1" applyBorder="1" applyAlignment="1">
      <alignment horizontal="center" vertical="center" wrapText="1"/>
    </xf>
    <xf numFmtId="0" fontId="0" fillId="0" borderId="0" xfId="0" applyBorder="1"/>
    <xf numFmtId="0" fontId="27" fillId="0" borderId="0" xfId="0" applyFont="1" applyBorder="1" applyAlignment="1">
      <alignment horizontal="center"/>
    </xf>
    <xf numFmtId="0" fontId="27" fillId="0" borderId="0" xfId="0" applyFont="1" applyBorder="1" applyAlignment="1">
      <alignment horizontal="right"/>
    </xf>
    <xf numFmtId="0" fontId="27" fillId="0" borderId="11" xfId="0" applyFont="1" applyBorder="1" applyAlignment="1">
      <alignment horizontal="right"/>
    </xf>
    <xf numFmtId="0" fontId="27" fillId="0" borderId="0" xfId="0" applyFont="1" applyBorder="1"/>
    <xf numFmtId="0" fontId="0" fillId="0" borderId="11" xfId="0" applyBorder="1" applyAlignment="1">
      <alignment horizontal="center"/>
    </xf>
    <xf numFmtId="0" fontId="0" fillId="0" borderId="11" xfId="0" applyBorder="1" applyAlignment="1">
      <alignment horizontal="center"/>
    </xf>
    <xf numFmtId="0" fontId="0" fillId="0" borderId="26" xfId="0" applyBorder="1" applyAlignment="1">
      <alignment horizontal="center" vertical="center"/>
    </xf>
    <xf numFmtId="0" fontId="12" fillId="0" borderId="1" xfId="0" applyFont="1" applyBorder="1" applyAlignment="1">
      <alignment horizontal="center" vertical="center" wrapText="1"/>
    </xf>
    <xf numFmtId="0" fontId="0" fillId="2" borderId="3" xfId="0" applyFont="1" applyFill="1" applyBorder="1" applyAlignment="1">
      <alignment horizontal="center" vertical="center"/>
    </xf>
    <xf numFmtId="0" fontId="0" fillId="0" borderId="3" xfId="0" applyBorder="1"/>
    <xf numFmtId="0" fontId="34" fillId="0" borderId="11" xfId="0" applyFont="1" applyBorder="1" applyAlignment="1">
      <alignment vertical="center" wrapText="1"/>
    </xf>
    <xf numFmtId="0" fontId="34" fillId="0" borderId="11" xfId="0" applyFont="1" applyBorder="1" applyAlignment="1">
      <alignment horizontal="center" vertical="center" wrapText="1"/>
    </xf>
    <xf numFmtId="0" fontId="36" fillId="0" borderId="11" xfId="0" applyFont="1" applyBorder="1" applyAlignment="1">
      <alignment vertical="center" wrapText="1"/>
    </xf>
    <xf numFmtId="0" fontId="34" fillId="0" borderId="15" xfId="0" applyFont="1" applyBorder="1" applyAlignment="1">
      <alignment vertical="center" wrapText="1"/>
    </xf>
    <xf numFmtId="0" fontId="34" fillId="0" borderId="15" xfId="0" applyFont="1" applyBorder="1" applyAlignment="1">
      <alignment horizontal="center" vertical="center" wrapText="1"/>
    </xf>
    <xf numFmtId="0" fontId="0" fillId="2" borderId="16" xfId="0" applyFont="1" applyFill="1" applyBorder="1" applyAlignment="1">
      <alignment horizontal="center" vertical="center"/>
    </xf>
    <xf numFmtId="0" fontId="14" fillId="0" borderId="11" xfId="0" applyFont="1" applyBorder="1" applyAlignment="1">
      <alignment horizontal="center" vertical="center"/>
    </xf>
    <xf numFmtId="0" fontId="0" fillId="0" borderId="17" xfId="0" applyBorder="1" applyAlignment="1">
      <alignment horizontal="center" vertical="center"/>
    </xf>
    <xf numFmtId="0" fontId="31" fillId="2" borderId="16" xfId="0" applyFont="1" applyFill="1" applyBorder="1" applyAlignment="1">
      <alignment horizontal="center" vertical="center"/>
    </xf>
    <xf numFmtId="0" fontId="31" fillId="2" borderId="3" xfId="0" applyFont="1" applyFill="1" applyBorder="1" applyAlignment="1">
      <alignment horizontal="center" vertical="center"/>
    </xf>
    <xf numFmtId="0" fontId="14" fillId="0" borderId="10" xfId="0" applyFont="1" applyBorder="1" applyAlignment="1">
      <alignment horizontal="left" vertical="center"/>
    </xf>
    <xf numFmtId="0" fontId="14" fillId="0" borderId="10" xfId="0" applyFont="1" applyBorder="1" applyAlignment="1">
      <alignment horizontal="left" vertical="center" wrapText="1"/>
    </xf>
    <xf numFmtId="0" fontId="34" fillId="0" borderId="7" xfId="0" applyFont="1" applyBorder="1" applyAlignment="1">
      <alignment horizontal="center" vertical="center" wrapText="1"/>
    </xf>
    <xf numFmtId="0" fontId="34" fillId="0" borderId="7" xfId="0" applyFont="1" applyBorder="1" applyAlignment="1">
      <alignment vertical="center" wrapText="1"/>
    </xf>
    <xf numFmtId="0" fontId="0" fillId="0" borderId="1" xfId="0" applyBorder="1" applyAlignment="1">
      <alignment horizontal="center" vertical="center"/>
    </xf>
    <xf numFmtId="0" fontId="24" fillId="2" borderId="3" xfId="0" applyFont="1" applyFill="1" applyBorder="1" applyAlignment="1">
      <alignment horizontal="center" vertical="center"/>
    </xf>
    <xf numFmtId="0" fontId="36" fillId="0" borderId="11" xfId="0" applyFont="1" applyBorder="1" applyAlignment="1">
      <alignment horizontal="center" vertical="center" wrapText="1"/>
    </xf>
    <xf numFmtId="0" fontId="31" fillId="0" borderId="1" xfId="0" applyFont="1" applyBorder="1" applyAlignment="1">
      <alignment horizontal="center" vertical="center"/>
    </xf>
    <xf numFmtId="0" fontId="25" fillId="0" borderId="3" xfId="0" applyFont="1" applyBorder="1" applyAlignment="1">
      <alignment horizontal="center" vertical="center"/>
    </xf>
    <xf numFmtId="0" fontId="36" fillId="0" borderId="7" xfId="0" applyFont="1" applyBorder="1" applyAlignment="1">
      <alignment vertical="center" wrapText="1"/>
    </xf>
    <xf numFmtId="0" fontId="36" fillId="0" borderId="7" xfId="0" applyFont="1" applyBorder="1" applyAlignment="1">
      <alignment horizontal="center" vertical="center" wrapText="1"/>
    </xf>
    <xf numFmtId="0" fontId="36" fillId="0" borderId="11" xfId="0" applyFont="1" applyBorder="1" applyAlignment="1">
      <alignment horizontal="justify" vertical="center" wrapText="1"/>
    </xf>
    <xf numFmtId="0" fontId="31" fillId="0" borderId="4" xfId="0" applyFont="1" applyBorder="1" applyAlignment="1">
      <alignment horizontal="center" vertical="center"/>
    </xf>
    <xf numFmtId="0" fontId="25" fillId="0" borderId="6" xfId="0" applyFont="1" applyBorder="1" applyAlignment="1">
      <alignment horizontal="center" vertical="center"/>
    </xf>
    <xf numFmtId="0" fontId="10" fillId="0" borderId="11" xfId="0" applyFont="1" applyBorder="1" applyAlignment="1">
      <alignment horizontal="center" wrapText="1"/>
    </xf>
    <xf numFmtId="0" fontId="37" fillId="0" borderId="11" xfId="0" applyFont="1" applyBorder="1" applyAlignment="1">
      <alignment wrapText="1"/>
    </xf>
    <xf numFmtId="0" fontId="11" fillId="0" borderId="11" xfId="0" applyFont="1" applyBorder="1" applyAlignment="1">
      <alignment horizontal="center" wrapText="1"/>
    </xf>
    <xf numFmtId="0" fontId="0" fillId="0" borderId="11" xfId="0" applyFill="1" applyBorder="1"/>
    <xf numFmtId="2" fontId="0" fillId="0" borderId="11" xfId="0" applyNumberFormat="1" applyFill="1" applyBorder="1" applyAlignment="1">
      <alignment horizontal="center" vertical="center"/>
    </xf>
    <xf numFmtId="0" fontId="0" fillId="0" borderId="11" xfId="0" applyFill="1" applyBorder="1" applyAlignment="1">
      <alignment horizontal="center" vertical="center"/>
    </xf>
    <xf numFmtId="0" fontId="3" fillId="0" borderId="1" xfId="0" applyFont="1" applyFill="1" applyBorder="1" applyAlignment="1">
      <alignment horizontal="center" vertical="center" wrapText="1"/>
    </xf>
    <xf numFmtId="0" fontId="14" fillId="0" borderId="27" xfId="0" applyFont="1" applyBorder="1" applyAlignment="1">
      <alignment horizontal="left" vertical="center"/>
    </xf>
    <xf numFmtId="0" fontId="36" fillId="0" borderId="11" xfId="0" applyFont="1" applyBorder="1" applyAlignment="1">
      <alignment wrapText="1"/>
    </xf>
    <xf numFmtId="0" fontId="34" fillId="0" borderId="15" xfId="0" applyFont="1" applyBorder="1" applyAlignment="1">
      <alignment wrapText="1"/>
    </xf>
    <xf numFmtId="0" fontId="0" fillId="0" borderId="0" xfId="0" applyFill="1"/>
    <xf numFmtId="0" fontId="27" fillId="0" borderId="0" xfId="0" applyFont="1" applyFill="1" applyBorder="1" applyAlignment="1">
      <alignment horizontal="center"/>
    </xf>
    <xf numFmtId="0" fontId="27" fillId="0" borderId="0" xfId="0" applyFont="1" applyFill="1" applyBorder="1"/>
    <xf numFmtId="0" fontId="34" fillId="0" borderId="11" xfId="0" applyFont="1" applyBorder="1" applyAlignment="1">
      <alignment horizontal="right" wrapText="1"/>
    </xf>
    <xf numFmtId="0" fontId="34" fillId="0" borderId="11" xfId="0" applyFont="1" applyBorder="1" applyAlignment="1">
      <alignment horizontal="right" vertical="top" wrapText="1"/>
    </xf>
    <xf numFmtId="0" fontId="34" fillId="0" borderId="15" xfId="0" applyFont="1" applyBorder="1" applyAlignment="1">
      <alignment horizontal="right" wrapText="1"/>
    </xf>
    <xf numFmtId="0" fontId="36" fillId="0" borderId="11" xfId="0" applyFont="1" applyBorder="1" applyAlignment="1">
      <alignment horizontal="right" vertical="center" wrapText="1"/>
    </xf>
    <xf numFmtId="0" fontId="36" fillId="3" borderId="11" xfId="0" applyFont="1" applyFill="1" applyBorder="1" applyAlignment="1">
      <alignment vertical="center" wrapText="1"/>
    </xf>
    <xf numFmtId="0" fontId="36" fillId="3" borderId="11" xfId="0" applyFont="1" applyFill="1" applyBorder="1" applyAlignment="1">
      <alignment horizontal="right" vertical="center" wrapText="1"/>
    </xf>
    <xf numFmtId="0" fontId="36" fillId="3" borderId="11" xfId="0" applyFont="1" applyFill="1" applyBorder="1" applyAlignment="1">
      <alignment horizontal="center" vertical="center" wrapText="1"/>
    </xf>
    <xf numFmtId="0" fontId="35" fillId="0" borderId="11" xfId="0" applyFont="1" applyBorder="1" applyAlignment="1">
      <alignment horizontal="right" wrapText="1"/>
    </xf>
    <xf numFmtId="0" fontId="35" fillId="0" borderId="15" xfId="0" applyFont="1" applyBorder="1" applyAlignment="1">
      <alignment wrapText="1"/>
    </xf>
    <xf numFmtId="0" fontId="35" fillId="0" borderId="15" xfId="0" applyFont="1" applyBorder="1" applyAlignment="1">
      <alignment horizontal="right" wrapText="1"/>
    </xf>
    <xf numFmtId="0" fontId="3" fillId="0" borderId="4" xfId="0" applyFont="1" applyBorder="1" applyAlignment="1">
      <alignment horizontal="center" vertical="center" wrapText="1"/>
    </xf>
    <xf numFmtId="0" fontId="36" fillId="0" borderId="7" xfId="0" applyFont="1" applyBorder="1" applyAlignment="1">
      <alignment horizontal="right" vertical="center" wrapText="1"/>
    </xf>
    <xf numFmtId="0" fontId="0" fillId="0" borderId="15" xfId="0" applyFont="1" applyFill="1" applyBorder="1" applyAlignment="1">
      <alignment horizontal="center" vertical="center"/>
    </xf>
    <xf numFmtId="0" fontId="0" fillId="0" borderId="11" xfId="0" applyFont="1" applyFill="1" applyBorder="1" applyAlignment="1">
      <alignment horizontal="center" vertical="center"/>
    </xf>
    <xf numFmtId="0" fontId="19" fillId="0" borderId="11" xfId="0" applyFont="1" applyFill="1" applyBorder="1" applyAlignment="1">
      <alignment horizontal="center" vertical="center"/>
    </xf>
    <xf numFmtId="0" fontId="0" fillId="0" borderId="3" xfId="0" applyBorder="1" applyAlignment="1">
      <alignment horizontal="center"/>
    </xf>
    <xf numFmtId="0" fontId="0" fillId="0" borderId="25" xfId="0" applyBorder="1" applyAlignment="1">
      <alignment horizontal="center" vertical="center"/>
    </xf>
    <xf numFmtId="2" fontId="0" fillId="0" borderId="25" xfId="0" applyNumberFormat="1" applyBorder="1" applyAlignment="1">
      <alignment horizontal="center" vertical="center"/>
    </xf>
    <xf numFmtId="0" fontId="1" fillId="0" borderId="10" xfId="0" applyFont="1" applyBorder="1" applyAlignment="1">
      <alignment horizontal="center" vertical="center" textRotation="180"/>
    </xf>
    <xf numFmtId="0" fontId="1" fillId="0" borderId="14" xfId="0" applyFont="1" applyFill="1" applyBorder="1" applyAlignment="1">
      <alignment horizontal="center" vertical="center" textRotation="180"/>
    </xf>
    <xf numFmtId="0" fontId="0" fillId="0" borderId="11" xfId="0" applyNumberFormat="1" applyBorder="1" applyAlignment="1">
      <alignment horizontal="left" vertical="center"/>
    </xf>
    <xf numFmtId="0" fontId="0" fillId="2" borderId="11" xfId="0" applyNumberFormat="1" applyFont="1" applyFill="1" applyBorder="1" applyAlignment="1">
      <alignment horizontal="center" vertical="center"/>
    </xf>
    <xf numFmtId="0" fontId="2" fillId="0" borderId="5" xfId="0" applyNumberFormat="1" applyFont="1" applyBorder="1" applyAlignment="1">
      <alignment horizontal="center" vertical="center"/>
    </xf>
    <xf numFmtId="0" fontId="3" fillId="0" borderId="0" xfId="0" applyNumberFormat="1" applyFont="1" applyBorder="1" applyAlignment="1">
      <alignment horizontal="left" vertical="center"/>
    </xf>
    <xf numFmtId="0" fontId="16" fillId="0" borderId="10" xfId="0" applyNumberFormat="1" applyFont="1" applyBorder="1" applyAlignment="1">
      <alignment horizontal="center" vertical="center" textRotation="180"/>
    </xf>
    <xf numFmtId="0" fontId="0" fillId="2" borderId="7" xfId="0" applyNumberFormat="1" applyFont="1" applyFill="1" applyBorder="1" applyAlignment="1">
      <alignment horizontal="center" vertical="center"/>
    </xf>
    <xf numFmtId="0" fontId="0" fillId="0" borderId="11" xfId="0" applyNumberFormat="1" applyBorder="1" applyAlignment="1">
      <alignment horizontal="center" vertical="center"/>
    </xf>
    <xf numFmtId="0" fontId="0" fillId="0" borderId="0" xfId="0" applyNumberFormat="1"/>
    <xf numFmtId="0" fontId="1" fillId="0" borderId="7" xfId="0" applyFont="1" applyBorder="1" applyAlignment="1">
      <alignment horizontal="left" vertical="center"/>
    </xf>
    <xf numFmtId="0" fontId="1" fillId="0" borderId="28" xfId="0" applyFont="1" applyFill="1" applyBorder="1" applyAlignment="1">
      <alignment horizontal="center" vertical="center" textRotation="180"/>
    </xf>
    <xf numFmtId="0" fontId="0" fillId="0" borderId="11" xfId="0" applyBorder="1" applyAlignment="1">
      <alignment horizontal="center"/>
    </xf>
    <xf numFmtId="0" fontId="16" fillId="0" borderId="28" xfId="0" applyFont="1" applyFill="1" applyBorder="1" applyAlignment="1">
      <alignment horizontal="center" vertical="center" textRotation="180"/>
    </xf>
    <xf numFmtId="0" fontId="1" fillId="0" borderId="10" xfId="0" applyNumberFormat="1" applyFont="1" applyBorder="1" applyAlignment="1">
      <alignment horizontal="center" vertical="center" textRotation="180"/>
    </xf>
    <xf numFmtId="0" fontId="0" fillId="0" borderId="11" xfId="0" applyFont="1" applyBorder="1" applyAlignment="1">
      <alignment horizontal="center" vertical="center" textRotation="255"/>
    </xf>
    <xf numFmtId="0" fontId="24" fillId="4" borderId="3" xfId="0" applyFont="1" applyFill="1" applyBorder="1" applyAlignment="1">
      <alignment horizontal="center" vertical="center"/>
    </xf>
    <xf numFmtId="0" fontId="24" fillId="4" borderId="11" xfId="0" applyFont="1" applyFill="1" applyBorder="1" applyAlignment="1">
      <alignment horizontal="center" vertical="center"/>
    </xf>
    <xf numFmtId="0" fontId="24" fillId="4" borderId="11" xfId="0" applyNumberFormat="1" applyFont="1" applyFill="1" applyBorder="1" applyAlignment="1">
      <alignment horizontal="center" vertical="center"/>
    </xf>
    <xf numFmtId="0" fontId="24" fillId="5" borderId="3" xfId="0" applyFont="1" applyFill="1" applyBorder="1" applyAlignment="1">
      <alignment horizontal="center" vertical="center"/>
    </xf>
    <xf numFmtId="0" fontId="24" fillId="5" borderId="11" xfId="0" applyFont="1" applyFill="1" applyBorder="1" applyAlignment="1">
      <alignment horizontal="center" vertical="center"/>
    </xf>
    <xf numFmtId="0" fontId="25" fillId="0" borderId="3" xfId="0" applyFont="1" applyBorder="1" applyAlignment="1">
      <alignment horizontal="center"/>
    </xf>
    <xf numFmtId="0" fontId="25" fillId="0" borderId="11" xfId="0" applyFont="1" applyBorder="1" applyAlignment="1">
      <alignment horizontal="center"/>
    </xf>
    <xf numFmtId="0" fontId="25" fillId="5" borderId="11" xfId="0" applyFont="1" applyFill="1" applyBorder="1" applyAlignment="1">
      <alignment horizontal="center" vertical="center"/>
    </xf>
    <xf numFmtId="0" fontId="31" fillId="5" borderId="3" xfId="0" applyFont="1" applyFill="1" applyBorder="1" applyAlignment="1">
      <alignment horizontal="center" vertical="center"/>
    </xf>
    <xf numFmtId="0" fontId="31" fillId="5" borderId="11" xfId="0" applyFont="1" applyFill="1" applyBorder="1" applyAlignment="1">
      <alignment horizontal="center" vertical="center"/>
    </xf>
    <xf numFmtId="0" fontId="32" fillId="5" borderId="11" xfId="0" applyFont="1" applyFill="1" applyBorder="1" applyAlignment="1">
      <alignment horizontal="center" vertical="center"/>
    </xf>
    <xf numFmtId="0" fontId="0" fillId="5" borderId="3" xfId="0" applyFont="1" applyFill="1" applyBorder="1" applyAlignment="1">
      <alignment horizontal="center" vertical="center"/>
    </xf>
    <xf numFmtId="0" fontId="0" fillId="5" borderId="11" xfId="0" applyFont="1" applyFill="1" applyBorder="1" applyAlignment="1">
      <alignment horizontal="center" vertical="center"/>
    </xf>
    <xf numFmtId="0" fontId="19" fillId="5" borderId="11" xfId="0" applyFont="1" applyFill="1" applyBorder="1" applyAlignment="1">
      <alignment horizontal="center" vertical="center"/>
    </xf>
    <xf numFmtId="0" fontId="25" fillId="2" borderId="3" xfId="0" applyFont="1" applyFill="1" applyBorder="1" applyAlignment="1">
      <alignment horizontal="center" vertical="center"/>
    </xf>
    <xf numFmtId="2" fontId="25" fillId="0" borderId="11" xfId="0" applyNumberFormat="1" applyFont="1" applyBorder="1" applyAlignment="1">
      <alignment horizontal="center" vertical="center"/>
    </xf>
    <xf numFmtId="1" fontId="25" fillId="0" borderId="11" xfId="0" applyNumberFormat="1" applyFont="1" applyBorder="1" applyAlignment="1">
      <alignment horizontal="center" vertical="center"/>
    </xf>
    <xf numFmtId="0" fontId="0" fillId="6" borderId="11" xfId="0" applyFont="1" applyFill="1" applyBorder="1" applyAlignment="1">
      <alignment horizontal="center" vertical="center"/>
    </xf>
    <xf numFmtId="0" fontId="19" fillId="6" borderId="11" xfId="0" applyFont="1" applyFill="1" applyBorder="1" applyAlignment="1">
      <alignment horizontal="center" vertical="center"/>
    </xf>
    <xf numFmtId="0" fontId="0" fillId="5" borderId="11" xfId="0" applyFill="1" applyBorder="1" applyAlignment="1">
      <alignment horizontal="center" vertical="center"/>
    </xf>
    <xf numFmtId="0" fontId="0" fillId="5" borderId="11" xfId="0" applyFill="1" applyBorder="1"/>
    <xf numFmtId="0" fontId="19" fillId="5" borderId="11" xfId="0" applyNumberFormat="1" applyFont="1" applyFill="1" applyBorder="1" applyAlignment="1">
      <alignment horizontal="center" vertical="center"/>
    </xf>
    <xf numFmtId="0" fontId="0" fillId="0" borderId="11" xfId="0" applyBorder="1" applyAlignment="1">
      <alignment horizontal="center"/>
    </xf>
    <xf numFmtId="0" fontId="0" fillId="0" borderId="11" xfId="0" applyBorder="1" applyAlignment="1">
      <alignment horizontal="center"/>
    </xf>
    <xf numFmtId="0" fontId="8" fillId="0" borderId="10" xfId="0" applyFont="1" applyBorder="1" applyAlignment="1">
      <alignment horizontal="center" vertical="top" textRotation="180"/>
    </xf>
    <xf numFmtId="0" fontId="9" fillId="0" borderId="10" xfId="0" applyFont="1" applyBorder="1" applyAlignment="1">
      <alignment horizontal="center" vertical="top" textRotation="180"/>
    </xf>
    <xf numFmtId="0" fontId="0" fillId="0" borderId="10" xfId="0" applyFont="1" applyBorder="1" applyAlignment="1">
      <alignment horizontal="center" vertical="top" textRotation="180"/>
    </xf>
    <xf numFmtId="0" fontId="0" fillId="0" borderId="11" xfId="0" applyBorder="1" applyAlignment="1">
      <alignment horizontal="center"/>
    </xf>
    <xf numFmtId="0" fontId="0" fillId="2" borderId="1" xfId="0" applyFont="1" applyFill="1" applyBorder="1" applyAlignment="1">
      <alignment horizontal="center" vertical="center"/>
    </xf>
    <xf numFmtId="0" fontId="19" fillId="2" borderId="1" xfId="0" applyFont="1" applyFill="1" applyBorder="1" applyAlignment="1">
      <alignment horizontal="center" vertical="center"/>
    </xf>
    <xf numFmtId="0" fontId="19" fillId="2" borderId="3" xfId="0" applyFont="1" applyFill="1" applyBorder="1" applyAlignment="1">
      <alignment horizontal="center" vertical="center"/>
    </xf>
    <xf numFmtId="0" fontId="27" fillId="0" borderId="11" xfId="0" applyFont="1" applyBorder="1" applyAlignment="1">
      <alignment horizontal="center"/>
    </xf>
    <xf numFmtId="0" fontId="27" fillId="0" borderId="3" xfId="0" applyFont="1" applyBorder="1" applyAlignment="1">
      <alignment horizontal="center"/>
    </xf>
    <xf numFmtId="0" fontId="27" fillId="3" borderId="11" xfId="0" applyFont="1" applyFill="1" applyBorder="1" applyAlignment="1">
      <alignment horizontal="center"/>
    </xf>
    <xf numFmtId="0" fontId="0" fillId="0" borderId="1" xfId="0" applyBorder="1" applyAlignment="1">
      <alignment horizontal="center"/>
    </xf>
    <xf numFmtId="0" fontId="12" fillId="0" borderId="8" xfId="0" applyFont="1" applyBorder="1" applyAlignment="1">
      <alignment horizontal="left" vertical="center" wrapText="1"/>
    </xf>
    <xf numFmtId="0" fontId="10" fillId="0" borderId="8" xfId="0" applyFont="1" applyBorder="1" applyAlignment="1">
      <alignment horizontal="left" vertical="center" wrapText="1"/>
    </xf>
    <xf numFmtId="0" fontId="10" fillId="0" borderId="12" xfId="0" applyFont="1" applyBorder="1" applyAlignment="1">
      <alignment horizontal="left" vertical="center" wrapText="1"/>
    </xf>
    <xf numFmtId="0" fontId="12" fillId="0" borderId="10" xfId="0" applyFont="1" applyBorder="1" applyAlignment="1">
      <alignment horizontal="left" vertical="center" wrapText="1"/>
    </xf>
    <xf numFmtId="0" fontId="10" fillId="0" borderId="10" xfId="0" applyFont="1" applyBorder="1" applyAlignment="1">
      <alignment horizontal="left" vertical="center" wrapText="1"/>
    </xf>
    <xf numFmtId="0" fontId="10" fillId="0" borderId="14" xfId="0" applyFont="1" applyBorder="1" applyAlignment="1">
      <alignment horizontal="left" vertical="center" wrapText="1"/>
    </xf>
    <xf numFmtId="0" fontId="3" fillId="0" borderId="8" xfId="0" applyFont="1" applyBorder="1" applyAlignment="1">
      <alignment horizontal="left" vertical="center" wrapText="1"/>
    </xf>
    <xf numFmtId="0" fontId="11" fillId="0" borderId="8" xfId="0" applyFont="1" applyBorder="1" applyAlignment="1">
      <alignment horizontal="left" vertical="center" wrapText="1"/>
    </xf>
    <xf numFmtId="0" fontId="11" fillId="0" borderId="12" xfId="0" applyFont="1" applyBorder="1" applyAlignment="1">
      <alignment horizontal="left" vertical="center" wrapText="1"/>
    </xf>
    <xf numFmtId="0" fontId="10" fillId="0" borderId="19" xfId="0" applyFont="1" applyBorder="1" applyAlignment="1">
      <alignment horizontal="center" vertical="center" wrapText="1"/>
    </xf>
    <xf numFmtId="0" fontId="10" fillId="0" borderId="20" xfId="0" applyFont="1" applyBorder="1" applyAlignment="1">
      <alignment horizontal="center" vertical="center" wrapText="1"/>
    </xf>
    <xf numFmtId="0" fontId="10" fillId="0" borderId="21" xfId="0" applyFont="1" applyBorder="1" applyAlignment="1">
      <alignment horizontal="center" vertical="center" wrapText="1"/>
    </xf>
    <xf numFmtId="0" fontId="10" fillId="0" borderId="10" xfId="0" applyFont="1" applyBorder="1" applyAlignment="1">
      <alignment horizontal="center" vertical="center" wrapText="1"/>
    </xf>
    <xf numFmtId="0" fontId="10" fillId="0" borderId="22" xfId="0" applyFont="1" applyBorder="1" applyAlignment="1">
      <alignment horizontal="center" vertical="center" wrapText="1"/>
    </xf>
    <xf numFmtId="0" fontId="10" fillId="0" borderId="23" xfId="0" applyFont="1" applyBorder="1" applyAlignment="1">
      <alignment horizontal="center" vertical="center" wrapText="1"/>
    </xf>
    <xf numFmtId="0" fontId="10" fillId="0" borderId="22" xfId="0" applyFont="1" applyBorder="1" applyAlignment="1">
      <alignment horizontal="left" vertical="center" wrapText="1"/>
    </xf>
    <xf numFmtId="0" fontId="10" fillId="0" borderId="23" xfId="0" applyFont="1" applyBorder="1" applyAlignment="1">
      <alignment horizontal="left" vertical="center" wrapText="1"/>
    </xf>
    <xf numFmtId="0" fontId="10" fillId="0" borderId="19" xfId="0" applyFont="1" applyBorder="1" applyAlignment="1">
      <alignment horizontal="left" vertical="center" wrapText="1"/>
    </xf>
    <xf numFmtId="0" fontId="10" fillId="0" borderId="20" xfId="0" applyFont="1" applyBorder="1" applyAlignment="1">
      <alignment horizontal="left" vertical="center" wrapText="1"/>
    </xf>
    <xf numFmtId="0" fontId="10" fillId="0" borderId="21" xfId="0" applyFont="1" applyBorder="1" applyAlignment="1">
      <alignment horizontal="left" vertical="center" wrapText="1"/>
    </xf>
    <xf numFmtId="0" fontId="11" fillId="0" borderId="10" xfId="0" applyFont="1" applyBorder="1" applyAlignment="1">
      <alignment horizontal="left" vertical="center" wrapText="1"/>
    </xf>
    <xf numFmtId="0" fontId="11" fillId="0" borderId="22" xfId="0" applyFont="1" applyBorder="1" applyAlignment="1">
      <alignment horizontal="left" vertical="center" wrapText="1"/>
    </xf>
    <xf numFmtId="0" fontId="11" fillId="0" borderId="23" xfId="0" applyFont="1" applyBorder="1" applyAlignment="1">
      <alignment horizontal="left" vertical="center" wrapText="1"/>
    </xf>
    <xf numFmtId="0" fontId="11" fillId="0" borderId="19" xfId="0" applyFont="1" applyBorder="1" applyAlignment="1">
      <alignment horizontal="left" vertical="center" wrapText="1"/>
    </xf>
    <xf numFmtId="0" fontId="11" fillId="0" borderId="20" xfId="0" applyFont="1" applyBorder="1" applyAlignment="1">
      <alignment horizontal="left" vertical="center" wrapText="1"/>
    </xf>
    <xf numFmtId="0" fontId="11" fillId="0" borderId="21" xfId="0" applyFont="1" applyBorder="1" applyAlignment="1">
      <alignment horizontal="left" vertical="center" wrapText="1"/>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3" fillId="0" borderId="7" xfId="0" applyFont="1" applyBorder="1" applyAlignment="1">
      <alignment horizontal="left" vertical="center"/>
    </xf>
    <xf numFmtId="0" fontId="0" fillId="0" borderId="8" xfId="0" applyBorder="1" applyAlignment="1">
      <alignment horizontal="left" vertical="center"/>
    </xf>
    <xf numFmtId="0" fontId="13" fillId="0" borderId="10" xfId="0" applyFont="1" applyBorder="1" applyAlignment="1">
      <alignment horizontal="left" vertical="center" wrapText="1"/>
    </xf>
    <xf numFmtId="0" fontId="13" fillId="0" borderId="22" xfId="0" applyFont="1" applyBorder="1" applyAlignment="1">
      <alignment horizontal="left" vertical="center" wrapText="1"/>
    </xf>
    <xf numFmtId="0" fontId="13" fillId="0" borderId="23" xfId="0" applyFont="1" applyBorder="1" applyAlignment="1">
      <alignment horizontal="left" vertical="center" wrapText="1"/>
    </xf>
    <xf numFmtId="0" fontId="3" fillId="0" borderId="10" xfId="0" applyFont="1" applyBorder="1" applyAlignment="1">
      <alignment horizontal="left" vertical="center" wrapText="1"/>
    </xf>
    <xf numFmtId="0" fontId="3" fillId="0" borderId="22" xfId="0" applyFont="1" applyBorder="1" applyAlignment="1">
      <alignment horizontal="left" vertical="center" wrapText="1"/>
    </xf>
    <xf numFmtId="0" fontId="3" fillId="0" borderId="23" xfId="0" applyFont="1" applyBorder="1" applyAlignment="1">
      <alignment horizontal="left" vertical="center" wrapText="1"/>
    </xf>
    <xf numFmtId="0" fontId="3" fillId="0" borderId="19" xfId="0" applyFont="1" applyBorder="1" applyAlignment="1">
      <alignment horizontal="left" vertical="center" wrapText="1"/>
    </xf>
    <xf numFmtId="0" fontId="3" fillId="0" borderId="20" xfId="0" applyFont="1" applyBorder="1" applyAlignment="1">
      <alignment horizontal="left" vertical="center" wrapText="1"/>
    </xf>
    <xf numFmtId="0" fontId="3" fillId="0" borderId="21" xfId="0" applyFont="1" applyBorder="1" applyAlignment="1">
      <alignment horizontal="left" vertical="center" wrapText="1"/>
    </xf>
    <xf numFmtId="0" fontId="12" fillId="0" borderId="12" xfId="0" applyFont="1" applyBorder="1" applyAlignment="1">
      <alignment horizontal="left" vertical="center" wrapText="1"/>
    </xf>
    <xf numFmtId="0" fontId="12" fillId="0" borderId="14" xfId="0" applyFont="1" applyBorder="1" applyAlignment="1">
      <alignment horizontal="left" vertical="center" wrapText="1"/>
    </xf>
    <xf numFmtId="0" fontId="2" fillId="0" borderId="9" xfId="0" applyFont="1" applyBorder="1" applyAlignment="1">
      <alignment horizontal="center" vertical="center"/>
    </xf>
    <xf numFmtId="0" fontId="2" fillId="0" borderId="0" xfId="0" applyFont="1" applyBorder="1" applyAlignment="1">
      <alignment horizontal="center" vertical="center"/>
    </xf>
    <xf numFmtId="0" fontId="3" fillId="0" borderId="17" xfId="0" applyFont="1" applyBorder="1" applyAlignment="1">
      <alignment horizontal="center" vertical="center"/>
    </xf>
    <xf numFmtId="0" fontId="3" fillId="0" borderId="18" xfId="0" applyFont="1" applyBorder="1" applyAlignment="1">
      <alignment horizontal="center" vertical="center"/>
    </xf>
    <xf numFmtId="0" fontId="12" fillId="0" borderId="11" xfId="0" applyFont="1" applyBorder="1" applyAlignment="1">
      <alignment horizontal="left" vertical="center" wrapText="1"/>
    </xf>
    <xf numFmtId="0" fontId="10" fillId="0" borderId="11" xfId="0" applyFont="1" applyBorder="1" applyAlignment="1">
      <alignment horizontal="left" vertical="center" wrapText="1"/>
    </xf>
    <xf numFmtId="0" fontId="11" fillId="0" borderId="11" xfId="0" applyFont="1" applyBorder="1" applyAlignment="1">
      <alignment horizontal="left" vertical="center" wrapText="1"/>
    </xf>
    <xf numFmtId="0" fontId="3" fillId="0" borderId="11" xfId="0" applyFont="1" applyBorder="1" applyAlignment="1">
      <alignment horizontal="left" vertical="center" wrapText="1"/>
    </xf>
    <xf numFmtId="0" fontId="13" fillId="0" borderId="11" xfId="0" applyFont="1" applyBorder="1" applyAlignment="1">
      <alignment horizontal="left" vertical="center" wrapText="1"/>
    </xf>
    <xf numFmtId="0" fontId="21" fillId="0" borderId="11" xfId="0" applyFont="1" applyBorder="1" applyAlignment="1">
      <alignment horizontal="left" vertical="center" wrapText="1"/>
    </xf>
    <xf numFmtId="0" fontId="0" fillId="0" borderId="15" xfId="0" applyBorder="1" applyAlignment="1">
      <alignment horizontal="left" vertical="center"/>
    </xf>
    <xf numFmtId="0" fontId="0" fillId="0" borderId="11" xfId="0" applyBorder="1" applyAlignment="1">
      <alignment horizontal="left" vertical="center"/>
    </xf>
    <xf numFmtId="0" fontId="10" fillId="0" borderId="15" xfId="0" applyFont="1" applyBorder="1" applyAlignment="1">
      <alignment horizontal="left" vertical="center" wrapText="1"/>
    </xf>
    <xf numFmtId="0" fontId="6" fillId="0" borderId="11" xfId="0" applyFont="1" applyBorder="1" applyAlignment="1">
      <alignment horizontal="left" vertical="center" wrapText="1"/>
    </xf>
    <xf numFmtId="0" fontId="0" fillId="0" borderId="0" xfId="0" applyAlignment="1">
      <alignment horizontal="center"/>
    </xf>
    <xf numFmtId="0" fontId="10" fillId="0" borderId="7" xfId="0" applyFont="1" applyBorder="1" applyAlignment="1">
      <alignment horizontal="left" vertical="center" wrapText="1"/>
    </xf>
    <xf numFmtId="0" fontId="10" fillId="0" borderId="24" xfId="0" applyFont="1" applyBorder="1" applyAlignment="1">
      <alignment horizontal="left" vertical="center" wrapText="1"/>
    </xf>
    <xf numFmtId="0" fontId="11" fillId="0" borderId="7" xfId="0" applyFont="1" applyBorder="1" applyAlignment="1">
      <alignment horizontal="left" vertical="center" wrapText="1"/>
    </xf>
    <xf numFmtId="0" fontId="11" fillId="0" borderId="24" xfId="0" applyFont="1" applyBorder="1" applyAlignment="1">
      <alignment horizontal="left" vertical="center" wrapText="1"/>
    </xf>
    <xf numFmtId="0" fontId="11" fillId="0" borderId="15" xfId="0" applyFont="1" applyBorder="1" applyAlignment="1">
      <alignment horizontal="left" vertical="center" wrapText="1"/>
    </xf>
    <xf numFmtId="0" fontId="12" fillId="0" borderId="11" xfId="0" applyFont="1" applyBorder="1" applyAlignment="1">
      <alignment horizontal="center" vertical="center" wrapText="1"/>
    </xf>
    <xf numFmtId="0" fontId="12" fillId="0" borderId="11" xfId="0" applyFont="1" applyBorder="1" applyAlignment="1">
      <alignment horizontal="center" wrapText="1"/>
    </xf>
    <xf numFmtId="0" fontId="12" fillId="0" borderId="7" xfId="0" applyFont="1" applyBorder="1" applyAlignment="1">
      <alignment horizontal="left" vertical="center" wrapText="1"/>
    </xf>
    <xf numFmtId="0" fontId="12" fillId="0" borderId="24" xfId="0" applyFont="1" applyBorder="1" applyAlignment="1">
      <alignment horizontal="left" vertical="center" wrapText="1"/>
    </xf>
    <xf numFmtId="0" fontId="12" fillId="0" borderId="15" xfId="0" applyFont="1" applyBorder="1" applyAlignment="1">
      <alignment horizontal="left" vertical="center" wrapText="1"/>
    </xf>
    <xf numFmtId="0" fontId="12" fillId="0" borderId="7" xfId="0" applyFont="1" applyBorder="1" applyAlignment="1">
      <alignment horizontal="center" vertical="center" wrapText="1"/>
    </xf>
    <xf numFmtId="0" fontId="12" fillId="0" borderId="24" xfId="0" applyFont="1" applyBorder="1" applyAlignment="1">
      <alignment horizontal="center" vertical="center" wrapText="1"/>
    </xf>
    <xf numFmtId="0" fontId="12" fillId="0" borderId="15"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24" xfId="0" applyFont="1" applyBorder="1" applyAlignment="1">
      <alignment horizontal="center" vertical="center" wrapText="1"/>
    </xf>
    <xf numFmtId="0" fontId="10" fillId="0" borderId="15" xfId="0" applyFont="1" applyBorder="1" applyAlignment="1">
      <alignment horizontal="center" vertical="center" wrapText="1"/>
    </xf>
    <xf numFmtId="0" fontId="34" fillId="0" borderId="7" xfId="0" applyFont="1" applyBorder="1" applyAlignment="1">
      <alignment horizontal="left" vertical="center" wrapText="1"/>
    </xf>
    <xf numFmtId="0" fontId="34" fillId="0" borderId="24" xfId="0" applyFont="1" applyBorder="1" applyAlignment="1">
      <alignment horizontal="left" vertical="center" wrapText="1"/>
    </xf>
    <xf numFmtId="0" fontId="34" fillId="0" borderId="15" xfId="0" applyFont="1" applyBorder="1" applyAlignment="1">
      <alignment horizontal="left" vertical="center" wrapText="1"/>
    </xf>
    <xf numFmtId="0" fontId="29" fillId="0" borderId="11" xfId="0" applyFont="1" applyBorder="1" applyAlignment="1">
      <alignment horizontal="left" vertical="center" wrapText="1"/>
    </xf>
    <xf numFmtId="0" fontId="11" fillId="0" borderId="7" xfId="0" applyFont="1" applyBorder="1" applyAlignment="1">
      <alignment horizontal="center" vertical="center" wrapText="1"/>
    </xf>
    <xf numFmtId="0" fontId="11" fillId="0" borderId="24" xfId="0" applyFont="1" applyBorder="1" applyAlignment="1">
      <alignment horizontal="center" vertical="center" wrapText="1"/>
    </xf>
    <xf numFmtId="0" fontId="11" fillId="0" borderId="15" xfId="0" applyFont="1" applyBorder="1" applyAlignment="1">
      <alignment horizontal="center" vertical="center" wrapText="1"/>
    </xf>
    <xf numFmtId="0" fontId="0" fillId="0" borderId="11" xfId="0" applyBorder="1" applyAlignment="1">
      <alignment horizontal="center"/>
    </xf>
    <xf numFmtId="0" fontId="38" fillId="0" borderId="7" xfId="0" applyFont="1" applyBorder="1" applyAlignment="1">
      <alignment horizontal="left" vertical="center"/>
    </xf>
    <xf numFmtId="0" fontId="38" fillId="0" borderId="24" xfId="0" applyFont="1" applyBorder="1" applyAlignment="1">
      <alignment horizontal="left" vertical="center"/>
    </xf>
    <xf numFmtId="0" fontId="38" fillId="0" borderId="15" xfId="0" applyFont="1" applyBorder="1" applyAlignment="1">
      <alignment horizontal="left" vertical="center"/>
    </xf>
    <xf numFmtId="0" fontId="21" fillId="0" borderId="7" xfId="0" applyFont="1" applyBorder="1" applyAlignment="1">
      <alignment horizontal="center" vertical="center" wrapText="1"/>
    </xf>
    <xf numFmtId="0" fontId="21" fillId="0" borderId="24" xfId="0" applyFont="1" applyBorder="1" applyAlignment="1">
      <alignment horizontal="center" vertical="center" wrapText="1"/>
    </xf>
    <xf numFmtId="0" fontId="21" fillId="0" borderId="15" xfId="0" applyFont="1" applyBorder="1" applyAlignment="1">
      <alignment horizontal="center" vertical="center" wrapText="1"/>
    </xf>
    <xf numFmtId="0" fontId="28" fillId="0" borderId="11" xfId="0" applyFont="1" applyBorder="1" applyAlignment="1">
      <alignment horizontal="left" vertical="center" wrapText="1"/>
    </xf>
    <xf numFmtId="0" fontId="13" fillId="0" borderId="7" xfId="0" applyFont="1" applyBorder="1" applyAlignment="1">
      <alignment horizontal="left" vertical="center" wrapText="1"/>
    </xf>
    <xf numFmtId="0" fontId="13" fillId="0" borderId="24" xfId="0" applyFont="1" applyBorder="1" applyAlignment="1">
      <alignment horizontal="left" vertical="center" wrapText="1"/>
    </xf>
    <xf numFmtId="0" fontId="13" fillId="0" borderId="15" xfId="0" applyFont="1" applyBorder="1" applyAlignment="1">
      <alignment horizontal="left" vertical="center" wrapText="1"/>
    </xf>
    <xf numFmtId="0" fontId="12" fillId="0" borderId="4" xfId="0" applyFont="1" applyBorder="1" applyAlignment="1">
      <alignment horizontal="center" vertical="center" wrapText="1"/>
    </xf>
    <xf numFmtId="0" fontId="12" fillId="0" borderId="9" xfId="0" applyFont="1" applyBorder="1" applyAlignment="1">
      <alignment horizontal="center" vertical="center" wrapText="1"/>
    </xf>
    <xf numFmtId="0" fontId="12" fillId="0" borderId="17" xfId="0" applyFont="1" applyBorder="1" applyAlignment="1">
      <alignment horizontal="center" vertical="center" wrapText="1"/>
    </xf>
    <xf numFmtId="0" fontId="12" fillId="0" borderId="1" xfId="0" applyFont="1" applyBorder="1" applyAlignment="1">
      <alignment horizontal="left" vertical="center" wrapText="1"/>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12" fillId="0" borderId="8" xfId="0" applyFont="1" applyBorder="1" applyAlignment="1">
      <alignment horizontal="left" vertical="center"/>
    </xf>
    <xf numFmtId="0" fontId="12" fillId="0" borderId="10" xfId="0" applyFont="1" applyBorder="1" applyAlignment="1">
      <alignment horizontal="left" vertical="center"/>
    </xf>
    <xf numFmtId="0" fontId="12" fillId="0" borderId="29" xfId="0" applyFont="1" applyBorder="1" applyAlignment="1">
      <alignment horizontal="center" vertical="center"/>
    </xf>
    <xf numFmtId="0" fontId="12" fillId="0" borderId="18" xfId="0" applyFont="1" applyBorder="1" applyAlignment="1">
      <alignment horizontal="center" vertical="center"/>
    </xf>
    <xf numFmtId="0" fontId="26" fillId="0" borderId="11" xfId="0" applyFont="1" applyBorder="1" applyAlignment="1">
      <alignment horizontal="left" vertical="center" wrapText="1"/>
    </xf>
    <xf numFmtId="0" fontId="10" fillId="0" borderId="25" xfId="0" applyFont="1" applyBorder="1" applyAlignment="1">
      <alignment horizontal="left" vertical="center" wrapText="1"/>
    </xf>
    <xf numFmtId="0" fontId="12" fillId="0" borderId="30" xfId="0" applyFont="1" applyBorder="1" applyAlignment="1">
      <alignment horizontal="center" vertical="center"/>
    </xf>
    <xf numFmtId="0" fontId="12" fillId="0" borderId="0" xfId="0" applyFont="1" applyBorder="1" applyAlignment="1">
      <alignment horizontal="center" vertical="center"/>
    </xf>
    <xf numFmtId="0" fontId="13" fillId="0" borderId="8" xfId="0" applyFont="1" applyBorder="1" applyAlignment="1">
      <alignment horizontal="left" vertical="center" wrapText="1"/>
    </xf>
    <xf numFmtId="0" fontId="3" fillId="0" borderId="12" xfId="0" applyFont="1" applyBorder="1" applyAlignment="1">
      <alignment horizontal="left" vertical="center" wrapText="1"/>
    </xf>
    <xf numFmtId="0" fontId="11" fillId="0" borderId="14" xfId="0" applyFont="1" applyBorder="1" applyAlignment="1">
      <alignment horizontal="left" vertical="center" wrapText="1"/>
    </xf>
    <xf numFmtId="0" fontId="0" fillId="0" borderId="7" xfId="0" applyBorder="1" applyAlignment="1">
      <alignment horizontal="center"/>
    </xf>
    <xf numFmtId="0" fontId="0" fillId="0" borderId="24" xfId="0" applyBorder="1" applyAlignment="1">
      <alignment horizontal="center"/>
    </xf>
    <xf numFmtId="0" fontId="0" fillId="0" borderId="15" xfId="0" applyBorder="1" applyAlignment="1">
      <alignment horizontal="center"/>
    </xf>
    <xf numFmtId="0" fontId="3" fillId="0" borderId="17" xfId="0" applyFont="1" applyBorder="1" applyAlignment="1">
      <alignment horizontal="left" vertical="center"/>
    </xf>
    <xf numFmtId="0" fontId="3" fillId="0" borderId="18" xfId="0" applyFont="1" applyBorder="1" applyAlignment="1">
      <alignment horizontal="left" vertical="center"/>
    </xf>
  </cellXfs>
  <cellStyles count="1">
    <cellStyle name="Normal" xfId="0" builtinId="0"/>
  </cellStyles>
  <dxfs count="8">
    <dxf>
      <fill>
        <patternFill>
          <bgColor theme="1" tint="0.24994659260841701"/>
        </patternFill>
      </fill>
    </dxf>
    <dxf>
      <fill>
        <patternFill>
          <bgColor theme="1" tint="0.24994659260841701"/>
        </patternFill>
      </fill>
    </dxf>
    <dxf>
      <fill>
        <patternFill>
          <bgColor theme="1" tint="0.24994659260841701"/>
        </patternFill>
      </fill>
    </dxf>
    <dxf>
      <fill>
        <patternFill>
          <bgColor theme="1" tint="0.24994659260841701"/>
        </patternFill>
      </fill>
    </dxf>
    <dxf>
      <fill>
        <patternFill>
          <bgColor theme="1" tint="0.34998626667073579"/>
        </patternFill>
      </fill>
    </dxf>
    <dxf>
      <fill>
        <patternFill>
          <bgColor theme="1" tint="0.24994659260841701"/>
        </patternFill>
      </fill>
    </dxf>
    <dxf>
      <fill>
        <patternFill>
          <bgColor theme="1" tint="0.24994659260841701"/>
        </patternFill>
      </fill>
    </dxf>
    <dxf>
      <fill>
        <patternFill>
          <bgColor theme="1" tint="0.24994659260841701"/>
        </patternFill>
      </fill>
    </dxf>
  </dxfs>
  <tableStyles count="0" defaultTableStyle="TableStyleMedium2" defaultPivotStyle="PivotStyleLight16"/>
  <colors>
    <mruColors>
      <color rgb="FFC4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235"/>
  <sheetViews>
    <sheetView tabSelected="1" topLeftCell="A70" workbookViewId="0">
      <selection activeCell="B6" sqref="B6:B161"/>
    </sheetView>
  </sheetViews>
  <sheetFormatPr defaultRowHeight="15" x14ac:dyDescent="0.25"/>
  <cols>
    <col min="1" max="1" width="4" customWidth="1"/>
    <col min="2" max="2" width="36.85546875" customWidth="1"/>
    <col min="3" max="4" width="4.140625" style="10" customWidth="1"/>
    <col min="6" max="6" width="6" customWidth="1"/>
    <col min="7" max="7" width="7" customWidth="1"/>
    <col min="8" max="10" width="6.28515625" customWidth="1"/>
    <col min="11" max="11" width="5.85546875" customWidth="1"/>
    <col min="12" max="12" width="6.5703125" customWidth="1"/>
    <col min="13" max="13" width="5.5703125" customWidth="1"/>
    <col min="14" max="14" width="6.7109375" customWidth="1"/>
    <col min="15" max="15" width="6.140625" customWidth="1"/>
    <col min="16" max="16" width="6.28515625" customWidth="1"/>
    <col min="17" max="17" width="7.7109375" customWidth="1"/>
    <col min="18" max="18" width="6.140625" customWidth="1"/>
    <col min="19" max="19" width="6" customWidth="1"/>
    <col min="20" max="21" width="5" style="37" customWidth="1"/>
    <col min="22" max="22" width="4.7109375" customWidth="1"/>
    <col min="23" max="23" width="30.85546875" customWidth="1"/>
    <col min="24" max="24" width="3.85546875" customWidth="1"/>
    <col min="25" max="25" width="3.7109375" customWidth="1"/>
  </cols>
  <sheetData>
    <row r="1" spans="1:24" ht="20.25" x14ac:dyDescent="0.25">
      <c r="A1" s="272" t="s">
        <v>33</v>
      </c>
      <c r="B1" s="273"/>
      <c r="C1" s="273"/>
      <c r="D1" s="273"/>
      <c r="E1" s="273"/>
      <c r="F1" s="273"/>
      <c r="G1" s="273"/>
      <c r="H1" s="273"/>
      <c r="I1" s="273"/>
      <c r="J1" s="273"/>
      <c r="K1" s="273"/>
      <c r="L1" s="273"/>
      <c r="M1" s="273"/>
      <c r="N1" s="273"/>
      <c r="O1" s="273"/>
      <c r="P1" s="273"/>
      <c r="Q1" s="273"/>
      <c r="R1" s="273"/>
      <c r="S1" s="273"/>
      <c r="T1" s="273"/>
      <c r="U1" s="274"/>
    </row>
    <row r="2" spans="1:24" ht="18.75" customHeight="1" x14ac:dyDescent="0.25">
      <c r="A2" s="1"/>
      <c r="B2" s="2"/>
      <c r="C2" s="2"/>
      <c r="D2" s="2"/>
      <c r="E2" s="2"/>
      <c r="F2" s="2"/>
      <c r="G2" s="2"/>
      <c r="H2" s="2"/>
      <c r="I2" s="2"/>
      <c r="J2" s="2"/>
      <c r="K2" s="2"/>
      <c r="L2" s="2"/>
      <c r="M2" s="2"/>
      <c r="N2" s="2"/>
      <c r="O2" s="2"/>
      <c r="P2" s="2"/>
      <c r="Q2" s="2"/>
      <c r="R2" s="2"/>
      <c r="S2" s="2"/>
      <c r="T2" s="35"/>
      <c r="U2" s="36"/>
    </row>
    <row r="3" spans="1:24" x14ac:dyDescent="0.25">
      <c r="A3" s="275" t="s">
        <v>34</v>
      </c>
      <c r="B3" s="275"/>
      <c r="C3" s="275"/>
      <c r="D3" s="275"/>
      <c r="E3" s="275"/>
      <c r="F3" s="275"/>
      <c r="G3" s="275"/>
      <c r="H3" s="275"/>
      <c r="I3" s="275"/>
      <c r="J3" s="275"/>
      <c r="K3" s="275"/>
      <c r="L3" s="275"/>
      <c r="M3" s="275"/>
      <c r="N3" s="275"/>
      <c r="O3" s="275"/>
      <c r="P3" s="275"/>
      <c r="Q3" s="275"/>
      <c r="R3" s="275"/>
      <c r="S3" s="275"/>
      <c r="T3" s="275"/>
      <c r="U3" s="275"/>
      <c r="V3" s="3"/>
      <c r="W3" s="3"/>
      <c r="X3" s="3"/>
    </row>
    <row r="4" spans="1:24" ht="15.75" thickBot="1" x14ac:dyDescent="0.3">
      <c r="A4" s="4"/>
      <c r="B4" s="4"/>
      <c r="C4" s="4"/>
      <c r="D4" s="4"/>
      <c r="E4" s="4"/>
      <c r="F4" s="4"/>
      <c r="G4" s="4"/>
      <c r="H4" s="4"/>
      <c r="I4" s="4"/>
      <c r="J4" s="4"/>
      <c r="K4" s="4"/>
      <c r="L4" s="4"/>
      <c r="M4" s="4"/>
      <c r="N4" s="4"/>
      <c r="O4" s="4"/>
      <c r="P4" s="4"/>
      <c r="Q4" s="4"/>
      <c r="R4" s="4"/>
      <c r="S4" s="4"/>
      <c r="T4" s="4"/>
      <c r="U4" s="4"/>
      <c r="V4" s="3"/>
      <c r="W4" s="3"/>
      <c r="X4" s="3"/>
    </row>
    <row r="5" spans="1:24" ht="46.5" customHeight="1" thickBot="1" x14ac:dyDescent="0.3">
      <c r="A5" s="76" t="s">
        <v>28</v>
      </c>
      <c r="B5" s="76" t="s">
        <v>1</v>
      </c>
      <c r="C5" s="80" t="s">
        <v>2</v>
      </c>
      <c r="D5" s="80" t="s">
        <v>3</v>
      </c>
      <c r="E5" s="25" t="s">
        <v>25</v>
      </c>
      <c r="F5" s="25" t="s">
        <v>4</v>
      </c>
      <c r="G5" s="25" t="s">
        <v>5</v>
      </c>
      <c r="H5" s="25" t="s">
        <v>6</v>
      </c>
      <c r="I5" s="25" t="s">
        <v>7</v>
      </c>
      <c r="J5" s="25" t="s">
        <v>8</v>
      </c>
      <c r="K5" s="25" t="s">
        <v>9</v>
      </c>
      <c r="L5" s="26" t="s">
        <v>10</v>
      </c>
      <c r="M5" s="25" t="s">
        <v>11</v>
      </c>
      <c r="N5" s="27" t="s">
        <v>12</v>
      </c>
      <c r="O5" s="27" t="s">
        <v>13</v>
      </c>
      <c r="P5" s="25" t="s">
        <v>14</v>
      </c>
      <c r="Q5" s="27" t="s">
        <v>15</v>
      </c>
      <c r="R5" s="25" t="s">
        <v>16</v>
      </c>
      <c r="S5" s="25" t="s">
        <v>17</v>
      </c>
      <c r="T5" s="25" t="s">
        <v>18</v>
      </c>
      <c r="U5" s="82" t="s">
        <v>19</v>
      </c>
    </row>
    <row r="6" spans="1:24" ht="17.25" customHeight="1" thickBot="1" x14ac:dyDescent="0.3">
      <c r="A6" s="276">
        <v>1</v>
      </c>
      <c r="B6" s="250"/>
      <c r="C6" s="266">
        <v>14</v>
      </c>
      <c r="D6" s="269" t="s">
        <v>23</v>
      </c>
      <c r="E6" s="29" t="s">
        <v>21</v>
      </c>
      <c r="F6" s="30">
        <f>'9A Sem 1'!E4</f>
        <v>71</v>
      </c>
      <c r="G6" s="30">
        <f>'9A Sem 1'!F4</f>
        <v>50</v>
      </c>
      <c r="H6" s="30">
        <f>'9A Sem 1'!G4</f>
        <v>50</v>
      </c>
      <c r="I6" s="30">
        <f>'9A Sem 1'!H4</f>
        <v>70</v>
      </c>
      <c r="J6" s="30">
        <f>'9A Sem 1'!I4</f>
        <v>54</v>
      </c>
      <c r="K6" s="30">
        <f>'9A Sem 1'!J4</f>
        <v>53</v>
      </c>
      <c r="L6" s="30">
        <f>'9A Sem 1'!K4</f>
        <v>68</v>
      </c>
      <c r="M6" s="30">
        <f>'9A Sem 1'!L4</f>
        <v>65</v>
      </c>
      <c r="N6" s="30">
        <f>'9A Sem 1'!M4</f>
        <v>52</v>
      </c>
      <c r="O6" s="30">
        <f>'9A Sem 1'!N4</f>
        <v>74</v>
      </c>
      <c r="P6" s="30">
        <f>'9A Sem 1'!O4</f>
        <v>70</v>
      </c>
      <c r="Q6" s="30">
        <f>'9A Sem 1'!P4</f>
        <v>677</v>
      </c>
      <c r="R6" s="30">
        <f>'9A Sem 1'!Q4</f>
        <v>61.545454545454547</v>
      </c>
      <c r="S6" s="30">
        <f>'9A Sem 1'!R4</f>
        <v>38</v>
      </c>
      <c r="T6" s="42">
        <f>'9A Sem 1'!S4</f>
        <v>0</v>
      </c>
      <c r="U6" s="43">
        <f>'9A Sem 1'!T4</f>
        <v>0</v>
      </c>
    </row>
    <row r="7" spans="1:24" ht="17.25" customHeight="1" thickBot="1" x14ac:dyDescent="0.3">
      <c r="A7" s="276"/>
      <c r="B7" s="261"/>
      <c r="C7" s="267">
        <v>14</v>
      </c>
      <c r="D7" s="270" t="s">
        <v>23</v>
      </c>
      <c r="E7" s="29" t="s">
        <v>22</v>
      </c>
      <c r="F7" s="38">
        <f>'9A Sem 2'!E4</f>
        <v>80</v>
      </c>
      <c r="G7" s="38">
        <f>'9A Sem 2'!F4</f>
        <v>54</v>
      </c>
      <c r="H7" s="38">
        <f>'9A Sem 2'!G4</f>
        <v>70</v>
      </c>
      <c r="I7" s="38">
        <f>'9A Sem 2'!H4</f>
        <v>65</v>
      </c>
      <c r="J7" s="38">
        <f>'9A Sem 2'!I4</f>
        <v>51</v>
      </c>
      <c r="K7" s="38">
        <f>'9A Sem 2'!J4</f>
        <v>51</v>
      </c>
      <c r="L7" s="38">
        <f>'9A Sem 2'!K4</f>
        <v>61</v>
      </c>
      <c r="M7" s="38">
        <f>'9A Sem 2'!L4</f>
        <v>64</v>
      </c>
      <c r="N7" s="38">
        <f>'9A Sem 2'!M4</f>
        <v>58</v>
      </c>
      <c r="O7" s="38">
        <f>'9A Sem 2'!N4</f>
        <v>72</v>
      </c>
      <c r="P7" s="38">
        <f>'9A Sem 2'!O4</f>
        <v>84</v>
      </c>
      <c r="Q7" s="30">
        <f>'9A Sem 2'!P4</f>
        <v>710</v>
      </c>
      <c r="R7" s="30">
        <f>'9A Sem 2'!Q4</f>
        <v>64.545454545454547</v>
      </c>
      <c r="S7" s="30">
        <f>'9A Sem 2'!R4</f>
        <v>40</v>
      </c>
      <c r="T7" s="41">
        <f>'9A Sem 2'!S4</f>
        <v>0</v>
      </c>
      <c r="U7" s="44">
        <f>'9A Sem 2'!T4</f>
        <v>0</v>
      </c>
    </row>
    <row r="8" spans="1:24" ht="17.25" customHeight="1" thickBot="1" x14ac:dyDescent="0.3">
      <c r="A8" s="276"/>
      <c r="B8" s="262"/>
      <c r="C8" s="268">
        <v>14</v>
      </c>
      <c r="D8" s="271" t="s">
        <v>23</v>
      </c>
      <c r="E8" s="29" t="s">
        <v>16</v>
      </c>
      <c r="F8" s="30">
        <f>AVERAGE(F6:F7)</f>
        <v>75.5</v>
      </c>
      <c r="G8" s="30">
        <f t="shared" ref="G8:R8" si="0">AVERAGE(G6:G7)</f>
        <v>52</v>
      </c>
      <c r="H8" s="30">
        <f t="shared" si="0"/>
        <v>60</v>
      </c>
      <c r="I8" s="30">
        <f t="shared" si="0"/>
        <v>67.5</v>
      </c>
      <c r="J8" s="30">
        <f t="shared" si="0"/>
        <v>52.5</v>
      </c>
      <c r="K8" s="30">
        <f t="shared" si="0"/>
        <v>52</v>
      </c>
      <c r="L8" s="30">
        <f t="shared" si="0"/>
        <v>64.5</v>
      </c>
      <c r="M8" s="30">
        <f t="shared" si="0"/>
        <v>64.5</v>
      </c>
      <c r="N8" s="30">
        <f t="shared" si="0"/>
        <v>55</v>
      </c>
      <c r="O8" s="30">
        <f t="shared" si="0"/>
        <v>73</v>
      </c>
      <c r="P8" s="30">
        <f t="shared" si="0"/>
        <v>77</v>
      </c>
      <c r="Q8" s="30">
        <f t="shared" si="0"/>
        <v>693.5</v>
      </c>
      <c r="R8" s="30">
        <f t="shared" si="0"/>
        <v>63.045454545454547</v>
      </c>
      <c r="S8" s="30">
        <f>'9A Sem avr'!$H$4</f>
        <v>37</v>
      </c>
      <c r="T8" s="30">
        <f>AVERAGE(T6:T7)</f>
        <v>0</v>
      </c>
      <c r="U8" s="30">
        <f>AVERAGE(U6:U7)</f>
        <v>0</v>
      </c>
    </row>
    <row r="9" spans="1:24" ht="17.25" customHeight="1" thickBot="1" x14ac:dyDescent="0.3">
      <c r="A9" s="252">
        <v>2</v>
      </c>
      <c r="B9" s="250"/>
      <c r="C9" s="250">
        <v>16</v>
      </c>
      <c r="D9" s="263" t="s">
        <v>20</v>
      </c>
      <c r="E9" s="29" t="s">
        <v>21</v>
      </c>
      <c r="F9" s="30">
        <f>'9A Sem 1'!E5</f>
        <v>92</v>
      </c>
      <c r="G9" s="30">
        <f>'9A Sem 1'!F5</f>
        <v>93</v>
      </c>
      <c r="H9" s="30">
        <f>'9A Sem 1'!G5</f>
        <v>95</v>
      </c>
      <c r="I9" s="30">
        <f>'9A Sem 1'!H5</f>
        <v>100</v>
      </c>
      <c r="J9" s="30">
        <f>'9A Sem 1'!I5</f>
        <v>96</v>
      </c>
      <c r="K9" s="30">
        <f>'9A Sem 1'!J5</f>
        <v>98</v>
      </c>
      <c r="L9" s="30">
        <f>'9A Sem 1'!K5</f>
        <v>95</v>
      </c>
      <c r="M9" s="30">
        <f>'9A Sem 1'!L5</f>
        <v>98</v>
      </c>
      <c r="N9" s="30">
        <f>'9A Sem 1'!M5</f>
        <v>93</v>
      </c>
      <c r="O9" s="30">
        <f>'9A Sem 1'!N5</f>
        <v>100</v>
      </c>
      <c r="P9" s="30">
        <f>'9A Sem 1'!O5</f>
        <v>100</v>
      </c>
      <c r="Q9" s="30">
        <f>'9A Sem 1'!P5</f>
        <v>1060</v>
      </c>
      <c r="R9" s="30">
        <f>'9A Sem 1'!Q5</f>
        <v>96.36363636363636</v>
      </c>
      <c r="S9" s="30">
        <f>'9A Sem 1'!R5</f>
        <v>1</v>
      </c>
      <c r="T9" s="45">
        <f>'9A Sem 1'!S5</f>
        <v>0</v>
      </c>
      <c r="U9" s="45">
        <f>'9A Sem 1'!T5</f>
        <v>0</v>
      </c>
    </row>
    <row r="10" spans="1:24" ht="17.25" customHeight="1" thickBot="1" x14ac:dyDescent="0.3">
      <c r="A10" s="252"/>
      <c r="B10" s="261"/>
      <c r="C10" s="261">
        <v>16</v>
      </c>
      <c r="D10" s="264" t="s">
        <v>20</v>
      </c>
      <c r="E10" s="29" t="s">
        <v>22</v>
      </c>
      <c r="F10" s="30">
        <f>'9A Sem 2'!E5</f>
        <v>96</v>
      </c>
      <c r="G10" s="30">
        <f>'9A Sem 2'!F5</f>
        <v>94</v>
      </c>
      <c r="H10" s="30">
        <f>'9A Sem 2'!G5</f>
        <v>96</v>
      </c>
      <c r="I10" s="30">
        <f>'9A Sem 2'!H5</f>
        <v>100</v>
      </c>
      <c r="J10" s="30">
        <f>'9A Sem 2'!I5</f>
        <v>96</v>
      </c>
      <c r="K10" s="30">
        <f>'9A Sem 2'!J5</f>
        <v>98</v>
      </c>
      <c r="L10" s="30">
        <f>'9A Sem 2'!K5</f>
        <v>96</v>
      </c>
      <c r="M10" s="30">
        <f>'9A Sem 2'!L5</f>
        <v>95</v>
      </c>
      <c r="N10" s="30">
        <f>'9A Sem 2'!M5</f>
        <v>100</v>
      </c>
      <c r="O10" s="30">
        <f>'9A Sem 2'!N5</f>
        <v>99</v>
      </c>
      <c r="P10" s="30">
        <f>'9A Sem 2'!O5</f>
        <v>100</v>
      </c>
      <c r="Q10" s="30">
        <f>'9A Sem 2'!P5</f>
        <v>1070</v>
      </c>
      <c r="R10" s="30">
        <f>'9A Sem 2'!Q5</f>
        <v>97.272727272727266</v>
      </c>
      <c r="S10" s="30">
        <f>'9A Sem 2'!R5</f>
        <v>1</v>
      </c>
      <c r="T10" s="45">
        <f>'9A Sem 2'!S5</f>
        <v>0</v>
      </c>
      <c r="U10" s="45">
        <f>'9A Sem 2'!T5</f>
        <v>0</v>
      </c>
    </row>
    <row r="11" spans="1:24" ht="17.25" customHeight="1" thickBot="1" x14ac:dyDescent="0.3">
      <c r="A11" s="252"/>
      <c r="B11" s="262"/>
      <c r="C11" s="262">
        <v>16</v>
      </c>
      <c r="D11" s="265" t="s">
        <v>20</v>
      </c>
      <c r="E11" s="29" t="s">
        <v>16</v>
      </c>
      <c r="F11" s="30">
        <f>AVERAGE(F9:F10)</f>
        <v>94</v>
      </c>
      <c r="G11" s="30">
        <f t="shared" ref="G11:R11" si="1">AVERAGE(G9:G10)</f>
        <v>93.5</v>
      </c>
      <c r="H11" s="30">
        <f t="shared" si="1"/>
        <v>95.5</v>
      </c>
      <c r="I11" s="30">
        <f t="shared" si="1"/>
        <v>100</v>
      </c>
      <c r="J11" s="30">
        <f t="shared" si="1"/>
        <v>96</v>
      </c>
      <c r="K11" s="30">
        <f t="shared" si="1"/>
        <v>98</v>
      </c>
      <c r="L11" s="30">
        <f t="shared" si="1"/>
        <v>95.5</v>
      </c>
      <c r="M11" s="30">
        <f t="shared" si="1"/>
        <v>96.5</v>
      </c>
      <c r="N11" s="30">
        <f t="shared" si="1"/>
        <v>96.5</v>
      </c>
      <c r="O11" s="30">
        <f t="shared" si="1"/>
        <v>99.5</v>
      </c>
      <c r="P11" s="30">
        <f t="shared" si="1"/>
        <v>100</v>
      </c>
      <c r="Q11" s="30">
        <f t="shared" si="1"/>
        <v>1065</v>
      </c>
      <c r="R11" s="30">
        <f t="shared" si="1"/>
        <v>96.818181818181813</v>
      </c>
      <c r="S11" s="30">
        <f>'9A Sem avr'!$H$5</f>
        <v>1</v>
      </c>
      <c r="T11" s="30">
        <f>AVERAGE(T9:T10)</f>
        <v>0</v>
      </c>
      <c r="U11" s="30">
        <f>AVERAGE(U9:U10)</f>
        <v>0</v>
      </c>
    </row>
    <row r="12" spans="1:24" ht="17.25" customHeight="1" thickBot="1" x14ac:dyDescent="0.3">
      <c r="A12" s="246">
        <v>3</v>
      </c>
      <c r="B12" s="250"/>
      <c r="C12" s="266">
        <v>14</v>
      </c>
      <c r="D12" s="269" t="s">
        <v>23</v>
      </c>
      <c r="E12" s="29" t="s">
        <v>21</v>
      </c>
      <c r="F12" s="30">
        <f>'9A Sem 1'!E6</f>
        <v>83</v>
      </c>
      <c r="G12" s="30">
        <f>'9A Sem 1'!F6</f>
        <v>46</v>
      </c>
      <c r="H12" s="30">
        <f>'9A Sem 1'!G6</f>
        <v>54</v>
      </c>
      <c r="I12" s="30">
        <f>'9A Sem 1'!H6</f>
        <v>53</v>
      </c>
      <c r="J12" s="30">
        <f>'9A Sem 1'!I6</f>
        <v>57</v>
      </c>
      <c r="K12" s="30">
        <f>'9A Sem 1'!J6</f>
        <v>40</v>
      </c>
      <c r="L12" s="30">
        <f>'9A Sem 1'!K6</f>
        <v>38</v>
      </c>
      <c r="M12" s="30">
        <f>'9A Sem 1'!L6</f>
        <v>63</v>
      </c>
      <c r="N12" s="30">
        <f>'9A Sem 1'!M6</f>
        <v>52</v>
      </c>
      <c r="O12" s="30">
        <f>'9A Sem 1'!N6</f>
        <v>67</v>
      </c>
      <c r="P12" s="30">
        <f>'9A Sem 1'!O6</f>
        <v>80</v>
      </c>
      <c r="Q12" s="30">
        <f>'9A Sem 1'!P6</f>
        <v>633</v>
      </c>
      <c r="R12" s="30">
        <f>'9A Sem 1'!Q6</f>
        <v>57.545454545454547</v>
      </c>
      <c r="S12" s="30">
        <f>'9A Sem 1'!R6</f>
        <v>44</v>
      </c>
      <c r="T12" s="45">
        <f>'9A Sem 1'!S6</f>
        <v>0</v>
      </c>
      <c r="U12" s="45">
        <f>'9A Sem 1'!T6</f>
        <v>0</v>
      </c>
    </row>
    <row r="13" spans="1:24" ht="17.25" customHeight="1" thickBot="1" x14ac:dyDescent="0.3">
      <c r="A13" s="246"/>
      <c r="B13" s="261"/>
      <c r="C13" s="267">
        <v>14</v>
      </c>
      <c r="D13" s="270" t="s">
        <v>23</v>
      </c>
      <c r="E13" s="29" t="s">
        <v>22</v>
      </c>
      <c r="F13" s="30">
        <f>'9A Sem 2'!E6</f>
        <v>79</v>
      </c>
      <c r="G13" s="30">
        <f>'9A Sem 2'!F6</f>
        <v>50</v>
      </c>
      <c r="H13" s="30">
        <f>'9A Sem 2'!G6</f>
        <v>54</v>
      </c>
      <c r="I13" s="30">
        <f>'9A Sem 2'!H6</f>
        <v>50</v>
      </c>
      <c r="J13" s="30">
        <f>'9A Sem 2'!I6</f>
        <v>43</v>
      </c>
      <c r="K13" s="30">
        <f>'9A Sem 2'!J6</f>
        <v>46</v>
      </c>
      <c r="L13" s="30">
        <f>'9A Sem 2'!K6</f>
        <v>51</v>
      </c>
      <c r="M13" s="30">
        <f>'9A Sem 2'!L6</f>
        <v>41</v>
      </c>
      <c r="N13" s="30">
        <f>'9A Sem 2'!M6</f>
        <v>55</v>
      </c>
      <c r="O13" s="30">
        <f>'9A Sem 2'!N6</f>
        <v>77</v>
      </c>
      <c r="P13" s="30">
        <f>'9A Sem 2'!O6</f>
        <v>92</v>
      </c>
      <c r="Q13" s="30">
        <f>'9A Sem 2'!P6</f>
        <v>638</v>
      </c>
      <c r="R13" s="30">
        <f>'9A Sem 2'!Q6</f>
        <v>58</v>
      </c>
      <c r="S13" s="30">
        <f>'9A Sem 2'!R6</f>
        <v>45</v>
      </c>
      <c r="T13" s="45">
        <f>'9A Sem 2'!S6</f>
        <v>0</v>
      </c>
      <c r="U13" s="45">
        <f>'9A Sem 2'!T6</f>
        <v>0</v>
      </c>
    </row>
    <row r="14" spans="1:24" ht="17.25" customHeight="1" thickBot="1" x14ac:dyDescent="0.3">
      <c r="A14" s="246"/>
      <c r="B14" s="262"/>
      <c r="C14" s="268">
        <v>14</v>
      </c>
      <c r="D14" s="271" t="s">
        <v>23</v>
      </c>
      <c r="E14" s="29" t="s">
        <v>16</v>
      </c>
      <c r="F14" s="30">
        <f>AVERAGE(F12:F13)</f>
        <v>81</v>
      </c>
      <c r="G14" s="30">
        <f t="shared" ref="G14:S14" si="2">AVERAGE(G12:G13)</f>
        <v>48</v>
      </c>
      <c r="H14" s="30">
        <f t="shared" si="2"/>
        <v>54</v>
      </c>
      <c r="I14" s="30">
        <f t="shared" si="2"/>
        <v>51.5</v>
      </c>
      <c r="J14" s="30">
        <f t="shared" si="2"/>
        <v>50</v>
      </c>
      <c r="K14" s="30">
        <f t="shared" si="2"/>
        <v>43</v>
      </c>
      <c r="L14" s="30">
        <f t="shared" si="2"/>
        <v>44.5</v>
      </c>
      <c r="M14" s="30">
        <f t="shared" si="2"/>
        <v>52</v>
      </c>
      <c r="N14" s="30">
        <f t="shared" si="2"/>
        <v>53.5</v>
      </c>
      <c r="O14" s="30">
        <f t="shared" si="2"/>
        <v>72</v>
      </c>
      <c r="P14" s="30">
        <f t="shared" si="2"/>
        <v>86</v>
      </c>
      <c r="Q14" s="30">
        <f t="shared" si="2"/>
        <v>635.5</v>
      </c>
      <c r="R14" s="30">
        <f t="shared" si="2"/>
        <v>57.772727272727273</v>
      </c>
      <c r="S14" s="30">
        <f t="shared" si="2"/>
        <v>44.5</v>
      </c>
      <c r="T14" s="30">
        <f>AVERAGE(T12:T13)</f>
        <v>0</v>
      </c>
      <c r="U14" s="30">
        <f>AVERAGE(U12:U13)</f>
        <v>0</v>
      </c>
    </row>
    <row r="15" spans="1:24" ht="17.25" customHeight="1" thickBot="1" x14ac:dyDescent="0.3">
      <c r="A15" s="252">
        <v>4</v>
      </c>
      <c r="B15" s="277"/>
      <c r="C15" s="280">
        <v>14</v>
      </c>
      <c r="D15" s="283" t="s">
        <v>20</v>
      </c>
      <c r="E15" s="29" t="s">
        <v>21</v>
      </c>
      <c r="F15" s="30">
        <f>'9A Sem 1'!E7</f>
        <v>89</v>
      </c>
      <c r="G15" s="30">
        <f>'9A Sem 1'!F7</f>
        <v>70</v>
      </c>
      <c r="H15" s="30">
        <f>'9A Sem 1'!G7</f>
        <v>55</v>
      </c>
      <c r="I15" s="30">
        <f>'9A Sem 1'!H7</f>
        <v>69</v>
      </c>
      <c r="J15" s="30">
        <f>'9A Sem 1'!I7</f>
        <v>59</v>
      </c>
      <c r="K15" s="30">
        <f>'9A Sem 1'!J7</f>
        <v>72</v>
      </c>
      <c r="L15" s="30">
        <f>'9A Sem 1'!K7</f>
        <v>76</v>
      </c>
      <c r="M15" s="30">
        <f>'9A Sem 1'!L7</f>
        <v>91</v>
      </c>
      <c r="N15" s="30">
        <f>'9A Sem 1'!M7</f>
        <v>82</v>
      </c>
      <c r="O15" s="30">
        <f>'9A Sem 1'!N7</f>
        <v>77</v>
      </c>
      <c r="P15" s="30">
        <f>'9A Sem 1'!O7</f>
        <v>88</v>
      </c>
      <c r="Q15" s="30">
        <f>'9A Sem 1'!P7</f>
        <v>828</v>
      </c>
      <c r="R15" s="30">
        <f>'9A Sem 1'!Q7</f>
        <v>75.272727272727266</v>
      </c>
      <c r="S15" s="30">
        <f>'9A Sem 1'!R7</f>
        <v>22</v>
      </c>
      <c r="T15" s="45">
        <f>'9A Sem 1'!S7</f>
        <v>0</v>
      </c>
      <c r="U15" s="45">
        <f>'9A Sem 1'!T7</f>
        <v>0</v>
      </c>
    </row>
    <row r="16" spans="1:24" ht="17.25" customHeight="1" thickBot="1" x14ac:dyDescent="0.3">
      <c r="A16" s="252"/>
      <c r="B16" s="278"/>
      <c r="C16" s="281">
        <v>14</v>
      </c>
      <c r="D16" s="284" t="s">
        <v>20</v>
      </c>
      <c r="E16" s="29" t="s">
        <v>22</v>
      </c>
      <c r="F16" s="30">
        <f>'9A Sem 2'!E7</f>
        <v>82</v>
      </c>
      <c r="G16" s="30">
        <f>'9A Sem 2'!F7</f>
        <v>73</v>
      </c>
      <c r="H16" s="30">
        <f>'9A Sem 2'!G7</f>
        <v>71</v>
      </c>
      <c r="I16" s="30">
        <f>'9A Sem 2'!H7</f>
        <v>69</v>
      </c>
      <c r="J16" s="30">
        <f>'9A Sem 2'!I7</f>
        <v>66</v>
      </c>
      <c r="K16" s="30">
        <f>'9A Sem 2'!J7</f>
        <v>80</v>
      </c>
      <c r="L16" s="30">
        <f>'9A Sem 2'!K7</f>
        <v>82</v>
      </c>
      <c r="M16" s="30">
        <f>'9A Sem 2'!L7</f>
        <v>91</v>
      </c>
      <c r="N16" s="30">
        <f>'9A Sem 2'!M7</f>
        <v>88</v>
      </c>
      <c r="O16" s="30">
        <f>'9A Sem 2'!N7</f>
        <v>92</v>
      </c>
      <c r="P16" s="30">
        <f>'9A Sem 2'!O7</f>
        <v>91</v>
      </c>
      <c r="Q16" s="30">
        <f>'9A Sem 2'!P7</f>
        <v>885</v>
      </c>
      <c r="R16" s="30">
        <f>'9A Sem 2'!Q7</f>
        <v>80.454545454545453</v>
      </c>
      <c r="S16" s="30">
        <f>'9A Sem 2'!R7</f>
        <v>16</v>
      </c>
      <c r="T16" s="45">
        <f>'9A Sem 2'!S7</f>
        <v>0</v>
      </c>
      <c r="U16" s="45">
        <f>'9A Sem 2'!T7</f>
        <v>0</v>
      </c>
    </row>
    <row r="17" spans="1:21" ht="17.25" customHeight="1" thickBot="1" x14ac:dyDescent="0.3">
      <c r="A17" s="252"/>
      <c r="B17" s="279"/>
      <c r="C17" s="282">
        <v>14</v>
      </c>
      <c r="D17" s="285" t="s">
        <v>20</v>
      </c>
      <c r="E17" s="29" t="s">
        <v>16</v>
      </c>
      <c r="F17" s="30">
        <f>AVERAGE(F15:F16)</f>
        <v>85.5</v>
      </c>
      <c r="G17" s="30">
        <f t="shared" ref="G17:R17" si="3">AVERAGE(G15:G16)</f>
        <v>71.5</v>
      </c>
      <c r="H17" s="30">
        <f t="shared" si="3"/>
        <v>63</v>
      </c>
      <c r="I17" s="30">
        <f t="shared" si="3"/>
        <v>69</v>
      </c>
      <c r="J17" s="30">
        <f t="shared" si="3"/>
        <v>62.5</v>
      </c>
      <c r="K17" s="30">
        <f t="shared" si="3"/>
        <v>76</v>
      </c>
      <c r="L17" s="30">
        <f t="shared" si="3"/>
        <v>79</v>
      </c>
      <c r="M17" s="30">
        <f t="shared" si="3"/>
        <v>91</v>
      </c>
      <c r="N17" s="30">
        <f t="shared" si="3"/>
        <v>85</v>
      </c>
      <c r="O17" s="30">
        <f t="shared" si="3"/>
        <v>84.5</v>
      </c>
      <c r="P17" s="30">
        <f t="shared" si="3"/>
        <v>89.5</v>
      </c>
      <c r="Q17" s="30">
        <f t="shared" si="3"/>
        <v>856.5</v>
      </c>
      <c r="R17" s="30">
        <f t="shared" si="3"/>
        <v>77.86363636363636</v>
      </c>
      <c r="S17" s="30">
        <f>'9A Sem avr'!$H$7</f>
        <v>20</v>
      </c>
      <c r="T17" s="30">
        <f>AVERAGE(T15:T16)</f>
        <v>0</v>
      </c>
      <c r="U17" s="30">
        <f>AVERAGE(U15:U16)</f>
        <v>0</v>
      </c>
    </row>
    <row r="18" spans="1:21" ht="17.25" customHeight="1" thickBot="1" x14ac:dyDescent="0.3">
      <c r="A18" s="252">
        <v>5</v>
      </c>
      <c r="B18" s="250"/>
      <c r="C18" s="250">
        <v>14</v>
      </c>
      <c r="D18" s="263" t="s">
        <v>23</v>
      </c>
      <c r="E18" s="29" t="s">
        <v>21</v>
      </c>
      <c r="F18" s="30">
        <f>'9A Sem 1'!E8</f>
        <v>92</v>
      </c>
      <c r="G18" s="30">
        <f>'9A Sem 1'!F8</f>
        <v>87</v>
      </c>
      <c r="H18" s="30">
        <f>'9A Sem 1'!G8</f>
        <v>90</v>
      </c>
      <c r="I18" s="30">
        <f>'9A Sem 1'!H8</f>
        <v>88</v>
      </c>
      <c r="J18" s="30">
        <f>'9A Sem 1'!I8</f>
        <v>91</v>
      </c>
      <c r="K18" s="30">
        <f>'9A Sem 1'!J8</f>
        <v>92</v>
      </c>
      <c r="L18" s="30">
        <f>'9A Sem 1'!K8</f>
        <v>92</v>
      </c>
      <c r="M18" s="30">
        <f>'9A Sem 1'!L8</f>
        <v>93</v>
      </c>
      <c r="N18" s="30">
        <f>'9A Sem 1'!M8</f>
        <v>92</v>
      </c>
      <c r="O18" s="30">
        <f>'9A Sem 1'!N8</f>
        <v>96</v>
      </c>
      <c r="P18" s="30">
        <f>'9A Sem 1'!O8</f>
        <v>91</v>
      </c>
      <c r="Q18" s="30">
        <f>'9A Sem 1'!P8</f>
        <v>1004</v>
      </c>
      <c r="R18" s="30">
        <f>'9A Sem 1'!Q8</f>
        <v>91.272727272727266</v>
      </c>
      <c r="S18" s="30">
        <f>'9A Sem 1'!R8</f>
        <v>2</v>
      </c>
      <c r="T18" s="45">
        <f>'9A Sem 1'!S8</f>
        <v>0</v>
      </c>
      <c r="U18" s="45">
        <f>'9A Sem 1'!T8</f>
        <v>0</v>
      </c>
    </row>
    <row r="19" spans="1:21" ht="17.25" customHeight="1" thickBot="1" x14ac:dyDescent="0.3">
      <c r="A19" s="252"/>
      <c r="B19" s="261"/>
      <c r="C19" s="261">
        <v>14</v>
      </c>
      <c r="D19" s="264" t="s">
        <v>23</v>
      </c>
      <c r="E19" s="29" t="s">
        <v>22</v>
      </c>
      <c r="F19" s="30">
        <f>'9A Sem 2'!E8</f>
        <v>91</v>
      </c>
      <c r="G19" s="30">
        <f>'9A Sem 2'!F8</f>
        <v>96</v>
      </c>
      <c r="H19" s="30">
        <f>'9A Sem 2'!G8</f>
        <v>93</v>
      </c>
      <c r="I19" s="30">
        <f>'9A Sem 2'!H8</f>
        <v>90</v>
      </c>
      <c r="J19" s="30">
        <f>'9A Sem 2'!I8</f>
        <v>83</v>
      </c>
      <c r="K19" s="30">
        <f>'9A Sem 2'!J8</f>
        <v>96</v>
      </c>
      <c r="L19" s="30">
        <f>'9A Sem 2'!K8</f>
        <v>86</v>
      </c>
      <c r="M19" s="30">
        <f>'9A Sem 2'!L8</f>
        <v>86</v>
      </c>
      <c r="N19" s="30">
        <f>'9A Sem 2'!M8</f>
        <v>96</v>
      </c>
      <c r="O19" s="30">
        <f>'9A Sem 2'!N8</f>
        <v>99</v>
      </c>
      <c r="P19" s="30">
        <f>'9A Sem 2'!O8</f>
        <v>94</v>
      </c>
      <c r="Q19" s="30">
        <f>'9A Sem 2'!P8</f>
        <v>1010</v>
      </c>
      <c r="R19" s="30">
        <f>'9A Sem 2'!Q8</f>
        <v>91.818181818181813</v>
      </c>
      <c r="S19" s="30">
        <f>'9A Sem 2'!R8</f>
        <v>3</v>
      </c>
      <c r="T19" s="45">
        <f>'9A Sem 2'!S8</f>
        <v>0</v>
      </c>
      <c r="U19" s="45">
        <f>'9A Sem 2'!T8</f>
        <v>0</v>
      </c>
    </row>
    <row r="20" spans="1:21" ht="17.25" customHeight="1" thickBot="1" x14ac:dyDescent="0.3">
      <c r="A20" s="252"/>
      <c r="B20" s="262"/>
      <c r="C20" s="262">
        <v>14</v>
      </c>
      <c r="D20" s="265" t="s">
        <v>23</v>
      </c>
      <c r="E20" s="29" t="s">
        <v>16</v>
      </c>
      <c r="F20" s="30">
        <f>AVERAGE(F18:F19)</f>
        <v>91.5</v>
      </c>
      <c r="G20" s="30">
        <f t="shared" ref="G20:R20" si="4">AVERAGE(G18:G19)</f>
        <v>91.5</v>
      </c>
      <c r="H20" s="30">
        <f t="shared" si="4"/>
        <v>91.5</v>
      </c>
      <c r="I20" s="30">
        <f t="shared" si="4"/>
        <v>89</v>
      </c>
      <c r="J20" s="30">
        <f t="shared" si="4"/>
        <v>87</v>
      </c>
      <c r="K20" s="30">
        <f t="shared" si="4"/>
        <v>94</v>
      </c>
      <c r="L20" s="30">
        <f t="shared" si="4"/>
        <v>89</v>
      </c>
      <c r="M20" s="30">
        <f t="shared" si="4"/>
        <v>89.5</v>
      </c>
      <c r="N20" s="30">
        <f t="shared" si="4"/>
        <v>94</v>
      </c>
      <c r="O20" s="30">
        <f t="shared" si="4"/>
        <v>97.5</v>
      </c>
      <c r="P20" s="30">
        <f t="shared" si="4"/>
        <v>92.5</v>
      </c>
      <c r="Q20" s="30">
        <f t="shared" si="4"/>
        <v>1007</v>
      </c>
      <c r="R20" s="30">
        <f t="shared" si="4"/>
        <v>91.545454545454533</v>
      </c>
      <c r="S20" s="30">
        <f>'9A Sem avr'!$H$8</f>
        <v>3</v>
      </c>
      <c r="T20" s="30">
        <f>AVERAGE(T18:T19)</f>
        <v>0</v>
      </c>
      <c r="U20" s="30">
        <f>AVERAGE(U18:U19)</f>
        <v>0</v>
      </c>
    </row>
    <row r="21" spans="1:21" ht="17.25" customHeight="1" thickBot="1" x14ac:dyDescent="0.3">
      <c r="A21" s="246">
        <v>6</v>
      </c>
      <c r="B21" s="250"/>
      <c r="C21" s="250">
        <v>16</v>
      </c>
      <c r="D21" s="263" t="s">
        <v>23</v>
      </c>
      <c r="E21" s="29" t="s">
        <v>21</v>
      </c>
      <c r="F21" s="30">
        <f>'9A Sem 1'!E9</f>
        <v>55</v>
      </c>
      <c r="G21" s="30">
        <f>'9A Sem 1'!F9</f>
        <v>38</v>
      </c>
      <c r="H21" s="30">
        <f>'9A Sem 1'!G9</f>
        <v>51</v>
      </c>
      <c r="I21" s="30">
        <f>'9A Sem 1'!H9</f>
        <v>39</v>
      </c>
      <c r="J21" s="30">
        <f>'9A Sem 1'!I9</f>
        <v>51</v>
      </c>
      <c r="K21" s="30">
        <f>'9A Sem 1'!J9</f>
        <v>36</v>
      </c>
      <c r="L21" s="30">
        <f>'9A Sem 1'!K9</f>
        <v>41</v>
      </c>
      <c r="M21" s="30">
        <f>'9A Sem 1'!L9</f>
        <v>40</v>
      </c>
      <c r="N21" s="30">
        <f>'9A Sem 1'!M9</f>
        <v>50</v>
      </c>
      <c r="O21" s="30">
        <f>'9A Sem 1'!N9</f>
        <v>52</v>
      </c>
      <c r="P21" s="30">
        <f>'9A Sem 1'!O9</f>
        <v>79</v>
      </c>
      <c r="Q21" s="30">
        <f>'9A Sem 1'!P9</f>
        <v>532</v>
      </c>
      <c r="R21" s="30">
        <f>'9A Sem 1'!Q9</f>
        <v>48.363636363636367</v>
      </c>
      <c r="S21" s="30">
        <f>'9A Sem 1'!R9</f>
        <v>49</v>
      </c>
      <c r="T21" s="45">
        <f>'9A Sem 1'!S9</f>
        <v>0</v>
      </c>
      <c r="U21" s="45">
        <f>'9A Sem 1'!T9</f>
        <v>0</v>
      </c>
    </row>
    <row r="22" spans="1:21" ht="17.25" customHeight="1" thickBot="1" x14ac:dyDescent="0.3">
      <c r="A22" s="246"/>
      <c r="B22" s="261"/>
      <c r="C22" s="261">
        <v>16</v>
      </c>
      <c r="D22" s="264" t="s">
        <v>23</v>
      </c>
      <c r="E22" s="29" t="s">
        <v>22</v>
      </c>
      <c r="F22" s="30">
        <f>'9A Sem 2'!E9</f>
        <v>69</v>
      </c>
      <c r="G22" s="30">
        <f>'9A Sem 2'!F9</f>
        <v>44</v>
      </c>
      <c r="H22" s="30">
        <f>'9A Sem 2'!G9</f>
        <v>42</v>
      </c>
      <c r="I22" s="30">
        <f>'9A Sem 2'!H9</f>
        <v>44</v>
      </c>
      <c r="J22" s="30">
        <f>'9A Sem 2'!I9</f>
        <v>41</v>
      </c>
      <c r="K22" s="30">
        <f>'9A Sem 2'!J9</f>
        <v>38</v>
      </c>
      <c r="L22" s="30">
        <f>'9A Sem 2'!K9</f>
        <v>45</v>
      </c>
      <c r="M22" s="30">
        <f>'9A Sem 2'!L9</f>
        <v>44</v>
      </c>
      <c r="N22" s="30">
        <f>'9A Sem 2'!M9</f>
        <v>48</v>
      </c>
      <c r="O22" s="30">
        <f>'9A Sem 2'!N9</f>
        <v>65</v>
      </c>
      <c r="P22" s="30">
        <f>'9A Sem 2'!O9</f>
        <v>64</v>
      </c>
      <c r="Q22" s="30">
        <f>'9A Sem 2'!P9</f>
        <v>544</v>
      </c>
      <c r="R22" s="30">
        <f>'9A Sem 2'!Q9</f>
        <v>49.454545454545453</v>
      </c>
      <c r="S22" s="30">
        <f>'9A Sem 2'!R9</f>
        <v>48</v>
      </c>
      <c r="T22" s="45">
        <f>'9A Sem 2'!S9</f>
        <v>0</v>
      </c>
      <c r="U22" s="45">
        <f>'9A Sem 2'!T9</f>
        <v>0</v>
      </c>
    </row>
    <row r="23" spans="1:21" ht="17.25" customHeight="1" thickBot="1" x14ac:dyDescent="0.3">
      <c r="A23" s="246"/>
      <c r="B23" s="262"/>
      <c r="C23" s="262">
        <v>16</v>
      </c>
      <c r="D23" s="265" t="s">
        <v>23</v>
      </c>
      <c r="E23" s="29" t="s">
        <v>16</v>
      </c>
      <c r="F23" s="30">
        <f>AVERAGE(F21:F22)</f>
        <v>62</v>
      </c>
      <c r="G23" s="30">
        <f t="shared" ref="G23:R23" si="5">AVERAGE(G21:G22)</f>
        <v>41</v>
      </c>
      <c r="H23" s="30">
        <f t="shared" si="5"/>
        <v>46.5</v>
      </c>
      <c r="I23" s="30">
        <f t="shared" si="5"/>
        <v>41.5</v>
      </c>
      <c r="J23" s="30">
        <f t="shared" si="5"/>
        <v>46</v>
      </c>
      <c r="K23" s="30">
        <f t="shared" si="5"/>
        <v>37</v>
      </c>
      <c r="L23" s="30">
        <f t="shared" si="5"/>
        <v>43</v>
      </c>
      <c r="M23" s="30">
        <f t="shared" si="5"/>
        <v>42</v>
      </c>
      <c r="N23" s="30">
        <f t="shared" si="5"/>
        <v>49</v>
      </c>
      <c r="O23" s="30">
        <f t="shared" si="5"/>
        <v>58.5</v>
      </c>
      <c r="P23" s="30">
        <f t="shared" si="5"/>
        <v>71.5</v>
      </c>
      <c r="Q23" s="30">
        <f t="shared" si="5"/>
        <v>538</v>
      </c>
      <c r="R23" s="30">
        <f t="shared" si="5"/>
        <v>48.909090909090907</v>
      </c>
      <c r="S23" s="30">
        <f>'9A Sem avr'!$H$9</f>
        <v>48</v>
      </c>
      <c r="T23" s="30">
        <f>AVERAGE(T21:T22)</f>
        <v>0</v>
      </c>
      <c r="U23" s="30">
        <f>AVERAGE(U21:U22)</f>
        <v>0</v>
      </c>
    </row>
    <row r="24" spans="1:21" ht="17.25" customHeight="1" thickBot="1" x14ac:dyDescent="0.3">
      <c r="A24" s="252">
        <v>7</v>
      </c>
      <c r="B24" s="250"/>
      <c r="C24" s="266">
        <v>14</v>
      </c>
      <c r="D24" s="269" t="s">
        <v>23</v>
      </c>
      <c r="E24" s="29" t="s">
        <v>21</v>
      </c>
      <c r="F24" s="30">
        <f>'9A Sem 1'!E10</f>
        <v>90</v>
      </c>
      <c r="G24" s="30">
        <f>'9A Sem 1'!F10</f>
        <v>82</v>
      </c>
      <c r="H24" s="30">
        <f>'9A Sem 1'!G10</f>
        <v>63</v>
      </c>
      <c r="I24" s="30">
        <f>'9A Sem 1'!H10</f>
        <v>66</v>
      </c>
      <c r="J24" s="30">
        <f>'9A Sem 1'!I10</f>
        <v>69</v>
      </c>
      <c r="K24" s="30">
        <f>'9A Sem 1'!J10</f>
        <v>77</v>
      </c>
      <c r="L24" s="30">
        <f>'9A Sem 1'!K10</f>
        <v>80</v>
      </c>
      <c r="M24" s="30">
        <f>'9A Sem 1'!L10</f>
        <v>83</v>
      </c>
      <c r="N24" s="30">
        <f>'9A Sem 1'!M10</f>
        <v>88</v>
      </c>
      <c r="O24" s="30">
        <f>'9A Sem 1'!N10</f>
        <v>88</v>
      </c>
      <c r="P24" s="30">
        <f>'9A Sem 1'!O10</f>
        <v>90</v>
      </c>
      <c r="Q24" s="30">
        <f>'9A Sem 1'!P10</f>
        <v>876</v>
      </c>
      <c r="R24" s="30">
        <f>'9A Sem 1'!Q10</f>
        <v>79.63636363636364</v>
      </c>
      <c r="S24" s="30">
        <f>'9A Sem 1'!R10</f>
        <v>14</v>
      </c>
      <c r="T24" s="45">
        <f>'9A Sem 1'!S10</f>
        <v>0</v>
      </c>
      <c r="U24" s="45">
        <f>'9A Sem 1'!T10</f>
        <v>0</v>
      </c>
    </row>
    <row r="25" spans="1:21" ht="17.25" customHeight="1" thickBot="1" x14ac:dyDescent="0.3">
      <c r="A25" s="252"/>
      <c r="B25" s="261"/>
      <c r="C25" s="267">
        <v>14</v>
      </c>
      <c r="D25" s="270" t="s">
        <v>23</v>
      </c>
      <c r="E25" s="29" t="s">
        <v>22</v>
      </c>
      <c r="F25" s="30">
        <f>'9A Sem 2'!E10</f>
        <v>85</v>
      </c>
      <c r="G25" s="30">
        <f>'9A Sem 2'!F10</f>
        <v>83</v>
      </c>
      <c r="H25" s="30">
        <f>'9A Sem 2'!G10</f>
        <v>60</v>
      </c>
      <c r="I25" s="30">
        <f>'9A Sem 2'!H10</f>
        <v>69</v>
      </c>
      <c r="J25" s="30">
        <f>'9A Sem 2'!I10</f>
        <v>64</v>
      </c>
      <c r="K25" s="30">
        <f>'9A Sem 2'!J10</f>
        <v>81</v>
      </c>
      <c r="L25" s="30">
        <f>'9A Sem 2'!K10</f>
        <v>82</v>
      </c>
      <c r="M25" s="30">
        <f>'9A Sem 2'!L10</f>
        <v>81</v>
      </c>
      <c r="N25" s="30">
        <f>'9A Sem 2'!M10</f>
        <v>94</v>
      </c>
      <c r="O25" s="30">
        <f>'9A Sem 2'!N10</f>
        <v>87</v>
      </c>
      <c r="P25" s="30">
        <f>'9A Sem 2'!O10</f>
        <v>87</v>
      </c>
      <c r="Q25" s="30">
        <f>'9A Sem 2'!P10</f>
        <v>873</v>
      </c>
      <c r="R25" s="30">
        <f>'9A Sem 2'!Q10</f>
        <v>79.36363636363636</v>
      </c>
      <c r="S25" s="30">
        <f>'9A Sem 2'!R10</f>
        <v>19</v>
      </c>
      <c r="T25" s="45">
        <f>'9A Sem 2'!S10</f>
        <v>0</v>
      </c>
      <c r="U25" s="45">
        <f>'9A Sem 2'!T10</f>
        <v>0</v>
      </c>
    </row>
    <row r="26" spans="1:21" ht="17.25" customHeight="1" thickBot="1" x14ac:dyDescent="0.3">
      <c r="A26" s="252"/>
      <c r="B26" s="262"/>
      <c r="C26" s="268">
        <v>14</v>
      </c>
      <c r="D26" s="271" t="s">
        <v>23</v>
      </c>
      <c r="E26" s="29" t="s">
        <v>16</v>
      </c>
      <c r="F26" s="30">
        <f>AVERAGE(F24:F25)</f>
        <v>87.5</v>
      </c>
      <c r="G26" s="30">
        <f t="shared" ref="G26:R26" si="6">AVERAGE(G24:G25)</f>
        <v>82.5</v>
      </c>
      <c r="H26" s="30">
        <f t="shared" si="6"/>
        <v>61.5</v>
      </c>
      <c r="I26" s="30">
        <f t="shared" si="6"/>
        <v>67.5</v>
      </c>
      <c r="J26" s="30">
        <f t="shared" si="6"/>
        <v>66.5</v>
      </c>
      <c r="K26" s="30">
        <f t="shared" si="6"/>
        <v>79</v>
      </c>
      <c r="L26" s="30">
        <f t="shared" si="6"/>
        <v>81</v>
      </c>
      <c r="M26" s="30">
        <f t="shared" si="6"/>
        <v>82</v>
      </c>
      <c r="N26" s="30">
        <f t="shared" si="6"/>
        <v>91</v>
      </c>
      <c r="O26" s="30">
        <f t="shared" si="6"/>
        <v>87.5</v>
      </c>
      <c r="P26" s="30">
        <f t="shared" si="6"/>
        <v>88.5</v>
      </c>
      <c r="Q26" s="30">
        <f t="shared" si="6"/>
        <v>874.5</v>
      </c>
      <c r="R26" s="30">
        <f t="shared" si="6"/>
        <v>79.5</v>
      </c>
      <c r="S26" s="30">
        <f>'9A Sem avr'!$H$10</f>
        <v>16</v>
      </c>
      <c r="T26" s="30">
        <f>AVERAGE(T24:T25)</f>
        <v>0</v>
      </c>
      <c r="U26" s="30">
        <f>AVERAGE(U24:U25)</f>
        <v>0</v>
      </c>
    </row>
    <row r="27" spans="1:21" ht="17.25" customHeight="1" thickBot="1" x14ac:dyDescent="0.3">
      <c r="A27" s="252">
        <v>8</v>
      </c>
      <c r="B27" s="250"/>
      <c r="C27" s="266">
        <v>14</v>
      </c>
      <c r="D27" s="269" t="s">
        <v>20</v>
      </c>
      <c r="E27" s="29" t="s">
        <v>21</v>
      </c>
      <c r="F27" s="30">
        <f>'9A Sem 1'!E11</f>
        <v>88</v>
      </c>
      <c r="G27" s="30">
        <f>'9A Sem 1'!F11</f>
        <v>73</v>
      </c>
      <c r="H27" s="30">
        <f>'9A Sem 1'!G11</f>
        <v>61</v>
      </c>
      <c r="I27" s="30">
        <f>'9A Sem 1'!H11</f>
        <v>67</v>
      </c>
      <c r="J27" s="30">
        <f>'9A Sem 1'!I11</f>
        <v>68</v>
      </c>
      <c r="K27" s="30">
        <f>'9A Sem 1'!J11</f>
        <v>70</v>
      </c>
      <c r="L27" s="30">
        <f>'9A Sem 1'!K11</f>
        <v>66</v>
      </c>
      <c r="M27" s="30">
        <f>'9A Sem 1'!L11</f>
        <v>85</v>
      </c>
      <c r="N27" s="30">
        <f>'9A Sem 1'!M11</f>
        <v>79</v>
      </c>
      <c r="O27" s="30">
        <f>'9A Sem 1'!N11</f>
        <v>93</v>
      </c>
      <c r="P27" s="30">
        <f>'9A Sem 1'!O11</f>
        <v>78</v>
      </c>
      <c r="Q27" s="30">
        <f>'9A Sem 1'!P11</f>
        <v>828</v>
      </c>
      <c r="R27" s="30">
        <f>'9A Sem 1'!Q11</f>
        <v>75.272727272727266</v>
      </c>
      <c r="S27" s="30">
        <f>'9A Sem 1'!R11</f>
        <v>22</v>
      </c>
      <c r="T27" s="45">
        <f>'9A Sem 1'!S11</f>
        <v>0</v>
      </c>
      <c r="U27" s="45">
        <f>'9A Sem 1'!T11</f>
        <v>0</v>
      </c>
    </row>
    <row r="28" spans="1:21" ht="17.25" customHeight="1" thickBot="1" x14ac:dyDescent="0.3">
      <c r="A28" s="252"/>
      <c r="B28" s="261"/>
      <c r="C28" s="267">
        <v>14</v>
      </c>
      <c r="D28" s="270" t="s">
        <v>20</v>
      </c>
      <c r="E28" s="29" t="s">
        <v>22</v>
      </c>
      <c r="F28" s="30">
        <f>'9A Sem 2'!E11</f>
        <v>87</v>
      </c>
      <c r="G28" s="30">
        <f>'9A Sem 2'!F11</f>
        <v>74</v>
      </c>
      <c r="H28" s="30">
        <f>'9A Sem 2'!G11</f>
        <v>54</v>
      </c>
      <c r="I28" s="30">
        <f>'9A Sem 2'!H11</f>
        <v>52</v>
      </c>
      <c r="J28" s="30">
        <f>'9A Sem 2'!I11</f>
        <v>53</v>
      </c>
      <c r="K28" s="30">
        <f>'9A Sem 2'!J11</f>
        <v>59</v>
      </c>
      <c r="L28" s="30">
        <f>'9A Sem 2'!K11</f>
        <v>67</v>
      </c>
      <c r="M28" s="30">
        <f>'9A Sem 2'!L11</f>
        <v>76</v>
      </c>
      <c r="N28" s="30">
        <f>'9A Sem 2'!M11</f>
        <v>93</v>
      </c>
      <c r="O28" s="30">
        <f>'9A Sem 2'!N11</f>
        <v>83</v>
      </c>
      <c r="P28" s="30">
        <f>'9A Sem 2'!O11</f>
        <v>89</v>
      </c>
      <c r="Q28" s="30">
        <f>'9A Sem 2'!P11</f>
        <v>787</v>
      </c>
      <c r="R28" s="30">
        <f>'9A Sem 2'!Q11</f>
        <v>71.545454545454547</v>
      </c>
      <c r="S28" s="30">
        <f>'9A Sem 2'!R11</f>
        <v>28</v>
      </c>
      <c r="T28" s="45">
        <f>'9A Sem 2'!S11</f>
        <v>0</v>
      </c>
      <c r="U28" s="45">
        <f>'9A Sem 2'!T11</f>
        <v>0</v>
      </c>
    </row>
    <row r="29" spans="1:21" ht="17.25" customHeight="1" thickBot="1" x14ac:dyDescent="0.3">
      <c r="A29" s="252"/>
      <c r="B29" s="262"/>
      <c r="C29" s="268">
        <v>14</v>
      </c>
      <c r="D29" s="271" t="s">
        <v>20</v>
      </c>
      <c r="E29" s="29" t="s">
        <v>16</v>
      </c>
      <c r="F29" s="30">
        <f>AVERAGE(F27:F28)</f>
        <v>87.5</v>
      </c>
      <c r="G29" s="30">
        <f t="shared" ref="G29:R29" si="7">AVERAGE(G27:G28)</f>
        <v>73.5</v>
      </c>
      <c r="H29" s="30">
        <f t="shared" si="7"/>
        <v>57.5</v>
      </c>
      <c r="I29" s="30">
        <f t="shared" si="7"/>
        <v>59.5</v>
      </c>
      <c r="J29" s="30">
        <f t="shared" si="7"/>
        <v>60.5</v>
      </c>
      <c r="K29" s="30">
        <f t="shared" si="7"/>
        <v>64.5</v>
      </c>
      <c r="L29" s="30">
        <f t="shared" si="7"/>
        <v>66.5</v>
      </c>
      <c r="M29" s="30">
        <f t="shared" si="7"/>
        <v>80.5</v>
      </c>
      <c r="N29" s="30">
        <f t="shared" si="7"/>
        <v>86</v>
      </c>
      <c r="O29" s="30">
        <f t="shared" si="7"/>
        <v>88</v>
      </c>
      <c r="P29" s="30">
        <f t="shared" si="7"/>
        <v>83.5</v>
      </c>
      <c r="Q29" s="30">
        <f t="shared" si="7"/>
        <v>807.5</v>
      </c>
      <c r="R29" s="30">
        <f t="shared" si="7"/>
        <v>73.409090909090907</v>
      </c>
      <c r="S29" s="30">
        <f>'9A Sem avr'!$H$11</f>
        <v>26</v>
      </c>
      <c r="T29" s="30">
        <f>AVERAGE(T27:T28)</f>
        <v>0</v>
      </c>
      <c r="U29" s="30">
        <f>AVERAGE(U27:U28)</f>
        <v>0</v>
      </c>
    </row>
    <row r="30" spans="1:21" ht="17.25" customHeight="1" thickBot="1" x14ac:dyDescent="0.3">
      <c r="A30" s="246">
        <v>9</v>
      </c>
      <c r="B30" s="250"/>
      <c r="C30" s="266">
        <v>15</v>
      </c>
      <c r="D30" s="269" t="s">
        <v>20</v>
      </c>
      <c r="E30" s="29" t="s">
        <v>21</v>
      </c>
      <c r="F30" s="30">
        <f>'9A Sem 1'!E12</f>
        <v>77</v>
      </c>
      <c r="G30" s="30">
        <f>'9A Sem 1'!F12</f>
        <v>52</v>
      </c>
      <c r="H30" s="30">
        <f>'9A Sem 1'!G12</f>
        <v>33</v>
      </c>
      <c r="I30" s="30">
        <f>'9A Sem 1'!H12</f>
        <v>40</v>
      </c>
      <c r="J30" s="30">
        <f>'9A Sem 1'!I12</f>
        <v>40</v>
      </c>
      <c r="K30" s="30">
        <f>'9A Sem 1'!J12</f>
        <v>44</v>
      </c>
      <c r="L30" s="30">
        <f>'9A Sem 1'!K12</f>
        <v>50</v>
      </c>
      <c r="M30" s="30">
        <f>'9A Sem 1'!L12</f>
        <v>57</v>
      </c>
      <c r="N30" s="30">
        <f>'9A Sem 1'!M12</f>
        <v>51</v>
      </c>
      <c r="O30" s="30">
        <f>'9A Sem 1'!N12</f>
        <v>55</v>
      </c>
      <c r="P30" s="30">
        <f>'9A Sem 1'!O12</f>
        <v>78</v>
      </c>
      <c r="Q30" s="30">
        <f>'9A Sem 1'!P12</f>
        <v>577</v>
      </c>
      <c r="R30" s="30">
        <f>'9A Sem 1'!Q12</f>
        <v>52.454545454545453</v>
      </c>
      <c r="S30" s="30">
        <f>'9A Sem 1'!R12</f>
        <v>47</v>
      </c>
      <c r="T30" s="45">
        <f>'9A Sem 1'!S12</f>
        <v>0</v>
      </c>
      <c r="U30" s="45">
        <f>'9A Sem 1'!T12</f>
        <v>0</v>
      </c>
    </row>
    <row r="31" spans="1:21" ht="17.25" customHeight="1" thickBot="1" x14ac:dyDescent="0.3">
      <c r="A31" s="246"/>
      <c r="B31" s="261"/>
      <c r="C31" s="267">
        <v>15</v>
      </c>
      <c r="D31" s="270" t="s">
        <v>20</v>
      </c>
      <c r="E31" s="29" t="s">
        <v>22</v>
      </c>
      <c r="F31" s="30">
        <f>'9A Sem 2'!E12</f>
        <v>57</v>
      </c>
      <c r="G31" s="30">
        <f>'9A Sem 2'!F12</f>
        <v>46</v>
      </c>
      <c r="H31" s="30">
        <f>'9A Sem 2'!G12</f>
        <v>35</v>
      </c>
      <c r="I31" s="30">
        <f>'9A Sem 2'!H12</f>
        <v>42</v>
      </c>
      <c r="J31" s="30">
        <f>'9A Sem 2'!I12</f>
        <v>56</v>
      </c>
      <c r="K31" s="30">
        <f>'9A Sem 2'!J12</f>
        <v>34</v>
      </c>
      <c r="L31" s="30">
        <f>'9A Sem 2'!K12</f>
        <v>51</v>
      </c>
      <c r="M31" s="30">
        <f>'9A Sem 2'!L12</f>
        <v>40</v>
      </c>
      <c r="N31" s="30">
        <f>'9A Sem 2'!M12</f>
        <v>53</v>
      </c>
      <c r="O31" s="30">
        <f>'9A Sem 2'!N12</f>
        <v>54</v>
      </c>
      <c r="P31" s="30">
        <f>'9A Sem 2'!O12</f>
        <v>83</v>
      </c>
      <c r="Q31" s="30">
        <f>'9A Sem 2'!P12</f>
        <v>551</v>
      </c>
      <c r="R31" s="30">
        <f>'9A Sem 2'!Q12</f>
        <v>50.090909090909093</v>
      </c>
      <c r="S31" s="30">
        <f>'9A Sem 2'!R12</f>
        <v>47</v>
      </c>
      <c r="T31" s="45">
        <f>'9A Sem 2'!S12</f>
        <v>0</v>
      </c>
      <c r="U31" s="45">
        <f>'9A Sem 2'!T12</f>
        <v>0</v>
      </c>
    </row>
    <row r="32" spans="1:21" ht="17.25" customHeight="1" thickBot="1" x14ac:dyDescent="0.3">
      <c r="A32" s="246"/>
      <c r="B32" s="262"/>
      <c r="C32" s="268">
        <v>15</v>
      </c>
      <c r="D32" s="271" t="s">
        <v>20</v>
      </c>
      <c r="E32" s="29" t="s">
        <v>16</v>
      </c>
      <c r="F32" s="30">
        <f>AVERAGE(F30:F31)</f>
        <v>67</v>
      </c>
      <c r="G32" s="30">
        <f t="shared" ref="G32:R32" si="8">AVERAGE(G30:G31)</f>
        <v>49</v>
      </c>
      <c r="H32" s="30">
        <f t="shared" si="8"/>
        <v>34</v>
      </c>
      <c r="I32" s="30">
        <f t="shared" si="8"/>
        <v>41</v>
      </c>
      <c r="J32" s="30">
        <f t="shared" si="8"/>
        <v>48</v>
      </c>
      <c r="K32" s="30">
        <f t="shared" si="8"/>
        <v>39</v>
      </c>
      <c r="L32" s="30">
        <f t="shared" si="8"/>
        <v>50.5</v>
      </c>
      <c r="M32" s="30">
        <f t="shared" si="8"/>
        <v>48.5</v>
      </c>
      <c r="N32" s="30">
        <f t="shared" si="8"/>
        <v>52</v>
      </c>
      <c r="O32" s="30">
        <f t="shared" si="8"/>
        <v>54.5</v>
      </c>
      <c r="P32" s="30">
        <f t="shared" si="8"/>
        <v>80.5</v>
      </c>
      <c r="Q32" s="30">
        <f t="shared" si="8"/>
        <v>564</v>
      </c>
      <c r="R32" s="30">
        <f t="shared" si="8"/>
        <v>51.272727272727273</v>
      </c>
      <c r="S32" s="30">
        <f>'9A Sem avr'!$H$12</f>
        <v>47</v>
      </c>
      <c r="T32" s="30">
        <f>AVERAGE(T30:T31)</f>
        <v>0</v>
      </c>
      <c r="U32" s="30">
        <f>AVERAGE(U30:U31)</f>
        <v>0</v>
      </c>
    </row>
    <row r="33" spans="1:21" ht="17.25" customHeight="1" thickBot="1" x14ac:dyDescent="0.3">
      <c r="A33" s="252">
        <v>10</v>
      </c>
      <c r="B33" s="250"/>
      <c r="C33" s="250">
        <v>15</v>
      </c>
      <c r="D33" s="263" t="s">
        <v>20</v>
      </c>
      <c r="E33" s="29" t="s">
        <v>21</v>
      </c>
      <c r="F33" s="30">
        <f>'9A Sem 1'!E13</f>
        <v>89</v>
      </c>
      <c r="G33" s="30">
        <f>'9A Sem 1'!F13</f>
        <v>64</v>
      </c>
      <c r="H33" s="30">
        <f>'9A Sem 1'!G13</f>
        <v>56</v>
      </c>
      <c r="I33" s="30">
        <f>'9A Sem 1'!H13</f>
        <v>66</v>
      </c>
      <c r="J33" s="30">
        <f>'9A Sem 1'!I13</f>
        <v>58</v>
      </c>
      <c r="K33" s="30">
        <f>'9A Sem 1'!J13</f>
        <v>72</v>
      </c>
      <c r="L33" s="30">
        <f>'9A Sem 1'!K13</f>
        <v>82</v>
      </c>
      <c r="M33" s="30">
        <f>'9A Sem 1'!L13</f>
        <v>90</v>
      </c>
      <c r="N33" s="30">
        <f>'9A Sem 1'!M13</f>
        <v>77</v>
      </c>
      <c r="O33" s="30">
        <f>'9A Sem 1'!N13</f>
        <v>90</v>
      </c>
      <c r="P33" s="30">
        <f>'9A Sem 1'!O13</f>
        <v>100</v>
      </c>
      <c r="Q33" s="30">
        <f>'9A Sem 1'!P13</f>
        <v>844</v>
      </c>
      <c r="R33" s="30">
        <f>'9A Sem 1'!Q13</f>
        <v>76.727272727272734</v>
      </c>
      <c r="S33" s="30">
        <f>'9A Sem 1'!R13</f>
        <v>19</v>
      </c>
      <c r="T33" s="45">
        <f>'9A Sem 1'!S13</f>
        <v>0</v>
      </c>
      <c r="U33" s="45">
        <f>'9A Sem 1'!T13</f>
        <v>0</v>
      </c>
    </row>
    <row r="34" spans="1:21" ht="17.25" customHeight="1" thickBot="1" x14ac:dyDescent="0.3">
      <c r="A34" s="252"/>
      <c r="B34" s="261"/>
      <c r="C34" s="261">
        <v>15</v>
      </c>
      <c r="D34" s="264" t="s">
        <v>20</v>
      </c>
      <c r="E34" s="29" t="s">
        <v>22</v>
      </c>
      <c r="F34" s="30">
        <f>'9A Sem 2'!E13</f>
        <v>92</v>
      </c>
      <c r="G34" s="30">
        <f>'9A Sem 2'!F13</f>
        <v>64</v>
      </c>
      <c r="H34" s="30">
        <f>'9A Sem 2'!G13</f>
        <v>52</v>
      </c>
      <c r="I34" s="30">
        <f>'9A Sem 2'!H13</f>
        <v>58</v>
      </c>
      <c r="J34" s="30">
        <f>'9A Sem 2'!I13</f>
        <v>58</v>
      </c>
      <c r="K34" s="30">
        <f>'9A Sem 2'!J13</f>
        <v>75</v>
      </c>
      <c r="L34" s="30">
        <f>'9A Sem 2'!K13</f>
        <v>79</v>
      </c>
      <c r="M34" s="30">
        <f>'9A Sem 2'!L13</f>
        <v>73</v>
      </c>
      <c r="N34" s="30">
        <f>'9A Sem 2'!M13</f>
        <v>82</v>
      </c>
      <c r="O34" s="30">
        <f>'9A Sem 2'!N13</f>
        <v>85</v>
      </c>
      <c r="P34" s="30">
        <f>'9A Sem 2'!O13</f>
        <v>92</v>
      </c>
      <c r="Q34" s="30">
        <f>'9A Sem 2'!P13</f>
        <v>810</v>
      </c>
      <c r="R34" s="30">
        <f>'9A Sem 2'!Q13</f>
        <v>73.63636363636364</v>
      </c>
      <c r="S34" s="30">
        <f>'9A Sem 2'!R13</f>
        <v>25</v>
      </c>
      <c r="T34" s="45">
        <f>'9A Sem 2'!S13</f>
        <v>0</v>
      </c>
      <c r="U34" s="45">
        <f>'9A Sem 2'!T13</f>
        <v>0</v>
      </c>
    </row>
    <row r="35" spans="1:21" ht="17.25" customHeight="1" thickBot="1" x14ac:dyDescent="0.3">
      <c r="A35" s="252"/>
      <c r="B35" s="262"/>
      <c r="C35" s="262">
        <v>15</v>
      </c>
      <c r="D35" s="265" t="s">
        <v>20</v>
      </c>
      <c r="E35" s="29" t="s">
        <v>16</v>
      </c>
      <c r="F35" s="30">
        <f>AVERAGE(F33:F34)</f>
        <v>90.5</v>
      </c>
      <c r="G35" s="30">
        <f t="shared" ref="G35:R35" si="9">AVERAGE(G33:G34)</f>
        <v>64</v>
      </c>
      <c r="H35" s="30">
        <f t="shared" si="9"/>
        <v>54</v>
      </c>
      <c r="I35" s="30">
        <f t="shared" si="9"/>
        <v>62</v>
      </c>
      <c r="J35" s="30">
        <f t="shared" si="9"/>
        <v>58</v>
      </c>
      <c r="K35" s="30">
        <f t="shared" si="9"/>
        <v>73.5</v>
      </c>
      <c r="L35" s="30">
        <f t="shared" si="9"/>
        <v>80.5</v>
      </c>
      <c r="M35" s="30">
        <f t="shared" si="9"/>
        <v>81.5</v>
      </c>
      <c r="N35" s="30">
        <f t="shared" si="9"/>
        <v>79.5</v>
      </c>
      <c r="O35" s="30">
        <f t="shared" si="9"/>
        <v>87.5</v>
      </c>
      <c r="P35" s="30">
        <f t="shared" si="9"/>
        <v>96</v>
      </c>
      <c r="Q35" s="30">
        <f t="shared" si="9"/>
        <v>827</v>
      </c>
      <c r="R35" s="30">
        <f t="shared" si="9"/>
        <v>75.181818181818187</v>
      </c>
      <c r="S35" s="30">
        <f>'9A Sem avr'!$H$13</f>
        <v>24</v>
      </c>
      <c r="T35" s="30">
        <f>AVERAGE(T33:T34)</f>
        <v>0</v>
      </c>
      <c r="U35" s="30">
        <f>AVERAGE(U33:U34)</f>
        <v>0</v>
      </c>
    </row>
    <row r="36" spans="1:21" ht="17.25" customHeight="1" thickBot="1" x14ac:dyDescent="0.3">
      <c r="A36" s="246">
        <v>11</v>
      </c>
      <c r="B36" s="247"/>
      <c r="C36" s="247">
        <v>14</v>
      </c>
      <c r="D36" s="248" t="s">
        <v>23</v>
      </c>
      <c r="E36" s="29" t="s">
        <v>21</v>
      </c>
      <c r="F36" s="30">
        <f>'9A Sem 1'!E14</f>
        <v>84</v>
      </c>
      <c r="G36" s="30">
        <f>'9A Sem 1'!F14</f>
        <v>82</v>
      </c>
      <c r="H36" s="30">
        <f>'9A Sem 1'!G14</f>
        <v>84</v>
      </c>
      <c r="I36" s="30">
        <f>'9A Sem 1'!H14</f>
        <v>78</v>
      </c>
      <c r="J36" s="30">
        <f>'9A Sem 1'!I14</f>
        <v>68</v>
      </c>
      <c r="K36" s="30">
        <f>'9A Sem 1'!J14</f>
        <v>68</v>
      </c>
      <c r="L36" s="30">
        <f>'9A Sem 1'!K14</f>
        <v>82</v>
      </c>
      <c r="M36" s="30">
        <f>'9A Sem 1'!L14</f>
        <v>81</v>
      </c>
      <c r="N36" s="30">
        <f>'9A Sem 1'!M14</f>
        <v>81</v>
      </c>
      <c r="O36" s="30">
        <f>'9A Sem 1'!N14</f>
        <v>99</v>
      </c>
      <c r="P36" s="30">
        <f>'9A Sem 1'!O14</f>
        <v>94</v>
      </c>
      <c r="Q36" s="30">
        <f>'9A Sem 1'!P14</f>
        <v>901</v>
      </c>
      <c r="R36" s="30">
        <f>'9A Sem 1'!Q14</f>
        <v>81.909090909090907</v>
      </c>
      <c r="S36" s="30">
        <f>'9A Sem 1'!R14</f>
        <v>11</v>
      </c>
      <c r="T36" s="45">
        <f>'9A Sem 1'!S14</f>
        <v>0</v>
      </c>
      <c r="U36" s="45">
        <f>'9A Sem 1'!T14</f>
        <v>0</v>
      </c>
    </row>
    <row r="37" spans="1:21" ht="17.25" customHeight="1" thickBot="1" x14ac:dyDescent="0.3">
      <c r="A37" s="246"/>
      <c r="B37" s="247"/>
      <c r="C37" s="247">
        <v>14</v>
      </c>
      <c r="D37" s="248" t="s">
        <v>23</v>
      </c>
      <c r="E37" s="29" t="s">
        <v>22</v>
      </c>
      <c r="F37" s="30">
        <f>'9A Sem 2'!E14</f>
        <v>87</v>
      </c>
      <c r="G37" s="30">
        <f>'9A Sem 2'!F14</f>
        <v>85</v>
      </c>
      <c r="H37" s="30">
        <f>'9A Sem 2'!G14</f>
        <v>81</v>
      </c>
      <c r="I37" s="30">
        <f>'9A Sem 2'!H14</f>
        <v>78</v>
      </c>
      <c r="J37" s="30">
        <f>'9A Sem 2'!I14</f>
        <v>68</v>
      </c>
      <c r="K37" s="30">
        <f>'9A Sem 2'!J14</f>
        <v>73</v>
      </c>
      <c r="L37" s="30">
        <f>'9A Sem 2'!K14</f>
        <v>78</v>
      </c>
      <c r="M37" s="30">
        <f>'9A Sem 2'!L14</f>
        <v>77</v>
      </c>
      <c r="N37" s="30">
        <f>'9A Sem 2'!M14</f>
        <v>90</v>
      </c>
      <c r="O37" s="30">
        <f>'9A Sem 2'!N14</f>
        <v>99</v>
      </c>
      <c r="P37" s="30">
        <f>'9A Sem 2'!O14</f>
        <v>92</v>
      </c>
      <c r="Q37" s="30">
        <f>'9A Sem 2'!P14</f>
        <v>908</v>
      </c>
      <c r="R37" s="30">
        <f>'9A Sem 2'!Q14</f>
        <v>82.545454545454547</v>
      </c>
      <c r="S37" s="30">
        <f>'9A Sem 2'!R14</f>
        <v>14</v>
      </c>
      <c r="T37" s="45">
        <f>'9A Sem 2'!S14</f>
        <v>0</v>
      </c>
      <c r="U37" s="45">
        <f>'9A Sem 2'!T14</f>
        <v>0</v>
      </c>
    </row>
    <row r="38" spans="1:21" ht="17.25" customHeight="1" thickBot="1" x14ac:dyDescent="0.3">
      <c r="A38" s="246"/>
      <c r="B38" s="247"/>
      <c r="C38" s="247">
        <v>14</v>
      </c>
      <c r="D38" s="248" t="s">
        <v>23</v>
      </c>
      <c r="E38" s="29" t="s">
        <v>16</v>
      </c>
      <c r="F38" s="30">
        <f>AVERAGE(F36:F37)</f>
        <v>85.5</v>
      </c>
      <c r="G38" s="30">
        <f t="shared" ref="G38:R38" si="10">AVERAGE(G36:G37)</f>
        <v>83.5</v>
      </c>
      <c r="H38" s="30">
        <f t="shared" si="10"/>
        <v>82.5</v>
      </c>
      <c r="I38" s="30">
        <f t="shared" si="10"/>
        <v>78</v>
      </c>
      <c r="J38" s="30">
        <f t="shared" si="10"/>
        <v>68</v>
      </c>
      <c r="K38" s="30">
        <f t="shared" si="10"/>
        <v>70.5</v>
      </c>
      <c r="L38" s="30">
        <f t="shared" si="10"/>
        <v>80</v>
      </c>
      <c r="M38" s="30">
        <f t="shared" si="10"/>
        <v>79</v>
      </c>
      <c r="N38" s="30">
        <f t="shared" si="10"/>
        <v>85.5</v>
      </c>
      <c r="O38" s="30">
        <f t="shared" si="10"/>
        <v>99</v>
      </c>
      <c r="P38" s="30">
        <f t="shared" si="10"/>
        <v>93</v>
      </c>
      <c r="Q38" s="30">
        <f t="shared" si="10"/>
        <v>904.5</v>
      </c>
      <c r="R38" s="30">
        <f t="shared" si="10"/>
        <v>82.22727272727272</v>
      </c>
      <c r="S38" s="30">
        <f>'9A Sem avr'!$H$14</f>
        <v>11</v>
      </c>
      <c r="T38" s="30">
        <f>AVERAGE(T36:T37)</f>
        <v>0</v>
      </c>
      <c r="U38" s="30">
        <f>AVERAGE(U36:U37)</f>
        <v>0</v>
      </c>
    </row>
    <row r="39" spans="1:21" ht="17.25" customHeight="1" thickBot="1" x14ac:dyDescent="0.3">
      <c r="A39" s="246">
        <v>12</v>
      </c>
      <c r="B39" s="247"/>
      <c r="C39" s="253">
        <v>15</v>
      </c>
      <c r="D39" s="254" t="s">
        <v>23</v>
      </c>
      <c r="E39" s="29" t="s">
        <v>21</v>
      </c>
      <c r="F39" s="30">
        <f>'9A Sem 1'!E15</f>
        <v>71</v>
      </c>
      <c r="G39" s="30">
        <f>'9A Sem 1'!F15</f>
        <v>66</v>
      </c>
      <c r="H39" s="30">
        <f>'9A Sem 1'!G15</f>
        <v>55</v>
      </c>
      <c r="I39" s="30">
        <f>'9A Sem 1'!H15</f>
        <v>45</v>
      </c>
      <c r="J39" s="30">
        <f>'9A Sem 1'!I15</f>
        <v>54</v>
      </c>
      <c r="K39" s="30">
        <f>'9A Sem 1'!J15</f>
        <v>41</v>
      </c>
      <c r="L39" s="30">
        <f>'9A Sem 1'!K15</f>
        <v>51</v>
      </c>
      <c r="M39" s="30">
        <f>'9A Sem 1'!L15</f>
        <v>56</v>
      </c>
      <c r="N39" s="30">
        <f>'9A Sem 1'!M15</f>
        <v>60</v>
      </c>
      <c r="O39" s="30">
        <f>'9A Sem 1'!N15</f>
        <v>77</v>
      </c>
      <c r="P39" s="30">
        <f>'9A Sem 1'!O15</f>
        <v>85</v>
      </c>
      <c r="Q39" s="30">
        <f>'9A Sem 1'!P15</f>
        <v>661</v>
      </c>
      <c r="R39" s="30">
        <f>'9A Sem 1'!Q15</f>
        <v>60.090909090909093</v>
      </c>
      <c r="S39" s="30">
        <f>'9A Sem 1'!R15</f>
        <v>39</v>
      </c>
      <c r="T39" s="45">
        <f>'9A Sem 1'!S15</f>
        <v>0</v>
      </c>
      <c r="U39" s="45">
        <f>'9A Sem 1'!T15</f>
        <v>0</v>
      </c>
    </row>
    <row r="40" spans="1:21" ht="17.25" customHeight="1" thickBot="1" x14ac:dyDescent="0.3">
      <c r="A40" s="246"/>
      <c r="B40" s="247"/>
      <c r="C40" s="253">
        <v>15</v>
      </c>
      <c r="D40" s="254" t="s">
        <v>23</v>
      </c>
      <c r="E40" s="29" t="s">
        <v>22</v>
      </c>
      <c r="F40" s="30">
        <f>'9A Sem 2'!E15</f>
        <v>84</v>
      </c>
      <c r="G40" s="30">
        <f>'9A Sem 2'!F15</f>
        <v>50</v>
      </c>
      <c r="H40" s="30">
        <f>'9A Sem 2'!G15</f>
        <v>57</v>
      </c>
      <c r="I40" s="30">
        <f>'9A Sem 2'!H15</f>
        <v>53</v>
      </c>
      <c r="J40" s="30">
        <f>'9A Sem 2'!I15</f>
        <v>54</v>
      </c>
      <c r="K40" s="30">
        <f>'9A Sem 2'!J15</f>
        <v>50</v>
      </c>
      <c r="L40" s="30">
        <f>'9A Sem 2'!K15</f>
        <v>55</v>
      </c>
      <c r="M40" s="30">
        <f>'9A Sem 2'!L15</f>
        <v>50</v>
      </c>
      <c r="N40" s="30">
        <f>'9A Sem 2'!M15</f>
        <v>63</v>
      </c>
      <c r="O40" s="30">
        <f>'9A Sem 2'!N15</f>
        <v>76</v>
      </c>
      <c r="P40" s="30">
        <f>'9A Sem 2'!O15</f>
        <v>93</v>
      </c>
      <c r="Q40" s="30">
        <f>'9A Sem 2'!P15</f>
        <v>685</v>
      </c>
      <c r="R40" s="30">
        <f>'9A Sem 2'!Q15</f>
        <v>62.272727272727273</v>
      </c>
      <c r="S40" s="30">
        <f>'9A Sem 2'!R15</f>
        <v>42</v>
      </c>
      <c r="T40" s="45">
        <f>'9A Sem 2'!S15</f>
        <v>0</v>
      </c>
      <c r="U40" s="45">
        <f>'9A Sem 2'!T15</f>
        <v>0</v>
      </c>
    </row>
    <row r="41" spans="1:21" ht="17.25" customHeight="1" thickBot="1" x14ac:dyDescent="0.3">
      <c r="A41" s="246"/>
      <c r="B41" s="247"/>
      <c r="C41" s="253">
        <v>15</v>
      </c>
      <c r="D41" s="254" t="s">
        <v>23</v>
      </c>
      <c r="E41" s="29" t="s">
        <v>16</v>
      </c>
      <c r="F41" s="30">
        <f>AVERAGE(F39:F40)</f>
        <v>77.5</v>
      </c>
      <c r="G41" s="30">
        <f t="shared" ref="G41:R41" si="11">AVERAGE(G39:G40)</f>
        <v>58</v>
      </c>
      <c r="H41" s="30">
        <f t="shared" si="11"/>
        <v>56</v>
      </c>
      <c r="I41" s="30">
        <f t="shared" si="11"/>
        <v>49</v>
      </c>
      <c r="J41" s="30">
        <f t="shared" si="11"/>
        <v>54</v>
      </c>
      <c r="K41" s="30">
        <f t="shared" si="11"/>
        <v>45.5</v>
      </c>
      <c r="L41" s="30">
        <f t="shared" si="11"/>
        <v>53</v>
      </c>
      <c r="M41" s="30">
        <f t="shared" si="11"/>
        <v>53</v>
      </c>
      <c r="N41" s="30">
        <f t="shared" si="11"/>
        <v>61.5</v>
      </c>
      <c r="O41" s="30">
        <f t="shared" si="11"/>
        <v>76.5</v>
      </c>
      <c r="P41" s="30">
        <f t="shared" si="11"/>
        <v>89</v>
      </c>
      <c r="Q41" s="30">
        <f t="shared" si="11"/>
        <v>673</v>
      </c>
      <c r="R41" s="30">
        <f t="shared" si="11"/>
        <v>61.181818181818187</v>
      </c>
      <c r="S41" s="30">
        <f>'9A Sem avr'!$H$15</f>
        <v>42</v>
      </c>
      <c r="T41" s="30">
        <f>AVERAGE(T39:T40)</f>
        <v>0</v>
      </c>
      <c r="U41" s="30">
        <f>AVERAGE(U39:U40)</f>
        <v>0</v>
      </c>
    </row>
    <row r="42" spans="1:21" ht="17.25" customHeight="1" thickBot="1" x14ac:dyDescent="0.3">
      <c r="A42" s="246">
        <v>13</v>
      </c>
      <c r="B42" s="247"/>
      <c r="C42" s="247">
        <v>14</v>
      </c>
      <c r="D42" s="248" t="s">
        <v>23</v>
      </c>
      <c r="E42" s="29" t="s">
        <v>21</v>
      </c>
      <c r="F42" s="30">
        <f>'9A Sem 1'!E16</f>
        <v>87</v>
      </c>
      <c r="G42" s="30">
        <f>'9A Sem 1'!F16</f>
        <v>70</v>
      </c>
      <c r="H42" s="30">
        <f>'9A Sem 1'!G16</f>
        <v>56</v>
      </c>
      <c r="I42" s="30">
        <f>'9A Sem 1'!H16</f>
        <v>64</v>
      </c>
      <c r="J42" s="30">
        <f>'9A Sem 1'!I16</f>
        <v>56</v>
      </c>
      <c r="K42" s="30">
        <f>'9A Sem 1'!J16</f>
        <v>57</v>
      </c>
      <c r="L42" s="30">
        <f>'9A Sem 1'!K16</f>
        <v>68</v>
      </c>
      <c r="M42" s="30">
        <f>'9A Sem 1'!L16</f>
        <v>73</v>
      </c>
      <c r="N42" s="30">
        <f>'9A Sem 1'!M16</f>
        <v>71</v>
      </c>
      <c r="O42" s="30">
        <f>'9A Sem 1'!N16</f>
        <v>83</v>
      </c>
      <c r="P42" s="30">
        <f>'9A Sem 1'!O16</f>
        <v>80</v>
      </c>
      <c r="Q42" s="30">
        <f>'9A Sem 1'!P16</f>
        <v>765</v>
      </c>
      <c r="R42" s="30">
        <f>'9A Sem 1'!Q16</f>
        <v>69.545454545454547</v>
      </c>
      <c r="S42" s="30">
        <f>'9A Sem 1'!R16</f>
        <v>29</v>
      </c>
      <c r="T42" s="45">
        <f>'9A Sem 1'!S16</f>
        <v>0</v>
      </c>
      <c r="U42" s="45">
        <f>'9A Sem 1'!T16</f>
        <v>0</v>
      </c>
    </row>
    <row r="43" spans="1:21" ht="17.25" customHeight="1" thickBot="1" x14ac:dyDescent="0.3">
      <c r="A43" s="246"/>
      <c r="B43" s="247"/>
      <c r="C43" s="247">
        <v>14</v>
      </c>
      <c r="D43" s="248" t="s">
        <v>23</v>
      </c>
      <c r="E43" s="29" t="s">
        <v>22</v>
      </c>
      <c r="F43" s="30">
        <f>'9A Sem 2'!E16</f>
        <v>86</v>
      </c>
      <c r="G43" s="30">
        <f>'9A Sem 2'!F16</f>
        <v>71</v>
      </c>
      <c r="H43" s="30">
        <f>'9A Sem 2'!G16</f>
        <v>49</v>
      </c>
      <c r="I43" s="30">
        <f>'9A Sem 2'!H16</f>
        <v>56</v>
      </c>
      <c r="J43" s="30">
        <f>'9A Sem 2'!I16</f>
        <v>54</v>
      </c>
      <c r="K43" s="30">
        <f>'9A Sem 2'!J16</f>
        <v>68</v>
      </c>
      <c r="L43" s="30">
        <f>'9A Sem 2'!K16</f>
        <v>71</v>
      </c>
      <c r="M43" s="30">
        <f>'9A Sem 2'!L16</f>
        <v>73</v>
      </c>
      <c r="N43" s="30">
        <f>'9A Sem 2'!M16</f>
        <v>88</v>
      </c>
      <c r="O43" s="30">
        <f>'9A Sem 2'!N16</f>
        <v>86</v>
      </c>
      <c r="P43" s="30">
        <f>'9A Sem 2'!O16</f>
        <v>86</v>
      </c>
      <c r="Q43" s="30">
        <f>'9A Sem 2'!P16</f>
        <v>788</v>
      </c>
      <c r="R43" s="30">
        <f>'9A Sem 2'!Q16</f>
        <v>71.63636363636364</v>
      </c>
      <c r="S43" s="30">
        <f>'9A Sem 2'!R16</f>
        <v>27</v>
      </c>
      <c r="T43" s="45">
        <f>'9A Sem 2'!S16</f>
        <v>0</v>
      </c>
      <c r="U43" s="45">
        <f>'9A Sem 2'!T16</f>
        <v>0</v>
      </c>
    </row>
    <row r="44" spans="1:21" ht="17.25" customHeight="1" thickBot="1" x14ac:dyDescent="0.3">
      <c r="A44" s="246"/>
      <c r="B44" s="247"/>
      <c r="C44" s="247">
        <v>14</v>
      </c>
      <c r="D44" s="248" t="s">
        <v>23</v>
      </c>
      <c r="E44" s="29" t="s">
        <v>16</v>
      </c>
      <c r="F44" s="30">
        <f>AVERAGE(F42:F43)</f>
        <v>86.5</v>
      </c>
      <c r="G44" s="30">
        <f t="shared" ref="G44:R44" si="12">AVERAGE(G42:G43)</f>
        <v>70.5</v>
      </c>
      <c r="H44" s="30">
        <f t="shared" si="12"/>
        <v>52.5</v>
      </c>
      <c r="I44" s="30">
        <f t="shared" si="12"/>
        <v>60</v>
      </c>
      <c r="J44" s="30">
        <f t="shared" si="12"/>
        <v>55</v>
      </c>
      <c r="K44" s="30">
        <f t="shared" si="12"/>
        <v>62.5</v>
      </c>
      <c r="L44" s="30">
        <f t="shared" si="12"/>
        <v>69.5</v>
      </c>
      <c r="M44" s="30">
        <f t="shared" si="12"/>
        <v>73</v>
      </c>
      <c r="N44" s="30">
        <f t="shared" si="12"/>
        <v>79.5</v>
      </c>
      <c r="O44" s="30">
        <f t="shared" si="12"/>
        <v>84.5</v>
      </c>
      <c r="P44" s="30">
        <f t="shared" si="12"/>
        <v>83</v>
      </c>
      <c r="Q44" s="30">
        <f t="shared" si="12"/>
        <v>776.5</v>
      </c>
      <c r="R44" s="30">
        <f t="shared" si="12"/>
        <v>70.590909090909093</v>
      </c>
      <c r="S44" s="30">
        <f>'9A Sem avr'!$H$16</f>
        <v>28</v>
      </c>
      <c r="T44" s="30">
        <f>AVERAGE(T42:T43)</f>
        <v>0</v>
      </c>
      <c r="U44" s="30">
        <f>AVERAGE(U42:U43)</f>
        <v>0</v>
      </c>
    </row>
    <row r="45" spans="1:21" ht="17.25" customHeight="1" thickBot="1" x14ac:dyDescent="0.3">
      <c r="A45" s="252">
        <v>14</v>
      </c>
      <c r="B45" s="247"/>
      <c r="C45" s="253">
        <v>15</v>
      </c>
      <c r="D45" s="254" t="s">
        <v>23</v>
      </c>
      <c r="E45" s="29" t="s">
        <v>21</v>
      </c>
      <c r="F45" s="30">
        <f>'9A Sem 1'!E17</f>
        <v>88</v>
      </c>
      <c r="G45" s="30">
        <f>'9A Sem 1'!F17</f>
        <v>78</v>
      </c>
      <c r="H45" s="30">
        <f>'9A Sem 1'!G17</f>
        <v>74</v>
      </c>
      <c r="I45" s="30">
        <f>'9A Sem 1'!H17</f>
        <v>78</v>
      </c>
      <c r="J45" s="30">
        <f>'9A Sem 1'!I17</f>
        <v>90</v>
      </c>
      <c r="K45" s="30">
        <f>'9A Sem 1'!J17</f>
        <v>97</v>
      </c>
      <c r="L45" s="30">
        <f>'9A Sem 1'!K17</f>
        <v>93</v>
      </c>
      <c r="M45" s="30">
        <f>'9A Sem 1'!L17</f>
        <v>94</v>
      </c>
      <c r="N45" s="30">
        <f>'9A Sem 1'!M17</f>
        <v>92</v>
      </c>
      <c r="O45" s="30">
        <f>'9A Sem 1'!N17</f>
        <v>95</v>
      </c>
      <c r="P45" s="30">
        <f>'9A Sem 1'!O17</f>
        <v>98</v>
      </c>
      <c r="Q45" s="30">
        <f>'9A Sem 1'!P17</f>
        <v>977</v>
      </c>
      <c r="R45" s="30">
        <f>'9A Sem 1'!Q17</f>
        <v>88.818181818181813</v>
      </c>
      <c r="S45" s="30">
        <f>'9A Sem 1'!R17</f>
        <v>4</v>
      </c>
      <c r="T45" s="45">
        <f>'9A Sem 1'!S17</f>
        <v>0</v>
      </c>
      <c r="U45" s="45">
        <f>'9A Sem 1'!T17</f>
        <v>0</v>
      </c>
    </row>
    <row r="46" spans="1:21" ht="17.25" customHeight="1" thickBot="1" x14ac:dyDescent="0.3">
      <c r="A46" s="252"/>
      <c r="B46" s="247"/>
      <c r="C46" s="253">
        <v>15</v>
      </c>
      <c r="D46" s="254" t="s">
        <v>23</v>
      </c>
      <c r="E46" s="29" t="s">
        <v>22</v>
      </c>
      <c r="F46" s="30">
        <f>'9A Sem 2'!E17</f>
        <v>91</v>
      </c>
      <c r="G46" s="30">
        <f>'9A Sem 2'!F17</f>
        <v>88</v>
      </c>
      <c r="H46" s="30">
        <f>'9A Sem 2'!G17</f>
        <v>93</v>
      </c>
      <c r="I46" s="30">
        <f>'9A Sem 2'!H17</f>
        <v>87</v>
      </c>
      <c r="J46" s="30">
        <f>'9A Sem 2'!I17</f>
        <v>90</v>
      </c>
      <c r="K46" s="30">
        <f>'9A Sem 2'!J17</f>
        <v>100</v>
      </c>
      <c r="L46" s="30">
        <f>'9A Sem 2'!K17</f>
        <v>97</v>
      </c>
      <c r="M46" s="30">
        <f>'9A Sem 2'!L17</f>
        <v>100</v>
      </c>
      <c r="N46" s="30">
        <f>'9A Sem 2'!M17</f>
        <v>100</v>
      </c>
      <c r="O46" s="30">
        <f>'9A Sem 2'!N17</f>
        <v>96</v>
      </c>
      <c r="P46" s="30">
        <f>'9A Sem 2'!O17</f>
        <v>97</v>
      </c>
      <c r="Q46" s="30">
        <f>'9A Sem 2'!P17</f>
        <v>1039</v>
      </c>
      <c r="R46" s="30">
        <f>'9A Sem 2'!Q17</f>
        <v>94.454545454545453</v>
      </c>
      <c r="S46" s="30">
        <f>'9A Sem 2'!R17</f>
        <v>2</v>
      </c>
      <c r="T46" s="45">
        <f>'9A Sem 2'!S17</f>
        <v>0</v>
      </c>
      <c r="U46" s="45">
        <f>'9A Sem 2'!T17</f>
        <v>0</v>
      </c>
    </row>
    <row r="47" spans="1:21" ht="17.25" customHeight="1" thickBot="1" x14ac:dyDescent="0.3">
      <c r="A47" s="252"/>
      <c r="B47" s="247"/>
      <c r="C47" s="253">
        <v>15</v>
      </c>
      <c r="D47" s="254" t="s">
        <v>23</v>
      </c>
      <c r="E47" s="29" t="s">
        <v>16</v>
      </c>
      <c r="F47" s="30">
        <f>AVERAGE(F45:F46)</f>
        <v>89.5</v>
      </c>
      <c r="G47" s="30">
        <f t="shared" ref="G47:R47" si="13">AVERAGE(G45:G46)</f>
        <v>83</v>
      </c>
      <c r="H47" s="30">
        <f t="shared" si="13"/>
        <v>83.5</v>
      </c>
      <c r="I47" s="30">
        <f t="shared" si="13"/>
        <v>82.5</v>
      </c>
      <c r="J47" s="30">
        <f t="shared" si="13"/>
        <v>90</v>
      </c>
      <c r="K47" s="30">
        <f t="shared" si="13"/>
        <v>98.5</v>
      </c>
      <c r="L47" s="30">
        <f t="shared" si="13"/>
        <v>95</v>
      </c>
      <c r="M47" s="30">
        <f t="shared" si="13"/>
        <v>97</v>
      </c>
      <c r="N47" s="30">
        <f t="shared" si="13"/>
        <v>96</v>
      </c>
      <c r="O47" s="30">
        <f t="shared" si="13"/>
        <v>95.5</v>
      </c>
      <c r="P47" s="30">
        <f t="shared" si="13"/>
        <v>97.5</v>
      </c>
      <c r="Q47" s="30">
        <f t="shared" si="13"/>
        <v>1008</v>
      </c>
      <c r="R47" s="30">
        <f t="shared" si="13"/>
        <v>91.636363636363626</v>
      </c>
      <c r="S47" s="30">
        <f>'9A Sem avr'!$H$17</f>
        <v>2</v>
      </c>
      <c r="T47" s="30">
        <f>AVERAGE(T45:T46)</f>
        <v>0</v>
      </c>
      <c r="U47" s="30">
        <f>AVERAGE(U45:U46)</f>
        <v>0</v>
      </c>
    </row>
    <row r="48" spans="1:21" ht="17.25" customHeight="1" thickBot="1" x14ac:dyDescent="0.3">
      <c r="A48" s="246">
        <v>15</v>
      </c>
      <c r="B48" s="247"/>
      <c r="C48" s="253">
        <v>15</v>
      </c>
      <c r="D48" s="254" t="s">
        <v>20</v>
      </c>
      <c r="E48" s="29" t="s">
        <v>21</v>
      </c>
      <c r="F48" s="30">
        <f>'9A Sem 1'!E18</f>
        <v>77</v>
      </c>
      <c r="G48" s="30">
        <f>'9A Sem 1'!F18</f>
        <v>79</v>
      </c>
      <c r="H48" s="31">
        <f>'9A Sem 1'!G18</f>
        <v>84</v>
      </c>
      <c r="I48" s="30">
        <f>'9A Sem 1'!H18</f>
        <v>72</v>
      </c>
      <c r="J48" s="30">
        <f>'9A Sem 1'!I18</f>
        <v>89</v>
      </c>
      <c r="K48" s="30">
        <f>'9A Sem 1'!J18</f>
        <v>84</v>
      </c>
      <c r="L48" s="30">
        <f>'9A Sem 1'!K18</f>
        <v>92</v>
      </c>
      <c r="M48" s="30">
        <f>'9A Sem 1'!L18</f>
        <v>82</v>
      </c>
      <c r="N48" s="30">
        <f>'9A Sem 1'!M18</f>
        <v>81</v>
      </c>
      <c r="O48" s="30">
        <f>'9A Sem 1'!N18</f>
        <v>99</v>
      </c>
      <c r="P48" s="30">
        <f>'9A Sem 1'!O18</f>
        <v>96</v>
      </c>
      <c r="Q48" s="30">
        <f>'9A Sem 1'!P18</f>
        <v>935</v>
      </c>
      <c r="R48" s="30">
        <f>'9A Sem 1'!Q18</f>
        <v>85</v>
      </c>
      <c r="S48" s="30">
        <f>'9A Sem 1'!R18</f>
        <v>8</v>
      </c>
      <c r="T48" s="45">
        <f>'9A Sem 1'!S18</f>
        <v>0</v>
      </c>
      <c r="U48" s="45">
        <f>'9A Sem 1'!T18</f>
        <v>0</v>
      </c>
    </row>
    <row r="49" spans="1:26" ht="17.25" customHeight="1" thickBot="1" x14ac:dyDescent="0.3">
      <c r="A49" s="246"/>
      <c r="B49" s="247"/>
      <c r="C49" s="253">
        <v>15</v>
      </c>
      <c r="D49" s="254" t="s">
        <v>20</v>
      </c>
      <c r="E49" s="29" t="s">
        <v>22</v>
      </c>
      <c r="F49" s="30">
        <f>'9A Sem 2'!E18</f>
        <v>80</v>
      </c>
      <c r="G49" s="30">
        <f>'9A Sem 2'!F18</f>
        <v>84</v>
      </c>
      <c r="H49" s="31">
        <f>'9A Sem 2'!G18</f>
        <v>83</v>
      </c>
      <c r="I49" s="30">
        <f>'9A Sem 2'!H18</f>
        <v>82</v>
      </c>
      <c r="J49" s="30">
        <f>'9A Sem 2'!I18</f>
        <v>88</v>
      </c>
      <c r="K49" s="30">
        <f>'9A Sem 2'!J18</f>
        <v>91</v>
      </c>
      <c r="L49" s="30">
        <f>'9A Sem 2'!K18</f>
        <v>93</v>
      </c>
      <c r="M49" s="30">
        <f>'9A Sem 2'!L18</f>
        <v>87</v>
      </c>
      <c r="N49" s="30">
        <f>'9A Sem 2'!M18</f>
        <v>89</v>
      </c>
      <c r="O49" s="30">
        <f>'9A Sem 2'!N18</f>
        <v>91</v>
      </c>
      <c r="P49" s="30">
        <f>'9A Sem 2'!O18</f>
        <v>98</v>
      </c>
      <c r="Q49" s="30">
        <f>'9A Sem 2'!P18</f>
        <v>966</v>
      </c>
      <c r="R49" s="30">
        <f>'9A Sem 2'!Q18</f>
        <v>87.818181818181813</v>
      </c>
      <c r="S49" s="30">
        <f>'9A Sem 2'!R18</f>
        <v>8</v>
      </c>
      <c r="T49" s="45">
        <f>'9A Sem 2'!S18</f>
        <v>0</v>
      </c>
      <c r="U49" s="45">
        <f>'9A Sem 2'!T18</f>
        <v>0</v>
      </c>
      <c r="V49" s="6"/>
      <c r="W49" s="6"/>
      <c r="X49" s="6"/>
      <c r="Y49" s="6"/>
      <c r="Z49" s="6"/>
    </row>
    <row r="50" spans="1:26" ht="17.25" customHeight="1" thickBot="1" x14ac:dyDescent="0.3">
      <c r="A50" s="246"/>
      <c r="B50" s="247"/>
      <c r="C50" s="253">
        <v>15</v>
      </c>
      <c r="D50" s="254" t="s">
        <v>20</v>
      </c>
      <c r="E50" s="29" t="s">
        <v>16</v>
      </c>
      <c r="F50" s="30">
        <f>AVERAGE(F48:F49)</f>
        <v>78.5</v>
      </c>
      <c r="G50" s="30">
        <f t="shared" ref="G50:R50" si="14">AVERAGE(G48:G49)</f>
        <v>81.5</v>
      </c>
      <c r="H50" s="30">
        <f t="shared" si="14"/>
        <v>83.5</v>
      </c>
      <c r="I50" s="30">
        <f t="shared" si="14"/>
        <v>77</v>
      </c>
      <c r="J50" s="30">
        <f t="shared" si="14"/>
        <v>88.5</v>
      </c>
      <c r="K50" s="30">
        <f t="shared" si="14"/>
        <v>87.5</v>
      </c>
      <c r="L50" s="30">
        <f t="shared" si="14"/>
        <v>92.5</v>
      </c>
      <c r="M50" s="30">
        <f t="shared" si="14"/>
        <v>84.5</v>
      </c>
      <c r="N50" s="30">
        <f t="shared" si="14"/>
        <v>85</v>
      </c>
      <c r="O50" s="30">
        <f t="shared" si="14"/>
        <v>95</v>
      </c>
      <c r="P50" s="30">
        <f t="shared" si="14"/>
        <v>97</v>
      </c>
      <c r="Q50" s="30">
        <f t="shared" si="14"/>
        <v>950.5</v>
      </c>
      <c r="R50" s="30">
        <f t="shared" si="14"/>
        <v>86.409090909090907</v>
      </c>
      <c r="S50" s="30">
        <f>'9A Sem avr'!$H$18</f>
        <v>8</v>
      </c>
      <c r="T50" s="30">
        <f>AVERAGE(T48:T49)</f>
        <v>0</v>
      </c>
      <c r="U50" s="30">
        <f>AVERAGE(U48:U49)</f>
        <v>0</v>
      </c>
      <c r="V50" s="6"/>
      <c r="W50" s="6"/>
      <c r="X50" s="6"/>
      <c r="Y50" s="6"/>
      <c r="Z50" s="6"/>
    </row>
    <row r="51" spans="1:26" ht="17.25" customHeight="1" thickBot="1" x14ac:dyDescent="0.3">
      <c r="A51" s="252">
        <v>16</v>
      </c>
      <c r="B51" s="247"/>
      <c r="C51" s="247">
        <v>15</v>
      </c>
      <c r="D51" s="248" t="s">
        <v>20</v>
      </c>
      <c r="E51" s="29" t="s">
        <v>21</v>
      </c>
      <c r="F51" s="30">
        <f>'9A Sem 1'!E19</f>
        <v>88</v>
      </c>
      <c r="G51" s="30">
        <f>'9A Sem 1'!F19</f>
        <v>82</v>
      </c>
      <c r="H51" s="30">
        <f>'9A Sem 1'!G19</f>
        <v>90</v>
      </c>
      <c r="I51" s="30">
        <f>'9A Sem 1'!H19</f>
        <v>91</v>
      </c>
      <c r="J51" s="30">
        <f>'9A Sem 1'!I19</f>
        <v>95</v>
      </c>
      <c r="K51" s="30">
        <f>'9A Sem 1'!J19</f>
        <v>95</v>
      </c>
      <c r="L51" s="30">
        <f>'9A Sem 1'!K19</f>
        <v>86</v>
      </c>
      <c r="M51" s="30">
        <f>'9A Sem 1'!L19</f>
        <v>86</v>
      </c>
      <c r="N51" s="30">
        <f>'9A Sem 1'!M19</f>
        <v>88</v>
      </c>
      <c r="O51" s="30">
        <f>'9A Sem 1'!N19</f>
        <v>95</v>
      </c>
      <c r="P51" s="30">
        <f>'9A Sem 1'!O19</f>
        <v>88</v>
      </c>
      <c r="Q51" s="30">
        <f>'9A Sem 1'!P19</f>
        <v>984</v>
      </c>
      <c r="R51" s="30">
        <f>'9A Sem 1'!Q19</f>
        <v>89.454545454545453</v>
      </c>
      <c r="S51" s="30">
        <f>'9A Sem 1'!R19</f>
        <v>3</v>
      </c>
      <c r="T51" s="45">
        <f>'9A Sem 1'!S19</f>
        <v>0</v>
      </c>
      <c r="U51" s="45">
        <f>'9A Sem 1'!T19</f>
        <v>0</v>
      </c>
      <c r="V51" s="6"/>
      <c r="W51" s="6"/>
      <c r="X51" s="6"/>
      <c r="Y51" s="6"/>
      <c r="Z51" s="6"/>
    </row>
    <row r="52" spans="1:26" ht="17.25" customHeight="1" thickBot="1" x14ac:dyDescent="0.3">
      <c r="A52" s="252"/>
      <c r="B52" s="247"/>
      <c r="C52" s="247">
        <v>15</v>
      </c>
      <c r="D52" s="248" t="s">
        <v>20</v>
      </c>
      <c r="E52" s="29" t="s">
        <v>22</v>
      </c>
      <c r="F52" s="30">
        <f>'9A Sem 2'!E19</f>
        <v>88</v>
      </c>
      <c r="G52" s="30">
        <f>'9A Sem 2'!F19</f>
        <v>82</v>
      </c>
      <c r="H52" s="30">
        <f>'9A Sem 2'!G19</f>
        <v>97</v>
      </c>
      <c r="I52" s="30">
        <f>'9A Sem 2'!H19</f>
        <v>92</v>
      </c>
      <c r="J52" s="30">
        <f>'9A Sem 2'!I19</f>
        <v>91</v>
      </c>
      <c r="K52" s="30">
        <f>'9A Sem 2'!J19</f>
        <v>97</v>
      </c>
      <c r="L52" s="30">
        <f>'9A Sem 2'!K19</f>
        <v>84</v>
      </c>
      <c r="M52" s="30">
        <f>'9A Sem 2'!L19</f>
        <v>80</v>
      </c>
      <c r="N52" s="30">
        <f>'9A Sem 2'!M19</f>
        <v>86</v>
      </c>
      <c r="O52" s="30">
        <f>'9A Sem 2'!N19</f>
        <v>97</v>
      </c>
      <c r="P52" s="30">
        <v>95</v>
      </c>
      <c r="Q52" s="30">
        <f>'9A Sem 2'!P19</f>
        <v>989</v>
      </c>
      <c r="R52" s="30">
        <f>'9A Sem 2'!Q19</f>
        <v>89.909090909090907</v>
      </c>
      <c r="S52" s="30">
        <f>'9A Sem 2'!R19</f>
        <v>5</v>
      </c>
      <c r="T52" s="45">
        <f>'9A Sem 2'!S19</f>
        <v>0</v>
      </c>
      <c r="U52" s="45">
        <f>'9A Sem 2'!T19</f>
        <v>0</v>
      </c>
      <c r="V52" s="6"/>
      <c r="W52" s="6"/>
      <c r="X52" s="6"/>
      <c r="Y52" s="6"/>
      <c r="Z52" s="6"/>
    </row>
    <row r="53" spans="1:26" ht="17.25" customHeight="1" thickBot="1" x14ac:dyDescent="0.3">
      <c r="A53" s="252"/>
      <c r="B53" s="247"/>
      <c r="C53" s="247">
        <v>15</v>
      </c>
      <c r="D53" s="248" t="s">
        <v>20</v>
      </c>
      <c r="E53" s="29" t="s">
        <v>16</v>
      </c>
      <c r="F53" s="30">
        <f>AVERAGE(F51:F52)</f>
        <v>88</v>
      </c>
      <c r="G53" s="30">
        <f t="shared" ref="G53:R53" si="15">AVERAGE(G51:G52)</f>
        <v>82</v>
      </c>
      <c r="H53" s="30">
        <f t="shared" si="15"/>
        <v>93.5</v>
      </c>
      <c r="I53" s="30">
        <f t="shared" si="15"/>
        <v>91.5</v>
      </c>
      <c r="J53" s="30">
        <f t="shared" si="15"/>
        <v>93</v>
      </c>
      <c r="K53" s="30">
        <f t="shared" si="15"/>
        <v>96</v>
      </c>
      <c r="L53" s="30">
        <f t="shared" si="15"/>
        <v>85</v>
      </c>
      <c r="M53" s="30">
        <f t="shared" si="15"/>
        <v>83</v>
      </c>
      <c r="N53" s="30">
        <f t="shared" si="15"/>
        <v>87</v>
      </c>
      <c r="O53" s="30">
        <f t="shared" si="15"/>
        <v>96</v>
      </c>
      <c r="P53" s="30">
        <f t="shared" si="15"/>
        <v>91.5</v>
      </c>
      <c r="Q53" s="30">
        <f t="shared" si="15"/>
        <v>986.5</v>
      </c>
      <c r="R53" s="30">
        <f t="shared" si="15"/>
        <v>89.681818181818187</v>
      </c>
      <c r="S53" s="30">
        <f>'9A Sem avr'!$H$19</f>
        <v>4</v>
      </c>
      <c r="T53" s="30">
        <f>AVERAGE(T51:T52)</f>
        <v>0</v>
      </c>
      <c r="U53" s="30">
        <f>AVERAGE(U51:U52)</f>
        <v>0</v>
      </c>
      <c r="V53" s="6"/>
      <c r="W53" s="6"/>
      <c r="X53" s="6"/>
      <c r="Y53" s="6"/>
      <c r="Z53" s="6"/>
    </row>
    <row r="54" spans="1:26" ht="17.25" customHeight="1" thickBot="1" x14ac:dyDescent="0.3">
      <c r="A54" s="252">
        <v>17</v>
      </c>
      <c r="B54" s="247"/>
      <c r="C54" s="253">
        <v>15</v>
      </c>
      <c r="D54" s="254" t="s">
        <v>23</v>
      </c>
      <c r="E54" s="29" t="s">
        <v>21</v>
      </c>
      <c r="F54" s="30">
        <f>'9A Sem 1'!E20</f>
        <v>83</v>
      </c>
      <c r="G54" s="30">
        <f>'9A Sem 1'!F20</f>
        <v>68</v>
      </c>
      <c r="H54" s="30">
        <f>'9A Sem 1'!G20</f>
        <v>74</v>
      </c>
      <c r="I54" s="30">
        <f>'9A Sem 1'!H20</f>
        <v>60</v>
      </c>
      <c r="J54" s="30">
        <f>'9A Sem 1'!I20</f>
        <v>56</v>
      </c>
      <c r="K54" s="30">
        <f>'9A Sem 1'!J20</f>
        <v>61</v>
      </c>
      <c r="L54" s="30">
        <f>'9A Sem 1'!K20</f>
        <v>68</v>
      </c>
      <c r="M54" s="30">
        <f>'9A Sem 1'!L20</f>
        <v>81</v>
      </c>
      <c r="N54" s="30">
        <f>'9A Sem 1'!M20</f>
        <v>85</v>
      </c>
      <c r="O54" s="30">
        <f>'9A Sem 1'!N20</f>
        <v>81</v>
      </c>
      <c r="P54" s="30">
        <f>'9A Sem 1'!O20</f>
        <v>86</v>
      </c>
      <c r="Q54" s="30">
        <f>'9A Sem 1'!P20</f>
        <v>803</v>
      </c>
      <c r="R54" s="30">
        <f>'9A Sem 1'!Q20</f>
        <v>73</v>
      </c>
      <c r="S54" s="30">
        <f>'9A Sem 1'!R20</f>
        <v>27</v>
      </c>
      <c r="T54" s="45">
        <f>'9A Sem 1'!S20</f>
        <v>0</v>
      </c>
      <c r="U54" s="45">
        <f>'9A Sem 1'!T20</f>
        <v>0</v>
      </c>
      <c r="V54" s="6"/>
      <c r="W54" s="6"/>
      <c r="X54" s="6"/>
      <c r="Y54" s="6"/>
      <c r="Z54" s="6"/>
    </row>
    <row r="55" spans="1:26" ht="17.25" customHeight="1" thickBot="1" x14ac:dyDescent="0.3">
      <c r="A55" s="252"/>
      <c r="B55" s="247"/>
      <c r="C55" s="253">
        <v>15</v>
      </c>
      <c r="D55" s="254" t="s">
        <v>23</v>
      </c>
      <c r="E55" s="29" t="s">
        <v>22</v>
      </c>
      <c r="F55" s="30">
        <f>'9A Sem 2'!E20</f>
        <v>76</v>
      </c>
      <c r="G55" s="30">
        <f>'9A Sem 2'!F20</f>
        <v>77</v>
      </c>
      <c r="H55" s="30">
        <f>'9A Sem 2'!G20</f>
        <v>68</v>
      </c>
      <c r="I55" s="30">
        <f>'9A Sem 2'!H20</f>
        <v>78</v>
      </c>
      <c r="J55" s="30">
        <f>'9A Sem 2'!I20</f>
        <v>69</v>
      </c>
      <c r="K55" s="30">
        <f>'9A Sem 2'!J20</f>
        <v>81</v>
      </c>
      <c r="L55" s="30">
        <f>'9A Sem 2'!K20</f>
        <v>76</v>
      </c>
      <c r="M55" s="30">
        <f>'9A Sem 2'!L20</f>
        <v>89</v>
      </c>
      <c r="N55" s="30">
        <f>'9A Sem 2'!M20</f>
        <v>81</v>
      </c>
      <c r="O55" s="30">
        <f>'9A Sem 2'!N20</f>
        <v>94</v>
      </c>
      <c r="P55" s="30">
        <f>'9A Sem 2'!O20</f>
        <v>97</v>
      </c>
      <c r="Q55" s="30">
        <f>'9A Sem 2'!P20</f>
        <v>886</v>
      </c>
      <c r="R55" s="30">
        <f>'9A Sem 2'!Q20</f>
        <v>80.545454545454547</v>
      </c>
      <c r="S55" s="30">
        <f>'9A Sem 2'!R20</f>
        <v>15</v>
      </c>
      <c r="T55" s="45">
        <f>'9A Sem 2'!S20</f>
        <v>0</v>
      </c>
      <c r="U55" s="45">
        <f>'9A Sem 2'!T20</f>
        <v>0</v>
      </c>
      <c r="V55" s="6"/>
      <c r="W55" s="6"/>
      <c r="X55" s="6"/>
      <c r="Y55" s="6"/>
      <c r="Z55" s="6"/>
    </row>
    <row r="56" spans="1:26" ht="17.25" customHeight="1" thickBot="1" x14ac:dyDescent="0.3">
      <c r="A56" s="252"/>
      <c r="B56" s="247"/>
      <c r="C56" s="253">
        <v>15</v>
      </c>
      <c r="D56" s="254" t="s">
        <v>23</v>
      </c>
      <c r="E56" s="29" t="s">
        <v>16</v>
      </c>
      <c r="F56" s="30">
        <f>AVERAGE(F54:F55)</f>
        <v>79.5</v>
      </c>
      <c r="G56" s="30">
        <f t="shared" ref="G56:R56" si="16">AVERAGE(G54:G55)</f>
        <v>72.5</v>
      </c>
      <c r="H56" s="30">
        <f t="shared" si="16"/>
        <v>71</v>
      </c>
      <c r="I56" s="30">
        <f t="shared" si="16"/>
        <v>69</v>
      </c>
      <c r="J56" s="30">
        <f t="shared" si="16"/>
        <v>62.5</v>
      </c>
      <c r="K56" s="30">
        <f t="shared" si="16"/>
        <v>71</v>
      </c>
      <c r="L56" s="30">
        <f t="shared" si="16"/>
        <v>72</v>
      </c>
      <c r="M56" s="30">
        <f t="shared" si="16"/>
        <v>85</v>
      </c>
      <c r="N56" s="30">
        <f t="shared" si="16"/>
        <v>83</v>
      </c>
      <c r="O56" s="30">
        <f t="shared" si="16"/>
        <v>87.5</v>
      </c>
      <c r="P56" s="30">
        <f t="shared" si="16"/>
        <v>91.5</v>
      </c>
      <c r="Q56" s="30">
        <f t="shared" si="16"/>
        <v>844.5</v>
      </c>
      <c r="R56" s="30">
        <f t="shared" si="16"/>
        <v>76.77272727272728</v>
      </c>
      <c r="S56" s="30">
        <f>'9A Sem avr'!$H$20</f>
        <v>22</v>
      </c>
      <c r="T56" s="30">
        <f>AVERAGE(T54:T55)</f>
        <v>0</v>
      </c>
      <c r="U56" s="30">
        <f>AVERAGE(U54:U55)</f>
        <v>0</v>
      </c>
      <c r="V56" s="6"/>
      <c r="W56" s="6"/>
      <c r="X56" s="6"/>
      <c r="Y56" s="6"/>
      <c r="Z56" s="6"/>
    </row>
    <row r="57" spans="1:26" ht="17.25" customHeight="1" thickBot="1" x14ac:dyDescent="0.3">
      <c r="A57" s="252">
        <v>18</v>
      </c>
      <c r="B57" s="247"/>
      <c r="C57" s="258">
        <v>14</v>
      </c>
      <c r="D57" s="255" t="s">
        <v>23</v>
      </c>
      <c r="E57" s="29" t="s">
        <v>21</v>
      </c>
      <c r="F57" s="30">
        <f>'9A Sem 1'!E21</f>
        <v>88</v>
      </c>
      <c r="G57" s="30">
        <f>'9A Sem 1'!F21</f>
        <v>66</v>
      </c>
      <c r="H57" s="31">
        <f>'9A Sem 1'!G21</f>
        <v>72</v>
      </c>
      <c r="I57" s="30">
        <f>'9A Sem 1'!H21</f>
        <v>63</v>
      </c>
      <c r="J57" s="30">
        <f>'9A Sem 1'!I21</f>
        <v>70</v>
      </c>
      <c r="K57" s="30">
        <f>'9A Sem 1'!J21</f>
        <v>76</v>
      </c>
      <c r="L57" s="30">
        <f>'9A Sem 1'!K21</f>
        <v>67</v>
      </c>
      <c r="M57" s="30">
        <f>'9A Sem 1'!L21</f>
        <v>77</v>
      </c>
      <c r="N57" s="30">
        <f>'9A Sem 1'!M21</f>
        <v>75</v>
      </c>
      <c r="O57" s="30">
        <f>'9A Sem 1'!N21</f>
        <v>86</v>
      </c>
      <c r="P57" s="30">
        <f>'9A Sem 1'!O21</f>
        <v>82</v>
      </c>
      <c r="Q57" s="30">
        <f>'9A Sem 1'!P21</f>
        <v>822</v>
      </c>
      <c r="R57" s="30">
        <f>'9A Sem 1'!Q21</f>
        <v>74.727272727272734</v>
      </c>
      <c r="S57" s="30">
        <f>'9A Sem 1'!R21</f>
        <v>25</v>
      </c>
      <c r="T57" s="45">
        <f>'9A Sem 1'!S21</f>
        <v>0</v>
      </c>
      <c r="U57" s="45">
        <f>'9A Sem 1'!T21</f>
        <v>0</v>
      </c>
      <c r="V57" s="6"/>
      <c r="W57" s="6"/>
      <c r="X57" s="6"/>
      <c r="Y57" s="6"/>
      <c r="Z57" s="6"/>
    </row>
    <row r="58" spans="1:26" ht="18.75" customHeight="1" thickBot="1" x14ac:dyDescent="0.3">
      <c r="A58" s="252"/>
      <c r="B58" s="247"/>
      <c r="C58" s="259">
        <v>14</v>
      </c>
      <c r="D58" s="256" t="s">
        <v>23</v>
      </c>
      <c r="E58" s="29" t="s">
        <v>22</v>
      </c>
      <c r="F58" s="30">
        <f>'9A Sem 2'!E21</f>
        <v>86</v>
      </c>
      <c r="G58" s="30">
        <f>'9A Sem 2'!F21</f>
        <v>73</v>
      </c>
      <c r="H58" s="31">
        <f>'9A Sem 2'!G21</f>
        <v>82</v>
      </c>
      <c r="I58" s="30">
        <f>'9A Sem 2'!H21</f>
        <v>79</v>
      </c>
      <c r="J58" s="30">
        <f>'9A Sem 2'!I21</f>
        <v>75</v>
      </c>
      <c r="K58" s="30">
        <f>'9A Sem 2'!J21</f>
        <v>82</v>
      </c>
      <c r="L58" s="30">
        <f>'9A Sem 2'!K21</f>
        <v>80</v>
      </c>
      <c r="M58" s="30">
        <f>'9A Sem 2'!L21</f>
        <v>89</v>
      </c>
      <c r="N58" s="30">
        <f>'9A Sem 2'!M21</f>
        <v>90</v>
      </c>
      <c r="O58" s="30">
        <f>'9A Sem 2'!N21</f>
        <v>97</v>
      </c>
      <c r="P58" s="30">
        <f>'9A Sem 2'!O21</f>
        <v>97</v>
      </c>
      <c r="Q58" s="30">
        <f>'9A Sem 2'!P21</f>
        <v>930</v>
      </c>
      <c r="R58" s="30">
        <f>'9A Sem 2'!Q21</f>
        <v>84.545454545454547</v>
      </c>
      <c r="S58" s="30">
        <f>'9A Sem 2'!R21</f>
        <v>11</v>
      </c>
      <c r="T58" s="45">
        <f>'9A Sem 2'!S21</f>
        <v>0</v>
      </c>
      <c r="U58" s="45">
        <f>'9A Sem 2'!T21</f>
        <v>0</v>
      </c>
      <c r="V58" s="6"/>
      <c r="W58" s="6"/>
      <c r="X58" s="6"/>
      <c r="Y58" s="6"/>
      <c r="Z58" s="6"/>
    </row>
    <row r="59" spans="1:26" ht="18.75" customHeight="1" thickBot="1" x14ac:dyDescent="0.3">
      <c r="A59" s="252"/>
      <c r="B59" s="247"/>
      <c r="C59" s="260">
        <v>14</v>
      </c>
      <c r="D59" s="257" t="s">
        <v>23</v>
      </c>
      <c r="E59" s="29" t="s">
        <v>16</v>
      </c>
      <c r="F59" s="30">
        <f>AVERAGE(F57:F58)</f>
        <v>87</v>
      </c>
      <c r="G59" s="30">
        <f t="shared" ref="G59:R59" si="17">AVERAGE(G57:G58)</f>
        <v>69.5</v>
      </c>
      <c r="H59" s="30">
        <f t="shared" si="17"/>
        <v>77</v>
      </c>
      <c r="I59" s="30">
        <f t="shared" si="17"/>
        <v>71</v>
      </c>
      <c r="J59" s="30">
        <f t="shared" si="17"/>
        <v>72.5</v>
      </c>
      <c r="K59" s="30">
        <f t="shared" si="17"/>
        <v>79</v>
      </c>
      <c r="L59" s="30">
        <f t="shared" si="17"/>
        <v>73.5</v>
      </c>
      <c r="M59" s="30">
        <f t="shared" si="17"/>
        <v>83</v>
      </c>
      <c r="N59" s="30">
        <f t="shared" si="17"/>
        <v>82.5</v>
      </c>
      <c r="O59" s="30">
        <f t="shared" si="17"/>
        <v>91.5</v>
      </c>
      <c r="P59" s="30">
        <f t="shared" si="17"/>
        <v>89.5</v>
      </c>
      <c r="Q59" s="30">
        <f t="shared" si="17"/>
        <v>876</v>
      </c>
      <c r="R59" s="30">
        <f t="shared" si="17"/>
        <v>79.63636363636364</v>
      </c>
      <c r="S59" s="30">
        <f>'9A Sem avr'!$H$21</f>
        <v>15</v>
      </c>
      <c r="T59" s="30">
        <f>AVERAGE(T57:T58)</f>
        <v>0</v>
      </c>
      <c r="U59" s="30">
        <f>AVERAGE(U57:U58)</f>
        <v>0</v>
      </c>
      <c r="V59" s="6"/>
      <c r="W59" s="6"/>
      <c r="X59" s="6"/>
      <c r="Y59" s="6"/>
      <c r="Z59" s="6"/>
    </row>
    <row r="60" spans="1:26" ht="18.75" customHeight="1" thickBot="1" x14ac:dyDescent="0.3">
      <c r="A60" s="246">
        <v>19</v>
      </c>
      <c r="B60" s="247"/>
      <c r="C60" s="247">
        <v>15</v>
      </c>
      <c r="D60" s="248" t="s">
        <v>20</v>
      </c>
      <c r="E60" s="29" t="s">
        <v>21</v>
      </c>
      <c r="F60" s="30">
        <f>'9A Sem 1'!E22</f>
        <v>71</v>
      </c>
      <c r="G60" s="30">
        <f>'9A Sem 1'!F22</f>
        <v>53</v>
      </c>
      <c r="H60" s="30">
        <f>'9A Sem 1'!G22</f>
        <v>51</v>
      </c>
      <c r="I60" s="30">
        <f>'9A Sem 1'!H22</f>
        <v>57</v>
      </c>
      <c r="J60" s="30">
        <f>'9A Sem 1'!I22</f>
        <v>61</v>
      </c>
      <c r="K60" s="30">
        <f>'9A Sem 1'!J22</f>
        <v>61</v>
      </c>
      <c r="L60" s="30">
        <f>'9A Sem 1'!K22</f>
        <v>64</v>
      </c>
      <c r="M60" s="30">
        <f>'9A Sem 1'!L22</f>
        <v>76</v>
      </c>
      <c r="N60" s="30">
        <f>'9A Sem 1'!M22</f>
        <v>63</v>
      </c>
      <c r="O60" s="30">
        <f>'9A Sem 1'!N22</f>
        <v>84</v>
      </c>
      <c r="P60" s="30">
        <f>'9A Sem 1'!O22</f>
        <v>82</v>
      </c>
      <c r="Q60" s="30">
        <f>'9A Sem 1'!P22</f>
        <v>723</v>
      </c>
      <c r="R60" s="30">
        <f>'9A Sem 1'!Q22</f>
        <v>65.727272727272734</v>
      </c>
      <c r="S60" s="30">
        <f>'9A Sem 1'!R22</f>
        <v>34</v>
      </c>
      <c r="T60" s="45">
        <f>'9A Sem 1'!S22</f>
        <v>0</v>
      </c>
      <c r="U60" s="45">
        <f>'9A Sem 1'!T22</f>
        <v>0</v>
      </c>
      <c r="V60" s="6"/>
      <c r="W60" s="6"/>
      <c r="X60" s="6"/>
      <c r="Y60" s="6"/>
      <c r="Z60" s="6"/>
    </row>
    <row r="61" spans="1:26" ht="18.75" customHeight="1" thickBot="1" x14ac:dyDescent="0.3">
      <c r="A61" s="246"/>
      <c r="B61" s="247"/>
      <c r="C61" s="247">
        <v>15</v>
      </c>
      <c r="D61" s="248" t="s">
        <v>20</v>
      </c>
      <c r="E61" s="29" t="s">
        <v>22</v>
      </c>
      <c r="F61" s="30">
        <f>'9A Sem 2'!E22</f>
        <v>79</v>
      </c>
      <c r="G61" s="30">
        <f>'9A Sem 2'!F22</f>
        <v>54</v>
      </c>
      <c r="H61" s="30">
        <f>'9A Sem 2'!G22</f>
        <v>59</v>
      </c>
      <c r="I61" s="30">
        <f>'9A Sem 2'!H22</f>
        <v>68</v>
      </c>
      <c r="J61" s="30">
        <f>'9A Sem 2'!I22</f>
        <v>60</v>
      </c>
      <c r="K61" s="30">
        <f>'9A Sem 2'!J22</f>
        <v>75</v>
      </c>
      <c r="L61" s="30">
        <f>'9A Sem 2'!K22</f>
        <v>73</v>
      </c>
      <c r="M61" s="30">
        <f>'9A Sem 2'!L22</f>
        <v>69</v>
      </c>
      <c r="N61" s="30">
        <f>'9A Sem 2'!M22</f>
        <v>73</v>
      </c>
      <c r="O61" s="30">
        <f>'9A Sem 2'!N22</f>
        <v>81</v>
      </c>
      <c r="P61" s="30">
        <f>'9A Sem 2'!O22</f>
        <v>95</v>
      </c>
      <c r="Q61" s="30">
        <f>'9A Sem 2'!P22</f>
        <v>786</v>
      </c>
      <c r="R61" s="30">
        <f>'9A Sem 2'!Q22</f>
        <v>71.454545454545453</v>
      </c>
      <c r="S61" s="30">
        <f>'9A Sem 2'!R22</f>
        <v>29</v>
      </c>
      <c r="T61" s="45">
        <f>'9A Sem 2'!S22</f>
        <v>0</v>
      </c>
      <c r="U61" s="45">
        <f>'9A Sem 2'!T22</f>
        <v>0</v>
      </c>
      <c r="V61" s="6"/>
      <c r="W61" s="6"/>
      <c r="X61" s="6"/>
      <c r="Y61" s="6"/>
      <c r="Z61" s="6"/>
    </row>
    <row r="62" spans="1:26" ht="18.75" customHeight="1" thickBot="1" x14ac:dyDescent="0.3">
      <c r="A62" s="246"/>
      <c r="B62" s="247"/>
      <c r="C62" s="247">
        <v>15</v>
      </c>
      <c r="D62" s="248" t="s">
        <v>20</v>
      </c>
      <c r="E62" s="29" t="s">
        <v>16</v>
      </c>
      <c r="F62" s="30">
        <f>AVERAGE(F60:F61)</f>
        <v>75</v>
      </c>
      <c r="G62" s="30">
        <f t="shared" ref="G62:R62" si="18">AVERAGE(G60:G61)</f>
        <v>53.5</v>
      </c>
      <c r="H62" s="30">
        <f t="shared" si="18"/>
        <v>55</v>
      </c>
      <c r="I62" s="30">
        <f t="shared" si="18"/>
        <v>62.5</v>
      </c>
      <c r="J62" s="30">
        <f t="shared" si="18"/>
        <v>60.5</v>
      </c>
      <c r="K62" s="30">
        <f t="shared" si="18"/>
        <v>68</v>
      </c>
      <c r="L62" s="30">
        <f t="shared" si="18"/>
        <v>68.5</v>
      </c>
      <c r="M62" s="30">
        <f t="shared" si="18"/>
        <v>72.5</v>
      </c>
      <c r="N62" s="30">
        <f t="shared" si="18"/>
        <v>68</v>
      </c>
      <c r="O62" s="30">
        <f t="shared" si="18"/>
        <v>82.5</v>
      </c>
      <c r="P62" s="30">
        <f t="shared" si="18"/>
        <v>88.5</v>
      </c>
      <c r="Q62" s="30">
        <f t="shared" si="18"/>
        <v>754.5</v>
      </c>
      <c r="R62" s="30">
        <f t="shared" si="18"/>
        <v>68.590909090909093</v>
      </c>
      <c r="S62" s="30">
        <f>'9A Sem avr'!$H$22</f>
        <v>31</v>
      </c>
      <c r="T62" s="30">
        <f>AVERAGE(T60:T61)</f>
        <v>0</v>
      </c>
      <c r="U62" s="30">
        <f>AVERAGE(U60:U61)</f>
        <v>0</v>
      </c>
      <c r="V62" s="6"/>
      <c r="W62" s="6"/>
      <c r="X62" s="6"/>
      <c r="Y62" s="6"/>
      <c r="Z62" s="6"/>
    </row>
    <row r="63" spans="1:26" ht="18.75" customHeight="1" thickBot="1" x14ac:dyDescent="0.3">
      <c r="A63" s="246">
        <v>20</v>
      </c>
      <c r="B63" s="247"/>
      <c r="C63" s="253">
        <v>14</v>
      </c>
      <c r="D63" s="254" t="s">
        <v>23</v>
      </c>
      <c r="E63" s="29" t="s">
        <v>21</v>
      </c>
      <c r="F63" s="30">
        <f>'9A Sem 1'!E23</f>
        <v>89</v>
      </c>
      <c r="G63" s="30">
        <f>'9A Sem 1'!F23</f>
        <v>79</v>
      </c>
      <c r="H63" s="30">
        <f>'9A Sem 1'!G23</f>
        <v>81</v>
      </c>
      <c r="I63" s="30">
        <f>'9A Sem 1'!H23</f>
        <v>84</v>
      </c>
      <c r="J63" s="30">
        <f>'9A Sem 1'!I23</f>
        <v>85</v>
      </c>
      <c r="K63" s="30">
        <f>'9A Sem 1'!J23</f>
        <v>86</v>
      </c>
      <c r="L63" s="30">
        <f>'9A Sem 1'!K23</f>
        <v>82</v>
      </c>
      <c r="M63" s="30">
        <f>'9A Sem 1'!L23</f>
        <v>82</v>
      </c>
      <c r="N63" s="30">
        <f>'9A Sem 1'!M23</f>
        <v>89</v>
      </c>
      <c r="O63" s="30">
        <f>'9A Sem 1'!N23</f>
        <v>96</v>
      </c>
      <c r="P63" s="30">
        <f>'9A Sem 1'!O23</f>
        <v>95</v>
      </c>
      <c r="Q63" s="30">
        <f>'9A Sem 1'!P23</f>
        <v>948</v>
      </c>
      <c r="R63" s="30">
        <f>'9A Sem 1'!Q23</f>
        <v>86.181818181818187</v>
      </c>
      <c r="S63" s="30">
        <f>'9A Sem 1'!R23</f>
        <v>7</v>
      </c>
      <c r="T63" s="45">
        <f>'9A Sem 1'!S23</f>
        <v>0</v>
      </c>
      <c r="U63" s="45">
        <f>'9A Sem 1'!T23</f>
        <v>0</v>
      </c>
      <c r="V63" s="6"/>
      <c r="W63" s="6"/>
      <c r="X63" s="6"/>
      <c r="Y63" s="6"/>
      <c r="Z63" s="6"/>
    </row>
    <row r="64" spans="1:26" ht="18.75" customHeight="1" thickBot="1" x14ac:dyDescent="0.3">
      <c r="A64" s="246"/>
      <c r="B64" s="247"/>
      <c r="C64" s="253">
        <v>14</v>
      </c>
      <c r="D64" s="254" t="s">
        <v>23</v>
      </c>
      <c r="E64" s="29" t="s">
        <v>22</v>
      </c>
      <c r="F64" s="30">
        <f>'9A Sem 2'!E23</f>
        <v>89</v>
      </c>
      <c r="G64" s="30">
        <f>'9A Sem 2'!F23</f>
        <v>85</v>
      </c>
      <c r="H64" s="30">
        <f>'9A Sem 2'!G23</f>
        <v>91</v>
      </c>
      <c r="I64" s="30">
        <f>'9A Sem 2'!H23</f>
        <v>88</v>
      </c>
      <c r="J64" s="30">
        <f>'9A Sem 2'!I23</f>
        <v>80</v>
      </c>
      <c r="K64" s="30">
        <f>'9A Sem 2'!J23</f>
        <v>92</v>
      </c>
      <c r="L64" s="30">
        <f>'9A Sem 2'!K23</f>
        <v>91</v>
      </c>
      <c r="M64" s="30">
        <f>'9A Sem 2'!L23</f>
        <v>88</v>
      </c>
      <c r="N64" s="30">
        <f>'9A Sem 2'!M23</f>
        <v>98</v>
      </c>
      <c r="O64" s="30">
        <f>'9A Sem 2'!N23</f>
        <v>95</v>
      </c>
      <c r="P64" s="30">
        <f>'9A Sem 2'!O23</f>
        <v>87</v>
      </c>
      <c r="Q64" s="30">
        <f>'9A Sem 2'!P23</f>
        <v>984</v>
      </c>
      <c r="R64" s="30">
        <f>'9A Sem 2'!Q23</f>
        <v>89.454545454545453</v>
      </c>
      <c r="S64" s="30">
        <f>'9A Sem 2'!R23</f>
        <v>6</v>
      </c>
      <c r="T64" s="45">
        <f>'9A Sem 2'!S23</f>
        <v>0</v>
      </c>
      <c r="U64" s="45">
        <f>'9A Sem 2'!T23</f>
        <v>0</v>
      </c>
      <c r="V64" s="6"/>
      <c r="W64" s="6"/>
      <c r="X64" s="6"/>
      <c r="Y64" s="6"/>
      <c r="Z64" s="6"/>
    </row>
    <row r="65" spans="1:26" ht="18.75" customHeight="1" thickBot="1" x14ac:dyDescent="0.3">
      <c r="A65" s="246"/>
      <c r="B65" s="247"/>
      <c r="C65" s="253">
        <v>14</v>
      </c>
      <c r="D65" s="254" t="s">
        <v>23</v>
      </c>
      <c r="E65" s="29" t="s">
        <v>16</v>
      </c>
      <c r="F65" s="30">
        <f>AVERAGE(F63:F64)</f>
        <v>89</v>
      </c>
      <c r="G65" s="30">
        <f t="shared" ref="G65:R65" si="19">AVERAGE(G63:G64)</f>
        <v>82</v>
      </c>
      <c r="H65" s="30">
        <f t="shared" si="19"/>
        <v>86</v>
      </c>
      <c r="I65" s="30">
        <f t="shared" si="19"/>
        <v>86</v>
      </c>
      <c r="J65" s="30">
        <f t="shared" si="19"/>
        <v>82.5</v>
      </c>
      <c r="K65" s="30">
        <f t="shared" si="19"/>
        <v>89</v>
      </c>
      <c r="L65" s="30">
        <f t="shared" si="19"/>
        <v>86.5</v>
      </c>
      <c r="M65" s="30">
        <f t="shared" si="19"/>
        <v>85</v>
      </c>
      <c r="N65" s="30">
        <f t="shared" si="19"/>
        <v>93.5</v>
      </c>
      <c r="O65" s="30">
        <f t="shared" si="19"/>
        <v>95.5</v>
      </c>
      <c r="P65" s="30">
        <f t="shared" si="19"/>
        <v>91</v>
      </c>
      <c r="Q65" s="30">
        <f t="shared" si="19"/>
        <v>966</v>
      </c>
      <c r="R65" s="30">
        <f t="shared" si="19"/>
        <v>87.818181818181813</v>
      </c>
      <c r="S65" s="30">
        <f>'9A Sem avr'!$H$23</f>
        <v>7</v>
      </c>
      <c r="T65" s="30">
        <f>AVERAGE(T63:T64)</f>
        <v>0</v>
      </c>
      <c r="U65" s="30">
        <f>AVERAGE(U63:U64)</f>
        <v>0</v>
      </c>
      <c r="V65" s="6"/>
      <c r="W65" s="6"/>
      <c r="X65" s="6"/>
      <c r="Y65" s="6"/>
      <c r="Z65" s="6"/>
    </row>
    <row r="66" spans="1:26" ht="18.75" customHeight="1" thickBot="1" x14ac:dyDescent="0.3">
      <c r="A66" s="246">
        <v>21</v>
      </c>
      <c r="B66" s="247"/>
      <c r="C66" s="253">
        <v>15</v>
      </c>
      <c r="D66" s="254" t="s">
        <v>20</v>
      </c>
      <c r="E66" s="29" t="s">
        <v>21</v>
      </c>
      <c r="F66" s="30">
        <f>'9A Sem 1'!E24</f>
        <v>71</v>
      </c>
      <c r="G66" s="30">
        <f>'9A Sem 1'!F24</f>
        <v>80</v>
      </c>
      <c r="H66" s="30">
        <f>'9A Sem 1'!G24</f>
        <v>78</v>
      </c>
      <c r="I66" s="30">
        <f>'9A Sem 1'!H24</f>
        <v>90</v>
      </c>
      <c r="J66" s="30">
        <f>'9A Sem 1'!I24</f>
        <v>85</v>
      </c>
      <c r="K66" s="30">
        <f>'9A Sem 1'!J24</f>
        <v>85</v>
      </c>
      <c r="L66" s="30">
        <f>'9A Sem 1'!K24</f>
        <v>92</v>
      </c>
      <c r="M66" s="30">
        <f>'9A Sem 1'!L24</f>
        <v>96</v>
      </c>
      <c r="N66" s="30">
        <f>'9A Sem 1'!M24</f>
        <v>82</v>
      </c>
      <c r="O66" s="30">
        <f>'9A Sem 1'!N24</f>
        <v>96</v>
      </c>
      <c r="P66" s="30">
        <f>'9A Sem 1'!O24</f>
        <v>99</v>
      </c>
      <c r="Q66" s="30">
        <f>'9A Sem 1'!P24</f>
        <v>954</v>
      </c>
      <c r="R66" s="30">
        <f>'9A Sem 1'!Q24</f>
        <v>86.727272727272734</v>
      </c>
      <c r="S66" s="30">
        <f>'9A Sem 1'!R24</f>
        <v>6</v>
      </c>
      <c r="T66" s="45">
        <f>'9A Sem 1'!S24</f>
        <v>0</v>
      </c>
      <c r="U66" s="45">
        <f>'9A Sem 1'!T24</f>
        <v>0</v>
      </c>
      <c r="V66" s="6"/>
      <c r="W66" s="6"/>
      <c r="X66" s="6"/>
      <c r="Y66" s="6"/>
      <c r="Z66" s="6"/>
    </row>
    <row r="67" spans="1:26" ht="18.75" customHeight="1" thickBot="1" x14ac:dyDescent="0.3">
      <c r="A67" s="246"/>
      <c r="B67" s="247"/>
      <c r="C67" s="253">
        <v>15</v>
      </c>
      <c r="D67" s="254" t="s">
        <v>20</v>
      </c>
      <c r="E67" s="29" t="s">
        <v>22</v>
      </c>
      <c r="F67" s="30">
        <f>'9A Sem 2'!E24</f>
        <v>81</v>
      </c>
      <c r="G67" s="30">
        <f>'9A Sem 2'!F24</f>
        <v>80</v>
      </c>
      <c r="H67" s="30">
        <f>'9A Sem 2'!G24</f>
        <v>89</v>
      </c>
      <c r="I67" s="30">
        <f>'9A Sem 2'!H24</f>
        <v>91</v>
      </c>
      <c r="J67" s="30">
        <f>'9A Sem 2'!I24</f>
        <v>87</v>
      </c>
      <c r="K67" s="30">
        <f>'9A Sem 2'!J24</f>
        <v>94</v>
      </c>
      <c r="L67" s="30">
        <f>'9A Sem 2'!K24</f>
        <v>89</v>
      </c>
      <c r="M67" s="30">
        <f>'9A Sem 2'!L24</f>
        <v>95</v>
      </c>
      <c r="N67" s="30">
        <f>'9A Sem 2'!M24</f>
        <v>90</v>
      </c>
      <c r="O67" s="30">
        <f>'9A Sem 2'!N24</f>
        <v>97</v>
      </c>
      <c r="P67" s="30">
        <f>'9A Sem 2'!O24</f>
        <v>97</v>
      </c>
      <c r="Q67" s="30">
        <f>'9A Sem 2'!P24</f>
        <v>990</v>
      </c>
      <c r="R67" s="30">
        <f>'9A Sem 2'!Q24</f>
        <v>90</v>
      </c>
      <c r="S67" s="30">
        <f>'9A Sem 2'!R24</f>
        <v>4</v>
      </c>
      <c r="T67" s="45">
        <f>'9A Sem 2'!S24</f>
        <v>0</v>
      </c>
      <c r="U67" s="45">
        <f>'9A Sem 2'!T24</f>
        <v>0</v>
      </c>
      <c r="V67" s="6"/>
      <c r="W67" s="6"/>
      <c r="X67" s="6"/>
      <c r="Y67" s="6"/>
      <c r="Z67" s="6"/>
    </row>
    <row r="68" spans="1:26" ht="18.75" customHeight="1" thickBot="1" x14ac:dyDescent="0.3">
      <c r="A68" s="246"/>
      <c r="B68" s="247"/>
      <c r="C68" s="253">
        <v>15</v>
      </c>
      <c r="D68" s="254" t="s">
        <v>20</v>
      </c>
      <c r="E68" s="29" t="s">
        <v>16</v>
      </c>
      <c r="F68" s="30">
        <f>AVERAGE(F66:F67)</f>
        <v>76</v>
      </c>
      <c r="G68" s="30">
        <f t="shared" ref="G68:R68" si="20">AVERAGE(G66:G67)</f>
        <v>80</v>
      </c>
      <c r="H68" s="30">
        <f t="shared" si="20"/>
        <v>83.5</v>
      </c>
      <c r="I68" s="30">
        <f t="shared" si="20"/>
        <v>90.5</v>
      </c>
      <c r="J68" s="30">
        <f t="shared" si="20"/>
        <v>86</v>
      </c>
      <c r="K68" s="30">
        <f t="shared" si="20"/>
        <v>89.5</v>
      </c>
      <c r="L68" s="30">
        <f t="shared" si="20"/>
        <v>90.5</v>
      </c>
      <c r="M68" s="30">
        <f t="shared" si="20"/>
        <v>95.5</v>
      </c>
      <c r="N68" s="30">
        <f t="shared" si="20"/>
        <v>86</v>
      </c>
      <c r="O68" s="30">
        <f t="shared" si="20"/>
        <v>96.5</v>
      </c>
      <c r="P68" s="30">
        <f t="shared" si="20"/>
        <v>98</v>
      </c>
      <c r="Q68" s="30">
        <f t="shared" si="20"/>
        <v>972</v>
      </c>
      <c r="R68" s="30">
        <f t="shared" si="20"/>
        <v>88.363636363636374</v>
      </c>
      <c r="S68" s="30">
        <f>'9A Sem avr'!$H$24</f>
        <v>5</v>
      </c>
      <c r="T68" s="30">
        <f>AVERAGE(T66:T67)</f>
        <v>0</v>
      </c>
      <c r="U68" s="30">
        <f>AVERAGE(U66:U67)</f>
        <v>0</v>
      </c>
      <c r="V68" s="6"/>
      <c r="W68" s="6"/>
      <c r="X68" s="6"/>
      <c r="Y68" s="6"/>
      <c r="Z68" s="6"/>
    </row>
    <row r="69" spans="1:26" ht="18.75" customHeight="1" thickBot="1" x14ac:dyDescent="0.3">
      <c r="A69" s="252">
        <v>22</v>
      </c>
      <c r="B69" s="247"/>
      <c r="C69" s="247">
        <v>14</v>
      </c>
      <c r="D69" s="248" t="s">
        <v>23</v>
      </c>
      <c r="E69" s="29" t="s">
        <v>21</v>
      </c>
      <c r="F69" s="30">
        <f>'9A Sem 1'!E25</f>
        <v>84</v>
      </c>
      <c r="G69" s="30">
        <f>'9A Sem 1'!F25</f>
        <v>80</v>
      </c>
      <c r="H69" s="30">
        <f>'9A Sem 1'!G25</f>
        <v>64</v>
      </c>
      <c r="I69" s="30">
        <f>'9A Sem 1'!H25</f>
        <v>74</v>
      </c>
      <c r="J69" s="30">
        <f>'9A Sem 1'!I25</f>
        <v>56</v>
      </c>
      <c r="K69" s="30">
        <f>'9A Sem 1'!J25</f>
        <v>76</v>
      </c>
      <c r="L69" s="30">
        <f>'9A Sem 1'!K25</f>
        <v>76</v>
      </c>
      <c r="M69" s="30">
        <f>'9A Sem 1'!L25</f>
        <v>74</v>
      </c>
      <c r="N69" s="30">
        <f>'9A Sem 1'!M25</f>
        <v>85</v>
      </c>
      <c r="O69" s="30">
        <f>'9A Sem 1'!N25</f>
        <v>88</v>
      </c>
      <c r="P69" s="30">
        <f>'9A Sem 1'!O25</f>
        <v>85</v>
      </c>
      <c r="Q69" s="30">
        <f>'9A Sem 1'!P25</f>
        <v>842</v>
      </c>
      <c r="R69" s="30">
        <f>'9A Sem 1'!Q25</f>
        <v>76.545454545454547</v>
      </c>
      <c r="S69" s="30">
        <f>'9A Sem 1'!R25</f>
        <v>20</v>
      </c>
      <c r="T69" s="45">
        <f>'9A Sem 1'!S25</f>
        <v>0</v>
      </c>
      <c r="U69" s="45">
        <f>'9A Sem 1'!T25</f>
        <v>0</v>
      </c>
      <c r="V69" s="6"/>
      <c r="W69" s="6"/>
      <c r="X69" s="6"/>
      <c r="Y69" s="6"/>
      <c r="Z69" s="6"/>
    </row>
    <row r="70" spans="1:26" ht="18.75" customHeight="1" thickBot="1" x14ac:dyDescent="0.3">
      <c r="A70" s="252"/>
      <c r="B70" s="247"/>
      <c r="C70" s="247">
        <v>14</v>
      </c>
      <c r="D70" s="248" t="s">
        <v>23</v>
      </c>
      <c r="E70" s="29" t="s">
        <v>22</v>
      </c>
      <c r="F70" s="30">
        <f>'9A Sem 2'!E25</f>
        <v>90</v>
      </c>
      <c r="G70" s="30">
        <f>'9A Sem 2'!F25</f>
        <v>76</v>
      </c>
      <c r="H70" s="30">
        <f>'9A Sem 2'!G25</f>
        <v>71</v>
      </c>
      <c r="I70" s="30">
        <f>'9A Sem 2'!H25</f>
        <v>69</v>
      </c>
      <c r="J70" s="30">
        <f>'9A Sem 2'!I25</f>
        <v>68</v>
      </c>
      <c r="K70" s="30">
        <f>'9A Sem 2'!J25</f>
        <v>83</v>
      </c>
      <c r="L70" s="30">
        <f>'9A Sem 2'!K25</f>
        <v>80</v>
      </c>
      <c r="M70" s="30">
        <f>'9A Sem 2'!L25</f>
        <v>76</v>
      </c>
      <c r="N70" s="30">
        <f>'9A Sem 2'!M25</f>
        <v>91</v>
      </c>
      <c r="O70" s="30">
        <f>'9A Sem 2'!N25</f>
        <v>89</v>
      </c>
      <c r="P70" s="30">
        <f>'9A Sem 2'!O25</f>
        <v>86</v>
      </c>
      <c r="Q70" s="30">
        <f>'9A Sem 2'!P25</f>
        <v>879</v>
      </c>
      <c r="R70" s="30">
        <f>'9A Sem 2'!Q25</f>
        <v>79.909090909090907</v>
      </c>
      <c r="S70" s="30">
        <f>'9A Sem 2'!R25</f>
        <v>18</v>
      </c>
      <c r="T70" s="45">
        <f>'9A Sem 2'!S25</f>
        <v>0</v>
      </c>
      <c r="U70" s="45">
        <f>'9A Sem 2'!T25</f>
        <v>0</v>
      </c>
      <c r="V70" s="6"/>
      <c r="W70" s="6"/>
      <c r="X70" s="6"/>
      <c r="Y70" s="6"/>
      <c r="Z70" s="6"/>
    </row>
    <row r="71" spans="1:26" ht="18.75" customHeight="1" thickBot="1" x14ac:dyDescent="0.3">
      <c r="A71" s="252"/>
      <c r="B71" s="247"/>
      <c r="C71" s="247">
        <v>14</v>
      </c>
      <c r="D71" s="248" t="s">
        <v>23</v>
      </c>
      <c r="E71" s="29" t="s">
        <v>16</v>
      </c>
      <c r="F71" s="30">
        <f>AVERAGE(F69:F70)</f>
        <v>87</v>
      </c>
      <c r="G71" s="30">
        <f t="shared" ref="G71:R71" si="21">AVERAGE(G69:G70)</f>
        <v>78</v>
      </c>
      <c r="H71" s="30">
        <f t="shared" si="21"/>
        <v>67.5</v>
      </c>
      <c r="I71" s="30">
        <f t="shared" si="21"/>
        <v>71.5</v>
      </c>
      <c r="J71" s="30">
        <f t="shared" si="21"/>
        <v>62</v>
      </c>
      <c r="K71" s="30">
        <f t="shared" si="21"/>
        <v>79.5</v>
      </c>
      <c r="L71" s="30">
        <f t="shared" si="21"/>
        <v>78</v>
      </c>
      <c r="M71" s="30">
        <f t="shared" si="21"/>
        <v>75</v>
      </c>
      <c r="N71" s="30">
        <f t="shared" si="21"/>
        <v>88</v>
      </c>
      <c r="O71" s="30">
        <f t="shared" si="21"/>
        <v>88.5</v>
      </c>
      <c r="P71" s="30">
        <f t="shared" si="21"/>
        <v>85.5</v>
      </c>
      <c r="Q71" s="30">
        <f t="shared" si="21"/>
        <v>860.5</v>
      </c>
      <c r="R71" s="30">
        <f t="shared" si="21"/>
        <v>78.22727272727272</v>
      </c>
      <c r="S71" s="30">
        <f>'9A Sem avr'!$H$25</f>
        <v>19</v>
      </c>
      <c r="T71" s="30">
        <f>AVERAGE(T69:T70)</f>
        <v>0</v>
      </c>
      <c r="U71" s="30">
        <f>AVERAGE(U69:U70)</f>
        <v>0</v>
      </c>
      <c r="V71" s="6"/>
      <c r="W71" s="6"/>
      <c r="X71" s="6"/>
      <c r="Y71" s="6"/>
      <c r="Z71" s="6"/>
    </row>
    <row r="72" spans="1:26" ht="18.75" customHeight="1" thickBot="1" x14ac:dyDescent="0.3">
      <c r="A72" s="252">
        <v>23</v>
      </c>
      <c r="B72" s="247"/>
      <c r="C72" s="247">
        <v>15</v>
      </c>
      <c r="D72" s="248" t="s">
        <v>23</v>
      </c>
      <c r="E72" s="29" t="s">
        <v>21</v>
      </c>
      <c r="F72" s="30">
        <f>'9A Sem 1'!E26</f>
        <v>91</v>
      </c>
      <c r="G72" s="30">
        <f>'9A Sem 1'!F26</f>
        <v>75</v>
      </c>
      <c r="H72" s="30">
        <f>'9A Sem 1'!G26</f>
        <v>77</v>
      </c>
      <c r="I72" s="30">
        <f>'9A Sem 1'!H26</f>
        <v>76</v>
      </c>
      <c r="J72" s="30">
        <f>'9A Sem 1'!I26</f>
        <v>65</v>
      </c>
      <c r="K72" s="30">
        <f>'9A Sem 1'!J26</f>
        <v>79</v>
      </c>
      <c r="L72" s="30">
        <f>'9A Sem 1'!K26</f>
        <v>80</v>
      </c>
      <c r="M72" s="30">
        <f>'9A Sem 1'!L26</f>
        <v>82</v>
      </c>
      <c r="N72" s="30">
        <f>'9A Sem 1'!M26</f>
        <v>89</v>
      </c>
      <c r="O72" s="30">
        <f>'9A Sem 1'!N26</f>
        <v>96</v>
      </c>
      <c r="P72" s="30">
        <f>'9A Sem 1'!O26</f>
        <v>92</v>
      </c>
      <c r="Q72" s="30">
        <f>'9A Sem 1'!P26</f>
        <v>902</v>
      </c>
      <c r="R72" s="30">
        <f>'9A Sem 1'!Q26</f>
        <v>82</v>
      </c>
      <c r="S72" s="30">
        <f>'9A Sem 1'!R26</f>
        <v>10</v>
      </c>
      <c r="T72" s="45">
        <f>'9A Sem 1'!S26</f>
        <v>0</v>
      </c>
      <c r="U72" s="45">
        <f>'9A Sem 1'!T26</f>
        <v>0</v>
      </c>
      <c r="V72" s="6"/>
      <c r="W72" s="6"/>
      <c r="X72" s="6"/>
      <c r="Y72" s="6"/>
      <c r="Z72" s="6"/>
    </row>
    <row r="73" spans="1:26" ht="18.75" customHeight="1" thickBot="1" x14ac:dyDescent="0.3">
      <c r="A73" s="252"/>
      <c r="B73" s="247"/>
      <c r="C73" s="247">
        <v>15</v>
      </c>
      <c r="D73" s="248" t="s">
        <v>23</v>
      </c>
      <c r="E73" s="29" t="s">
        <v>22</v>
      </c>
      <c r="F73" s="30">
        <f>'9A Sem 2'!E26</f>
        <v>96</v>
      </c>
      <c r="G73" s="30">
        <f>'9A Sem 2'!F26</f>
        <v>85</v>
      </c>
      <c r="H73" s="30">
        <f>'9A Sem 2'!G26</f>
        <v>81</v>
      </c>
      <c r="I73" s="30">
        <f>'9A Sem 2'!H26</f>
        <v>83</v>
      </c>
      <c r="J73" s="30">
        <f>'9A Sem 2'!I26</f>
        <v>77</v>
      </c>
      <c r="K73" s="30">
        <f>'9A Sem 2'!J26</f>
        <v>93</v>
      </c>
      <c r="L73" s="30">
        <f>'9A Sem 2'!K26</f>
        <v>83</v>
      </c>
      <c r="M73" s="30">
        <f>'9A Sem 2'!L26</f>
        <v>89</v>
      </c>
      <c r="N73" s="30">
        <f>'9A Sem 2'!M26</f>
        <v>90</v>
      </c>
      <c r="O73" s="30">
        <f>'9A Sem 2'!N26</f>
        <v>96</v>
      </c>
      <c r="P73" s="30">
        <f>'9A Sem 2'!O26</f>
        <v>92</v>
      </c>
      <c r="Q73" s="30">
        <f>'9A Sem 2'!P26</f>
        <v>965</v>
      </c>
      <c r="R73" s="30">
        <f>'9A Sem 2'!Q26</f>
        <v>87.727272727272734</v>
      </c>
      <c r="S73" s="30">
        <f>'9A Sem 2'!R26</f>
        <v>9</v>
      </c>
      <c r="T73" s="45">
        <f>'9A Sem 2'!S26</f>
        <v>0</v>
      </c>
      <c r="U73" s="45">
        <f>'9A Sem 2'!T26</f>
        <v>0</v>
      </c>
      <c r="V73" s="6"/>
      <c r="W73" s="6"/>
      <c r="X73" s="6"/>
      <c r="Y73" s="6"/>
      <c r="Z73" s="6"/>
    </row>
    <row r="74" spans="1:26" ht="18.75" customHeight="1" thickBot="1" x14ac:dyDescent="0.3">
      <c r="A74" s="252"/>
      <c r="B74" s="247"/>
      <c r="C74" s="247">
        <v>15</v>
      </c>
      <c r="D74" s="248" t="s">
        <v>23</v>
      </c>
      <c r="E74" s="29" t="s">
        <v>16</v>
      </c>
      <c r="F74" s="30">
        <f>AVERAGE(F72:F73)</f>
        <v>93.5</v>
      </c>
      <c r="G74" s="30">
        <f t="shared" ref="G74:R74" si="22">AVERAGE(G72:G73)</f>
        <v>80</v>
      </c>
      <c r="H74" s="30">
        <f t="shared" si="22"/>
        <v>79</v>
      </c>
      <c r="I74" s="30">
        <f t="shared" si="22"/>
        <v>79.5</v>
      </c>
      <c r="J74" s="30">
        <f t="shared" si="22"/>
        <v>71</v>
      </c>
      <c r="K74" s="30">
        <f t="shared" si="22"/>
        <v>86</v>
      </c>
      <c r="L74" s="30">
        <f t="shared" si="22"/>
        <v>81.5</v>
      </c>
      <c r="M74" s="30">
        <f t="shared" si="22"/>
        <v>85.5</v>
      </c>
      <c r="N74" s="30">
        <f t="shared" si="22"/>
        <v>89.5</v>
      </c>
      <c r="O74" s="30">
        <f t="shared" si="22"/>
        <v>96</v>
      </c>
      <c r="P74" s="30">
        <f t="shared" si="22"/>
        <v>92</v>
      </c>
      <c r="Q74" s="30">
        <f t="shared" si="22"/>
        <v>933.5</v>
      </c>
      <c r="R74" s="30">
        <f t="shared" si="22"/>
        <v>84.863636363636374</v>
      </c>
      <c r="S74" s="30">
        <f>'9A Sem avr'!$H$26</f>
        <v>10</v>
      </c>
      <c r="T74" s="30">
        <f>AVERAGE(T72:T73)</f>
        <v>0</v>
      </c>
      <c r="U74" s="30">
        <f>AVERAGE(U72:U73)</f>
        <v>0</v>
      </c>
      <c r="V74" s="6"/>
      <c r="W74" s="6"/>
      <c r="X74" s="6"/>
      <c r="Y74" s="6"/>
      <c r="Z74" s="6"/>
    </row>
    <row r="75" spans="1:26" ht="18.75" customHeight="1" thickBot="1" x14ac:dyDescent="0.3">
      <c r="A75" s="246">
        <v>24</v>
      </c>
      <c r="B75" s="247"/>
      <c r="C75" s="247">
        <v>14</v>
      </c>
      <c r="D75" s="248" t="s">
        <v>20</v>
      </c>
      <c r="E75" s="29" t="s">
        <v>21</v>
      </c>
      <c r="F75" s="30">
        <f>'9A Sem 1'!E27</f>
        <v>94</v>
      </c>
      <c r="G75" s="30">
        <f>'9A Sem 1'!F27</f>
        <v>88</v>
      </c>
      <c r="H75" s="31">
        <f>'9A Sem 1'!G27</f>
        <v>79</v>
      </c>
      <c r="I75" s="31">
        <f>'9A Sem 1'!H27</f>
        <v>84</v>
      </c>
      <c r="J75" s="30">
        <f>'9A Sem 1'!I27</f>
        <v>81</v>
      </c>
      <c r="K75" s="31">
        <f>'9A Sem 1'!J27</f>
        <v>85</v>
      </c>
      <c r="L75" s="30">
        <f>'9A Sem 1'!K27</f>
        <v>83</v>
      </c>
      <c r="M75" s="30">
        <f>'9A Sem 1'!L27</f>
        <v>93</v>
      </c>
      <c r="N75" s="30">
        <f>'9A Sem 1'!M27</f>
        <v>90</v>
      </c>
      <c r="O75" s="30">
        <f>'9A Sem 1'!N27</f>
        <v>92</v>
      </c>
      <c r="P75" s="30">
        <f>'9A Sem 1'!O27</f>
        <v>87</v>
      </c>
      <c r="Q75" s="30">
        <f>'9A Sem 1'!P27</f>
        <v>956</v>
      </c>
      <c r="R75" s="30">
        <f>'9A Sem 1'!Q27</f>
        <v>86.909090909090907</v>
      </c>
      <c r="S75" s="30">
        <f>'9A Sem 1'!R27</f>
        <v>5</v>
      </c>
      <c r="T75" s="45">
        <f>'9A Sem 1'!S27</f>
        <v>0</v>
      </c>
      <c r="U75" s="45">
        <f>'9A Sem 1'!T27</f>
        <v>0</v>
      </c>
      <c r="V75" s="6"/>
      <c r="W75" s="6"/>
      <c r="X75" s="6"/>
      <c r="Y75" s="6"/>
      <c r="Z75" s="6"/>
    </row>
    <row r="76" spans="1:26" ht="18.75" customHeight="1" thickBot="1" x14ac:dyDescent="0.3">
      <c r="A76" s="246"/>
      <c r="B76" s="247"/>
      <c r="C76" s="247">
        <v>14</v>
      </c>
      <c r="D76" s="248" t="s">
        <v>20</v>
      </c>
      <c r="E76" s="29" t="s">
        <v>22</v>
      </c>
      <c r="F76" s="30">
        <f>'9A Sem 2'!E27</f>
        <v>90</v>
      </c>
      <c r="G76" s="30">
        <f>'9A Sem 2'!F27</f>
        <v>90</v>
      </c>
      <c r="H76" s="31">
        <f>'9A Sem 2'!G27</f>
        <v>87</v>
      </c>
      <c r="I76" s="31">
        <f>'9A Sem 2'!H27</f>
        <v>85</v>
      </c>
      <c r="J76" s="30">
        <f>'9A Sem 2'!I27</f>
        <v>78</v>
      </c>
      <c r="K76" s="31">
        <f>'9A Sem 2'!J27</f>
        <v>91</v>
      </c>
      <c r="L76" s="30">
        <f>'9A Sem 2'!K27</f>
        <v>86</v>
      </c>
      <c r="M76" s="30">
        <f>'9A Sem 2'!L27</f>
        <v>85</v>
      </c>
      <c r="N76" s="30">
        <f>'9A Sem 2'!M27</f>
        <v>99</v>
      </c>
      <c r="O76" s="30">
        <f>'9A Sem 2'!N27</f>
        <v>93</v>
      </c>
      <c r="P76" s="30">
        <f>'9A Sem 2'!O27</f>
        <v>99</v>
      </c>
      <c r="Q76" s="30">
        <f>'9A Sem 2'!P27</f>
        <v>983</v>
      </c>
      <c r="R76" s="30">
        <f>'9A Sem 2'!Q27</f>
        <v>89.36363636363636</v>
      </c>
      <c r="S76" s="30">
        <f>'9A Sem 2'!R27</f>
        <v>7</v>
      </c>
      <c r="T76" s="45">
        <f>'9A Sem 2'!S27</f>
        <v>0</v>
      </c>
      <c r="U76" s="45">
        <f>'9A Sem 2'!T27</f>
        <v>0</v>
      </c>
      <c r="V76" s="6"/>
      <c r="W76" s="6"/>
      <c r="X76" s="6"/>
      <c r="Y76" s="6"/>
      <c r="Z76" s="6"/>
    </row>
    <row r="77" spans="1:26" ht="18.75" customHeight="1" thickBot="1" x14ac:dyDescent="0.3">
      <c r="A77" s="246"/>
      <c r="B77" s="247"/>
      <c r="C77" s="247">
        <v>14</v>
      </c>
      <c r="D77" s="248" t="s">
        <v>20</v>
      </c>
      <c r="E77" s="29" t="s">
        <v>16</v>
      </c>
      <c r="F77" s="30">
        <f>AVERAGE(F75:F76)</f>
        <v>92</v>
      </c>
      <c r="G77" s="30">
        <f t="shared" ref="G77:R77" si="23">AVERAGE(G75:G76)</f>
        <v>89</v>
      </c>
      <c r="H77" s="30">
        <f t="shared" si="23"/>
        <v>83</v>
      </c>
      <c r="I77" s="30">
        <f t="shared" si="23"/>
        <v>84.5</v>
      </c>
      <c r="J77" s="30">
        <f t="shared" si="23"/>
        <v>79.5</v>
      </c>
      <c r="K77" s="30">
        <f t="shared" si="23"/>
        <v>88</v>
      </c>
      <c r="L77" s="30">
        <f t="shared" si="23"/>
        <v>84.5</v>
      </c>
      <c r="M77" s="30">
        <f t="shared" si="23"/>
        <v>89</v>
      </c>
      <c r="N77" s="30">
        <f t="shared" si="23"/>
        <v>94.5</v>
      </c>
      <c r="O77" s="30">
        <f t="shared" si="23"/>
        <v>92.5</v>
      </c>
      <c r="P77" s="30">
        <f t="shared" si="23"/>
        <v>93</v>
      </c>
      <c r="Q77" s="30">
        <f t="shared" si="23"/>
        <v>969.5</v>
      </c>
      <c r="R77" s="30">
        <f t="shared" si="23"/>
        <v>88.136363636363626</v>
      </c>
      <c r="S77" s="30">
        <f>'9A Sem avr'!$H$27</f>
        <v>6</v>
      </c>
      <c r="T77" s="30">
        <f>AVERAGE(T75:T76)</f>
        <v>0</v>
      </c>
      <c r="U77" s="30">
        <f>AVERAGE(U75:U76)</f>
        <v>0</v>
      </c>
      <c r="V77" s="6"/>
      <c r="W77" s="6"/>
      <c r="X77" s="6"/>
      <c r="Y77" s="6"/>
      <c r="Z77" s="6"/>
    </row>
    <row r="78" spans="1:26" ht="18.75" customHeight="1" thickBot="1" x14ac:dyDescent="0.3">
      <c r="A78" s="252">
        <v>25</v>
      </c>
      <c r="B78" s="247"/>
      <c r="C78" s="247">
        <v>14</v>
      </c>
      <c r="D78" s="248" t="s">
        <v>20</v>
      </c>
      <c r="E78" s="29" t="s">
        <v>21</v>
      </c>
      <c r="F78" s="30">
        <f>'9A Sem 1'!E28</f>
        <v>89</v>
      </c>
      <c r="G78" s="31">
        <f>'9A Sem 1'!F28</f>
        <v>69</v>
      </c>
      <c r="H78" s="31">
        <f>'9A Sem 1'!G28</f>
        <v>82</v>
      </c>
      <c r="I78" s="30">
        <f>'9A Sem 1'!H28</f>
        <v>75</v>
      </c>
      <c r="J78" s="31">
        <f>'9A Sem 1'!I28</f>
        <v>71</v>
      </c>
      <c r="K78" s="30">
        <f>'9A Sem 1'!J28</f>
        <v>74</v>
      </c>
      <c r="L78" s="30">
        <f>'9A Sem 1'!K28</f>
        <v>62</v>
      </c>
      <c r="M78" s="30">
        <f>'9A Sem 1'!L28</f>
        <v>80</v>
      </c>
      <c r="N78" s="30">
        <f>'9A Sem 1'!M28</f>
        <v>84</v>
      </c>
      <c r="O78" s="30">
        <f>'9A Sem 1'!N28</f>
        <v>99</v>
      </c>
      <c r="P78" s="30">
        <f>'9A Sem 1'!O28</f>
        <v>91</v>
      </c>
      <c r="Q78" s="30">
        <f>'9A Sem 1'!P28</f>
        <v>876</v>
      </c>
      <c r="R78" s="30">
        <f>'9A Sem 1'!Q28</f>
        <v>79.63636363636364</v>
      </c>
      <c r="S78" s="30">
        <f>'9A Sem 1'!R28</f>
        <v>14</v>
      </c>
      <c r="T78" s="45">
        <f>'9A Sem 1'!S28</f>
        <v>0</v>
      </c>
      <c r="U78" s="45">
        <f>'9A Sem 1'!T28</f>
        <v>0</v>
      </c>
      <c r="V78" s="6"/>
      <c r="W78" s="6"/>
      <c r="X78" s="6"/>
      <c r="Y78" s="6"/>
      <c r="Z78" s="6"/>
    </row>
    <row r="79" spans="1:26" ht="18.75" customHeight="1" thickBot="1" x14ac:dyDescent="0.3">
      <c r="A79" s="252"/>
      <c r="B79" s="247"/>
      <c r="C79" s="247">
        <v>14</v>
      </c>
      <c r="D79" s="248" t="s">
        <v>20</v>
      </c>
      <c r="E79" s="29" t="s">
        <v>22</v>
      </c>
      <c r="F79" s="30">
        <f>'9A Sem 2'!E28</f>
        <v>84</v>
      </c>
      <c r="G79" s="31">
        <f>'9A Sem 2'!F28</f>
        <v>78</v>
      </c>
      <c r="H79" s="31">
        <f>'9A Sem 2'!G28</f>
        <v>80</v>
      </c>
      <c r="I79" s="30">
        <f>'9A Sem 2'!H28</f>
        <v>65</v>
      </c>
      <c r="J79" s="31">
        <f>'9A Sem 2'!I28</f>
        <v>76</v>
      </c>
      <c r="K79" s="30">
        <f>'9A Sem 2'!J28</f>
        <v>75</v>
      </c>
      <c r="L79" s="30">
        <f>'9A Sem 2'!K28</f>
        <v>77</v>
      </c>
      <c r="M79" s="30">
        <f>'9A Sem 2'!L28</f>
        <v>64</v>
      </c>
      <c r="N79" s="30">
        <f>'9A Sem 2'!M28</f>
        <v>76</v>
      </c>
      <c r="O79" s="30">
        <f>'9A Sem 2'!N28</f>
        <v>94</v>
      </c>
      <c r="P79" s="30">
        <f>'9A Sem 2'!O28</f>
        <v>92</v>
      </c>
      <c r="Q79" s="30">
        <f>'9A Sem 2'!P28</f>
        <v>861</v>
      </c>
      <c r="R79" s="30">
        <f>'9A Sem 2'!Q28</f>
        <v>78.272727272727266</v>
      </c>
      <c r="S79" s="30">
        <f>'9A Sem 2'!R28</f>
        <v>20</v>
      </c>
      <c r="T79" s="45">
        <f>'9A Sem 2'!S28</f>
        <v>0</v>
      </c>
      <c r="U79" s="45">
        <f>'9A Sem 2'!T28</f>
        <v>0</v>
      </c>
      <c r="V79" s="6"/>
      <c r="W79" s="6"/>
      <c r="X79" s="6"/>
      <c r="Y79" s="6"/>
      <c r="Z79" s="6"/>
    </row>
    <row r="80" spans="1:26" ht="18.75" customHeight="1" thickBot="1" x14ac:dyDescent="0.3">
      <c r="A80" s="252"/>
      <c r="B80" s="247"/>
      <c r="C80" s="247">
        <v>14</v>
      </c>
      <c r="D80" s="248" t="s">
        <v>20</v>
      </c>
      <c r="E80" s="29" t="s">
        <v>16</v>
      </c>
      <c r="F80" s="30">
        <f>AVERAGE(F78:F79)</f>
        <v>86.5</v>
      </c>
      <c r="G80" s="30">
        <f t="shared" ref="G80:R80" si="24">AVERAGE(G78:G79)</f>
        <v>73.5</v>
      </c>
      <c r="H80" s="30">
        <f t="shared" si="24"/>
        <v>81</v>
      </c>
      <c r="I80" s="30">
        <f t="shared" si="24"/>
        <v>70</v>
      </c>
      <c r="J80" s="30">
        <f t="shared" si="24"/>
        <v>73.5</v>
      </c>
      <c r="K80" s="30">
        <f t="shared" si="24"/>
        <v>74.5</v>
      </c>
      <c r="L80" s="30">
        <f t="shared" si="24"/>
        <v>69.5</v>
      </c>
      <c r="M80" s="30">
        <f t="shared" si="24"/>
        <v>72</v>
      </c>
      <c r="N80" s="30">
        <f t="shared" si="24"/>
        <v>80</v>
      </c>
      <c r="O80" s="30">
        <f t="shared" si="24"/>
        <v>96.5</v>
      </c>
      <c r="P80" s="30">
        <f t="shared" si="24"/>
        <v>91.5</v>
      </c>
      <c r="Q80" s="30">
        <f t="shared" si="24"/>
        <v>868.5</v>
      </c>
      <c r="R80" s="30">
        <f t="shared" si="24"/>
        <v>78.954545454545453</v>
      </c>
      <c r="S80" s="30">
        <f>'9A Sem avr'!$H$28</f>
        <v>18</v>
      </c>
      <c r="T80" s="30">
        <f>AVERAGE(T78:T79)</f>
        <v>0</v>
      </c>
      <c r="U80" s="30">
        <f>AVERAGE(U78:U79)</f>
        <v>0</v>
      </c>
      <c r="V80" s="6"/>
      <c r="W80" s="6"/>
      <c r="X80" s="6"/>
      <c r="Y80" s="6"/>
      <c r="Z80" s="6"/>
    </row>
    <row r="81" spans="1:26" ht="18.75" customHeight="1" thickBot="1" x14ac:dyDescent="0.3">
      <c r="A81" s="246">
        <v>26</v>
      </c>
      <c r="B81" s="247"/>
      <c r="C81" s="253">
        <v>15</v>
      </c>
      <c r="D81" s="254" t="s">
        <v>23</v>
      </c>
      <c r="E81" s="29" t="s">
        <v>21</v>
      </c>
      <c r="F81" s="30">
        <f>'9A Sem 1'!E29</f>
        <v>78</v>
      </c>
      <c r="G81" s="30">
        <f>'9A Sem 1'!F29</f>
        <v>38</v>
      </c>
      <c r="H81" s="30">
        <f>'9A Sem 1'!G29</f>
        <v>47</v>
      </c>
      <c r="I81" s="30">
        <f>'9A Sem 1'!H29</f>
        <v>40</v>
      </c>
      <c r="J81" s="30">
        <f>'9A Sem 1'!I29</f>
        <v>53</v>
      </c>
      <c r="K81" s="30">
        <f>'9A Sem 1'!J29</f>
        <v>45</v>
      </c>
      <c r="L81" s="30">
        <f>'9A Sem 1'!K29</f>
        <v>46</v>
      </c>
      <c r="M81" s="30">
        <f>'9A Sem 1'!L29</f>
        <v>68</v>
      </c>
      <c r="N81" s="30">
        <f>'9A Sem 1'!M29</f>
        <v>47</v>
      </c>
      <c r="O81" s="30">
        <f>'9A Sem 1'!N29</f>
        <v>73</v>
      </c>
      <c r="P81" s="30">
        <f>'9A Sem 1'!O29</f>
        <v>92</v>
      </c>
      <c r="Q81" s="30">
        <f>'9A Sem 1'!P29</f>
        <v>627</v>
      </c>
      <c r="R81" s="30">
        <f>'9A Sem 1'!Q29</f>
        <v>57</v>
      </c>
      <c r="S81" s="30">
        <f>'9A Sem 1'!R29</f>
        <v>45</v>
      </c>
      <c r="T81" s="45">
        <f>'9A Sem 1'!S29</f>
        <v>0</v>
      </c>
      <c r="U81" s="45">
        <f>'9A Sem 1'!T29</f>
        <v>0</v>
      </c>
      <c r="V81" s="6"/>
      <c r="W81" s="6"/>
      <c r="X81" s="6"/>
      <c r="Y81" s="6"/>
      <c r="Z81" s="6"/>
    </row>
    <row r="82" spans="1:26" ht="18.75" customHeight="1" thickBot="1" x14ac:dyDescent="0.3">
      <c r="A82" s="246"/>
      <c r="B82" s="247"/>
      <c r="C82" s="253">
        <v>15</v>
      </c>
      <c r="D82" s="254" t="s">
        <v>23</v>
      </c>
      <c r="E82" s="29" t="s">
        <v>22</v>
      </c>
      <c r="F82" s="30">
        <f>'9A Sem 2'!E29</f>
        <v>80</v>
      </c>
      <c r="G82" s="30">
        <f>'9A Sem 2'!F29</f>
        <v>71</v>
      </c>
      <c r="H82" s="30">
        <f>'9A Sem 2'!G29</f>
        <v>68</v>
      </c>
      <c r="I82" s="30">
        <f>'9A Sem 2'!H29</f>
        <v>56</v>
      </c>
      <c r="J82" s="30">
        <f>'9A Sem 2'!I29</f>
        <v>56</v>
      </c>
      <c r="K82" s="30">
        <f>'9A Sem 2'!J29</f>
        <v>58</v>
      </c>
      <c r="L82" s="30">
        <f>'9A Sem 2'!K29</f>
        <v>62</v>
      </c>
      <c r="M82" s="30">
        <f>'9A Sem 2'!L29</f>
        <v>65</v>
      </c>
      <c r="N82" s="30">
        <f>'9A Sem 2'!M29</f>
        <v>85</v>
      </c>
      <c r="O82" s="30">
        <f>'9A Sem 2'!N29</f>
        <v>70</v>
      </c>
      <c r="P82" s="30">
        <f>'9A Sem 2'!O29</f>
        <v>84</v>
      </c>
      <c r="Q82" s="30">
        <f>'9A Sem 2'!P29</f>
        <v>755</v>
      </c>
      <c r="R82" s="30">
        <f>'9A Sem 2'!Q29</f>
        <v>68.63636363636364</v>
      </c>
      <c r="S82" s="30">
        <f>'9A Sem 2'!R29</f>
        <v>32</v>
      </c>
      <c r="T82" s="45">
        <f>'9A Sem 2'!S29</f>
        <v>0</v>
      </c>
      <c r="U82" s="45">
        <f>'9A Sem 2'!T29</f>
        <v>0</v>
      </c>
      <c r="V82" s="6"/>
      <c r="W82" s="6"/>
      <c r="X82" s="6"/>
      <c r="Y82" s="6"/>
      <c r="Z82" s="6"/>
    </row>
    <row r="83" spans="1:26" ht="18.75" customHeight="1" thickBot="1" x14ac:dyDescent="0.3">
      <c r="A83" s="246"/>
      <c r="B83" s="247"/>
      <c r="C83" s="253">
        <v>15</v>
      </c>
      <c r="D83" s="254" t="s">
        <v>23</v>
      </c>
      <c r="E83" s="29" t="s">
        <v>16</v>
      </c>
      <c r="F83" s="30">
        <f>AVERAGE(F81:F82)</f>
        <v>79</v>
      </c>
      <c r="G83" s="30">
        <f t="shared" ref="G83:R83" si="25">AVERAGE(G81:G82)</f>
        <v>54.5</v>
      </c>
      <c r="H83" s="30">
        <f t="shared" si="25"/>
        <v>57.5</v>
      </c>
      <c r="I83" s="30">
        <f t="shared" si="25"/>
        <v>48</v>
      </c>
      <c r="J83" s="30">
        <f t="shared" si="25"/>
        <v>54.5</v>
      </c>
      <c r="K83" s="30">
        <f t="shared" si="25"/>
        <v>51.5</v>
      </c>
      <c r="L83" s="30">
        <f t="shared" si="25"/>
        <v>54</v>
      </c>
      <c r="M83" s="30">
        <f t="shared" si="25"/>
        <v>66.5</v>
      </c>
      <c r="N83" s="30">
        <f t="shared" si="25"/>
        <v>66</v>
      </c>
      <c r="O83" s="30">
        <f t="shared" si="25"/>
        <v>71.5</v>
      </c>
      <c r="P83" s="30">
        <f t="shared" si="25"/>
        <v>88</v>
      </c>
      <c r="Q83" s="30">
        <f t="shared" si="25"/>
        <v>691</v>
      </c>
      <c r="R83" s="30">
        <f t="shared" si="25"/>
        <v>62.81818181818182</v>
      </c>
      <c r="S83" s="30">
        <f>'9A Sem avr'!$H$29</f>
        <v>38</v>
      </c>
      <c r="T83" s="30">
        <f>AVERAGE(T81:T82)</f>
        <v>0</v>
      </c>
      <c r="U83" s="30">
        <f>AVERAGE(U81:U82)</f>
        <v>0</v>
      </c>
      <c r="V83" s="6"/>
      <c r="W83" s="6"/>
      <c r="X83" s="6"/>
      <c r="Y83" s="6"/>
      <c r="Z83" s="6"/>
    </row>
    <row r="84" spans="1:26" ht="18.75" customHeight="1" thickBot="1" x14ac:dyDescent="0.3">
      <c r="A84" s="246">
        <v>27</v>
      </c>
      <c r="B84" s="247"/>
      <c r="C84" s="253">
        <v>14</v>
      </c>
      <c r="D84" s="254" t="s">
        <v>23</v>
      </c>
      <c r="E84" s="29" t="s">
        <v>21</v>
      </c>
      <c r="F84" s="30">
        <f>'9A Sem 1'!E30</f>
        <v>73</v>
      </c>
      <c r="G84" s="30">
        <f>'9A Sem 1'!F30</f>
        <v>55</v>
      </c>
      <c r="H84" s="31">
        <f>'9A Sem 1'!G30</f>
        <v>51</v>
      </c>
      <c r="I84" s="30">
        <f>'9A Sem 1'!H30</f>
        <v>50</v>
      </c>
      <c r="J84" s="30">
        <f>'9A Sem 1'!I30</f>
        <v>50</v>
      </c>
      <c r="K84" s="30">
        <f>'9A Sem 1'!J30</f>
        <v>46</v>
      </c>
      <c r="L84" s="30">
        <f>'9A Sem 1'!K30</f>
        <v>55</v>
      </c>
      <c r="M84" s="30">
        <f>'9A Sem 1'!L30</f>
        <v>63</v>
      </c>
      <c r="N84" s="30">
        <f>'9A Sem 1'!M30</f>
        <v>60</v>
      </c>
      <c r="O84" s="30">
        <f>'9A Sem 1'!N30</f>
        <v>61</v>
      </c>
      <c r="P84" s="30">
        <f>'9A Sem 1'!O30</f>
        <v>83</v>
      </c>
      <c r="Q84" s="30">
        <f>'9A Sem 1'!P30</f>
        <v>647</v>
      </c>
      <c r="R84" s="30">
        <f>'9A Sem 1'!Q30</f>
        <v>58.81818181818182</v>
      </c>
      <c r="S84" s="30">
        <f>'9A Sem 1'!R30</f>
        <v>43</v>
      </c>
      <c r="T84" s="45">
        <f>'9A Sem 1'!S30</f>
        <v>0</v>
      </c>
      <c r="U84" s="45">
        <f>'9A Sem 1'!T30</f>
        <v>0</v>
      </c>
      <c r="V84" s="6"/>
      <c r="W84" s="6"/>
      <c r="X84" s="6"/>
      <c r="Y84" s="6"/>
      <c r="Z84" s="6"/>
    </row>
    <row r="85" spans="1:26" ht="18.75" customHeight="1" thickBot="1" x14ac:dyDescent="0.3">
      <c r="A85" s="246"/>
      <c r="B85" s="247"/>
      <c r="C85" s="253">
        <v>14</v>
      </c>
      <c r="D85" s="254" t="s">
        <v>23</v>
      </c>
      <c r="E85" s="29" t="s">
        <v>22</v>
      </c>
      <c r="F85" s="30">
        <f>'9A Sem 2'!E30</f>
        <v>85</v>
      </c>
      <c r="G85" s="30">
        <f>'9A Sem 2'!F30</f>
        <v>59</v>
      </c>
      <c r="H85" s="31">
        <f>'9A Sem 2'!G30</f>
        <v>44</v>
      </c>
      <c r="I85" s="30">
        <f>'9A Sem 2'!H30</f>
        <v>42</v>
      </c>
      <c r="J85" s="30">
        <f>'9A Sem 2'!I30</f>
        <v>45</v>
      </c>
      <c r="K85" s="30">
        <f>'9A Sem 2'!J30</f>
        <v>53</v>
      </c>
      <c r="L85" s="30">
        <f>'9A Sem 2'!K30</f>
        <v>58</v>
      </c>
      <c r="M85" s="30">
        <f>'9A Sem 2'!L30</f>
        <v>65</v>
      </c>
      <c r="N85" s="30">
        <f>'9A Sem 2'!M30</f>
        <v>75</v>
      </c>
      <c r="O85" s="30">
        <f>'9A Sem 2'!N30</f>
        <v>68</v>
      </c>
      <c r="P85" s="30">
        <f>'9A Sem 2'!O30</f>
        <v>82</v>
      </c>
      <c r="Q85" s="30">
        <f>'9A Sem 2'!P30</f>
        <v>676</v>
      </c>
      <c r="R85" s="30">
        <f>'9A Sem 2'!Q30</f>
        <v>61.454545454545453</v>
      </c>
      <c r="S85" s="30">
        <f>'9A Sem 2'!R30</f>
        <v>43</v>
      </c>
      <c r="T85" s="45">
        <f>'9A Sem 2'!S30</f>
        <v>0</v>
      </c>
      <c r="U85" s="45">
        <f>'9A Sem 2'!T30</f>
        <v>0</v>
      </c>
      <c r="V85" s="6"/>
      <c r="W85" s="6"/>
      <c r="X85" s="6"/>
      <c r="Y85" s="6"/>
      <c r="Z85" s="6"/>
    </row>
    <row r="86" spans="1:26" ht="18.75" customHeight="1" thickBot="1" x14ac:dyDescent="0.3">
      <c r="A86" s="246"/>
      <c r="B86" s="247"/>
      <c r="C86" s="253">
        <v>14</v>
      </c>
      <c r="D86" s="254" t="s">
        <v>23</v>
      </c>
      <c r="E86" s="29" t="s">
        <v>16</v>
      </c>
      <c r="F86" s="30">
        <f>AVERAGE(F84:F85)</f>
        <v>79</v>
      </c>
      <c r="G86" s="30">
        <f t="shared" ref="G86:R86" si="26">AVERAGE(G84:G85)</f>
        <v>57</v>
      </c>
      <c r="H86" s="30">
        <f t="shared" si="26"/>
        <v>47.5</v>
      </c>
      <c r="I86" s="30">
        <f t="shared" si="26"/>
        <v>46</v>
      </c>
      <c r="J86" s="30">
        <f t="shared" si="26"/>
        <v>47.5</v>
      </c>
      <c r="K86" s="30">
        <f t="shared" si="26"/>
        <v>49.5</v>
      </c>
      <c r="L86" s="30">
        <f t="shared" si="26"/>
        <v>56.5</v>
      </c>
      <c r="M86" s="30">
        <f t="shared" si="26"/>
        <v>64</v>
      </c>
      <c r="N86" s="30">
        <f t="shared" si="26"/>
        <v>67.5</v>
      </c>
      <c r="O86" s="30">
        <f t="shared" si="26"/>
        <v>64.5</v>
      </c>
      <c r="P86" s="30">
        <f t="shared" si="26"/>
        <v>82.5</v>
      </c>
      <c r="Q86" s="30">
        <f t="shared" si="26"/>
        <v>661.5</v>
      </c>
      <c r="R86" s="30">
        <f t="shared" si="26"/>
        <v>60.13636363636364</v>
      </c>
      <c r="S86" s="30">
        <f>'9A Sem avr'!$H$30</f>
        <v>43</v>
      </c>
      <c r="T86" s="30">
        <f>AVERAGE(T84:T85)</f>
        <v>0</v>
      </c>
      <c r="U86" s="30">
        <f>AVERAGE(U84:U85)</f>
        <v>0</v>
      </c>
      <c r="V86" s="6"/>
      <c r="W86" s="6"/>
      <c r="X86" s="6"/>
      <c r="Y86" s="6"/>
      <c r="Z86" s="6"/>
    </row>
    <row r="87" spans="1:26" ht="18.75" customHeight="1" thickBot="1" x14ac:dyDescent="0.3">
      <c r="A87" s="246">
        <v>28</v>
      </c>
      <c r="B87" s="247"/>
      <c r="C87" s="253">
        <v>14</v>
      </c>
      <c r="D87" s="254" t="s">
        <v>23</v>
      </c>
      <c r="E87" s="29" t="s">
        <v>21</v>
      </c>
      <c r="F87" s="30">
        <f>'9A Sem 1'!E31</f>
        <v>93</v>
      </c>
      <c r="G87" s="30">
        <f>'9A Sem 1'!F31</f>
        <v>66</v>
      </c>
      <c r="H87" s="30">
        <f>'9A Sem 1'!G31</f>
        <v>53</v>
      </c>
      <c r="I87" s="30">
        <f>'9A Sem 1'!H31</f>
        <v>52</v>
      </c>
      <c r="J87" s="30">
        <f>'9A Sem 1'!I31</f>
        <v>64</v>
      </c>
      <c r="K87" s="30">
        <f>'9A Sem 1'!J31</f>
        <v>48</v>
      </c>
      <c r="L87" s="30">
        <f>'9A Sem 1'!K31</f>
        <v>75</v>
      </c>
      <c r="M87" s="30">
        <f>'9A Sem 1'!L31</f>
        <v>79</v>
      </c>
      <c r="N87" s="30">
        <f>'9A Sem 1'!M31</f>
        <v>65</v>
      </c>
      <c r="O87" s="30">
        <f>'9A Sem 1'!N31</f>
        <v>81</v>
      </c>
      <c r="P87" s="30">
        <f>'9A Sem 1'!O31</f>
        <v>83</v>
      </c>
      <c r="Q87" s="30">
        <f>'9A Sem 1'!P31</f>
        <v>759</v>
      </c>
      <c r="R87" s="30">
        <f>'9A Sem 1'!Q31</f>
        <v>69</v>
      </c>
      <c r="S87" s="30">
        <f>'9A Sem 1'!R31</f>
        <v>30</v>
      </c>
      <c r="T87" s="45">
        <f>'9A Sem 1'!S31</f>
        <v>0</v>
      </c>
      <c r="U87" s="45">
        <f>'9A Sem 1'!T31</f>
        <v>0</v>
      </c>
      <c r="V87" s="6"/>
      <c r="W87" s="6"/>
      <c r="X87" s="6"/>
      <c r="Y87" s="6"/>
      <c r="Z87" s="6"/>
    </row>
    <row r="88" spans="1:26" ht="18.75" customHeight="1" thickBot="1" x14ac:dyDescent="0.3">
      <c r="A88" s="246"/>
      <c r="B88" s="247"/>
      <c r="C88" s="253">
        <v>14</v>
      </c>
      <c r="D88" s="254" t="s">
        <v>23</v>
      </c>
      <c r="E88" s="29" t="s">
        <v>22</v>
      </c>
      <c r="F88" s="30">
        <f>'9A Sem 2'!E31</f>
        <v>86</v>
      </c>
      <c r="G88" s="30">
        <f>'9A Sem 2'!F31</f>
        <v>68</v>
      </c>
      <c r="H88" s="30">
        <f>'9A Sem 2'!G31</f>
        <v>54</v>
      </c>
      <c r="I88" s="30">
        <f>'9A Sem 2'!H31</f>
        <v>52</v>
      </c>
      <c r="J88" s="30">
        <f>'9A Sem 2'!I31</f>
        <v>51</v>
      </c>
      <c r="K88" s="30">
        <f>'9A Sem 2'!J31</f>
        <v>55</v>
      </c>
      <c r="L88" s="30">
        <f>'9A Sem 2'!K31</f>
        <v>66</v>
      </c>
      <c r="M88" s="30">
        <f>'9A Sem 2'!L31</f>
        <v>64</v>
      </c>
      <c r="N88" s="30">
        <f>'9A Sem 2'!M31</f>
        <v>74</v>
      </c>
      <c r="O88" s="30">
        <f>'9A Sem 2'!N31</f>
        <v>78</v>
      </c>
      <c r="P88" s="30">
        <f>'9A Sem 2'!O31</f>
        <v>93</v>
      </c>
      <c r="Q88" s="30">
        <f>'9A Sem 2'!P31</f>
        <v>741</v>
      </c>
      <c r="R88" s="30">
        <f>'9A Sem 2'!Q31</f>
        <v>67.36363636363636</v>
      </c>
      <c r="S88" s="30">
        <f>'9A Sem 2'!R31</f>
        <v>33</v>
      </c>
      <c r="T88" s="45">
        <f>'9A Sem 2'!S31</f>
        <v>0</v>
      </c>
      <c r="U88" s="45">
        <f>'9A Sem 2'!T31</f>
        <v>0</v>
      </c>
      <c r="V88" s="6"/>
      <c r="W88" s="6"/>
      <c r="X88" s="6"/>
      <c r="Y88" s="6"/>
      <c r="Z88" s="6"/>
    </row>
    <row r="89" spans="1:26" ht="18.75" customHeight="1" thickBot="1" x14ac:dyDescent="0.3">
      <c r="A89" s="246"/>
      <c r="B89" s="247"/>
      <c r="C89" s="253">
        <v>14</v>
      </c>
      <c r="D89" s="254" t="s">
        <v>23</v>
      </c>
      <c r="E89" s="29" t="s">
        <v>16</v>
      </c>
      <c r="F89" s="30">
        <f>AVERAGE(F87:F88)</f>
        <v>89.5</v>
      </c>
      <c r="G89" s="30">
        <f t="shared" ref="G89:R89" si="27">AVERAGE(G87:G88)</f>
        <v>67</v>
      </c>
      <c r="H89" s="30">
        <f t="shared" si="27"/>
        <v>53.5</v>
      </c>
      <c r="I89" s="30">
        <f t="shared" si="27"/>
        <v>52</v>
      </c>
      <c r="J89" s="30">
        <f t="shared" si="27"/>
        <v>57.5</v>
      </c>
      <c r="K89" s="30">
        <f t="shared" si="27"/>
        <v>51.5</v>
      </c>
      <c r="L89" s="30">
        <f t="shared" si="27"/>
        <v>70.5</v>
      </c>
      <c r="M89" s="30">
        <f t="shared" si="27"/>
        <v>71.5</v>
      </c>
      <c r="N89" s="30">
        <f t="shared" si="27"/>
        <v>69.5</v>
      </c>
      <c r="O89" s="30">
        <f t="shared" si="27"/>
        <v>79.5</v>
      </c>
      <c r="P89" s="30">
        <f t="shared" si="27"/>
        <v>88</v>
      </c>
      <c r="Q89" s="30">
        <f t="shared" si="27"/>
        <v>750</v>
      </c>
      <c r="R89" s="30">
        <f t="shared" si="27"/>
        <v>68.181818181818187</v>
      </c>
      <c r="S89" s="30">
        <f>'9A Sem avr'!$H$31</f>
        <v>32</v>
      </c>
      <c r="T89" s="30">
        <f>AVERAGE(T87:T88)</f>
        <v>0</v>
      </c>
      <c r="U89" s="30">
        <f>AVERAGE(U87:U88)</f>
        <v>0</v>
      </c>
      <c r="V89" s="6"/>
      <c r="W89" s="6"/>
      <c r="X89" s="6"/>
      <c r="Y89" s="6"/>
      <c r="Z89" s="6"/>
    </row>
    <row r="90" spans="1:26" ht="18.75" customHeight="1" thickBot="1" x14ac:dyDescent="0.3">
      <c r="A90" s="252">
        <v>29</v>
      </c>
      <c r="B90" s="247"/>
      <c r="C90" s="253">
        <v>16</v>
      </c>
      <c r="D90" s="254" t="s">
        <v>23</v>
      </c>
      <c r="E90" s="29" t="s">
        <v>21</v>
      </c>
      <c r="F90" s="30">
        <f>'9A Sem 1'!E32</f>
        <v>85</v>
      </c>
      <c r="G90" s="30">
        <f>'9A Sem 1'!F32</f>
        <v>76</v>
      </c>
      <c r="H90" s="30">
        <f>'9A Sem 1'!G32</f>
        <v>80</v>
      </c>
      <c r="I90" s="30">
        <f>'9A Sem 1'!H32</f>
        <v>78</v>
      </c>
      <c r="J90" s="30">
        <f>'9A Sem 1'!I32</f>
        <v>63</v>
      </c>
      <c r="K90" s="30">
        <f>'9A Sem 1'!J32</f>
        <v>77</v>
      </c>
      <c r="L90" s="30">
        <f>'9A Sem 1'!K32</f>
        <v>76</v>
      </c>
      <c r="M90" s="30">
        <f>'9A Sem 1'!L32</f>
        <v>76</v>
      </c>
      <c r="N90" s="30">
        <f>'9A Sem 1'!M32</f>
        <v>73</v>
      </c>
      <c r="O90" s="30">
        <f>'9A Sem 1'!N32</f>
        <v>88</v>
      </c>
      <c r="P90" s="30">
        <f>'9A Sem 1'!O32</f>
        <v>82</v>
      </c>
      <c r="Q90" s="30">
        <f>'9A Sem 1'!P32</f>
        <v>854</v>
      </c>
      <c r="R90" s="30">
        <f>'9A Sem 1'!Q32</f>
        <v>77.63636363636364</v>
      </c>
      <c r="S90" s="30">
        <f>'9A Sem 1'!R32</f>
        <v>17</v>
      </c>
      <c r="T90" s="45">
        <f>'9A Sem 1'!S32</f>
        <v>0</v>
      </c>
      <c r="U90" s="45">
        <f>'9A Sem 1'!T32</f>
        <v>0</v>
      </c>
      <c r="V90" s="6"/>
      <c r="W90" s="6"/>
      <c r="X90" s="6"/>
      <c r="Y90" s="6"/>
      <c r="Z90" s="6"/>
    </row>
    <row r="91" spans="1:26" ht="18.75" customHeight="1" thickBot="1" x14ac:dyDescent="0.3">
      <c r="A91" s="252"/>
      <c r="B91" s="247"/>
      <c r="C91" s="253">
        <v>16</v>
      </c>
      <c r="D91" s="254" t="s">
        <v>23</v>
      </c>
      <c r="E91" s="29" t="s">
        <v>22</v>
      </c>
      <c r="F91" s="30">
        <f>'9A Sem 2'!E32</f>
        <v>83</v>
      </c>
      <c r="G91" s="30">
        <f>'9A Sem 2'!F32</f>
        <v>81</v>
      </c>
      <c r="H91" s="30">
        <f>'9A Sem 2'!G32</f>
        <v>80</v>
      </c>
      <c r="I91" s="30">
        <f>'9A Sem 2'!H32</f>
        <v>73</v>
      </c>
      <c r="J91" s="30">
        <f>'9A Sem 2'!I32</f>
        <v>77</v>
      </c>
      <c r="K91" s="30">
        <f>'9A Sem 2'!J32</f>
        <v>91</v>
      </c>
      <c r="L91" s="30">
        <f>'9A Sem 2'!K32</f>
        <v>85</v>
      </c>
      <c r="M91" s="30">
        <f>'9A Sem 2'!L32</f>
        <v>85</v>
      </c>
      <c r="N91" s="30">
        <f>'9A Sem 2'!M32</f>
        <v>88</v>
      </c>
      <c r="O91" s="30">
        <f>'9A Sem 2'!N32</f>
        <v>89</v>
      </c>
      <c r="P91" s="30">
        <f>'9A Sem 2'!O32</f>
        <v>96</v>
      </c>
      <c r="Q91" s="30">
        <f>'9A Sem 2'!P32</f>
        <v>928</v>
      </c>
      <c r="R91" s="30">
        <f>'9A Sem 2'!Q32</f>
        <v>84.36363636363636</v>
      </c>
      <c r="S91" s="30">
        <f>'9A Sem 2'!R32</f>
        <v>12</v>
      </c>
      <c r="T91" s="45">
        <f>'9A Sem 2'!S32</f>
        <v>0</v>
      </c>
      <c r="U91" s="45">
        <f>'9A Sem 2'!T32</f>
        <v>0</v>
      </c>
      <c r="V91" s="6"/>
      <c r="W91" s="6"/>
      <c r="X91" s="6"/>
      <c r="Y91" s="6"/>
      <c r="Z91" s="6"/>
    </row>
    <row r="92" spans="1:26" ht="18.75" customHeight="1" thickBot="1" x14ac:dyDescent="0.3">
      <c r="A92" s="252"/>
      <c r="B92" s="247"/>
      <c r="C92" s="253">
        <v>16</v>
      </c>
      <c r="D92" s="254" t="s">
        <v>23</v>
      </c>
      <c r="E92" s="29" t="s">
        <v>16</v>
      </c>
      <c r="F92" s="30">
        <f>AVERAGE(F90:F91)</f>
        <v>84</v>
      </c>
      <c r="G92" s="30">
        <f t="shared" ref="G92:R92" si="28">AVERAGE(G90:G91)</f>
        <v>78.5</v>
      </c>
      <c r="H92" s="30">
        <f t="shared" si="28"/>
        <v>80</v>
      </c>
      <c r="I92" s="30">
        <f t="shared" si="28"/>
        <v>75.5</v>
      </c>
      <c r="J92" s="30">
        <f t="shared" si="28"/>
        <v>70</v>
      </c>
      <c r="K92" s="30">
        <f t="shared" si="28"/>
        <v>84</v>
      </c>
      <c r="L92" s="30">
        <f t="shared" si="28"/>
        <v>80.5</v>
      </c>
      <c r="M92" s="30">
        <f t="shared" si="28"/>
        <v>80.5</v>
      </c>
      <c r="N92" s="30">
        <f t="shared" si="28"/>
        <v>80.5</v>
      </c>
      <c r="O92" s="30">
        <f t="shared" si="28"/>
        <v>88.5</v>
      </c>
      <c r="P92" s="30">
        <f t="shared" si="28"/>
        <v>89</v>
      </c>
      <c r="Q92" s="30">
        <f t="shared" si="28"/>
        <v>891</v>
      </c>
      <c r="R92" s="30">
        <f t="shared" si="28"/>
        <v>81</v>
      </c>
      <c r="S92" s="30">
        <f>'9A Sem avr'!$H$32</f>
        <v>12</v>
      </c>
      <c r="T92" s="30">
        <f>AVERAGE(T90:T91)</f>
        <v>0</v>
      </c>
      <c r="U92" s="30">
        <f>AVERAGE(U90:U91)</f>
        <v>0</v>
      </c>
      <c r="V92" s="6"/>
      <c r="W92" s="6"/>
      <c r="X92" s="6"/>
      <c r="Y92" s="6"/>
      <c r="Z92" s="6"/>
    </row>
    <row r="93" spans="1:26" ht="18.75" customHeight="1" thickBot="1" x14ac:dyDescent="0.3">
      <c r="A93" s="246">
        <v>30</v>
      </c>
      <c r="B93" s="247"/>
      <c r="C93" s="253">
        <v>14</v>
      </c>
      <c r="D93" s="254" t="s">
        <v>23</v>
      </c>
      <c r="E93" s="29" t="s">
        <v>21</v>
      </c>
      <c r="F93" s="30">
        <f>'9A Sem 1'!E33</f>
        <v>88</v>
      </c>
      <c r="G93" s="31">
        <f>'9A Sem 1'!F33</f>
        <v>79</v>
      </c>
      <c r="H93" s="31">
        <f>'9A Sem 1'!G33</f>
        <v>89</v>
      </c>
      <c r="I93" s="31">
        <f>'9A Sem 1'!H33</f>
        <v>76</v>
      </c>
      <c r="J93" s="30">
        <f>'9A Sem 1'!I33</f>
        <v>80</v>
      </c>
      <c r="K93" s="30">
        <f>'9A Sem 1'!J33</f>
        <v>69</v>
      </c>
      <c r="L93" s="30">
        <f>'9A Sem 1'!K33</f>
        <v>77</v>
      </c>
      <c r="M93" s="30">
        <f>'9A Sem 1'!L33</f>
        <v>88</v>
      </c>
      <c r="N93" s="30">
        <f>'9A Sem 1'!M33</f>
        <v>88</v>
      </c>
      <c r="O93" s="30">
        <f>'9A Sem 1'!N33</f>
        <v>95</v>
      </c>
      <c r="P93" s="31">
        <f>'9A Sem 1'!O33</f>
        <v>91</v>
      </c>
      <c r="Q93" s="30">
        <f>'9A Sem 1'!P33</f>
        <v>920</v>
      </c>
      <c r="R93" s="30">
        <f>'9A Sem 1'!Q33</f>
        <v>83.63636363636364</v>
      </c>
      <c r="S93" s="30">
        <f>'9A Sem 1'!R33</f>
        <v>9</v>
      </c>
      <c r="T93" s="45">
        <f>'9A Sem 1'!S33</f>
        <v>0</v>
      </c>
      <c r="U93" s="45">
        <f>'9A Sem 1'!T33</f>
        <v>0</v>
      </c>
      <c r="V93" s="6"/>
      <c r="W93" s="6"/>
      <c r="X93" s="6"/>
      <c r="Y93" s="6"/>
      <c r="Z93" s="6"/>
    </row>
    <row r="94" spans="1:26" ht="18.75" customHeight="1" thickBot="1" x14ac:dyDescent="0.3">
      <c r="A94" s="246"/>
      <c r="B94" s="247"/>
      <c r="C94" s="253">
        <v>14</v>
      </c>
      <c r="D94" s="254" t="s">
        <v>23</v>
      </c>
      <c r="E94" s="29" t="s">
        <v>22</v>
      </c>
      <c r="F94" s="30">
        <f>'9A Sem 2'!E33</f>
        <v>89</v>
      </c>
      <c r="G94" s="31">
        <f>'9A Sem 2'!F33</f>
        <v>86</v>
      </c>
      <c r="H94" s="31">
        <f>'9A Sem 2'!G33</f>
        <v>94</v>
      </c>
      <c r="I94" s="31">
        <f>'9A Sem 2'!H33</f>
        <v>83</v>
      </c>
      <c r="J94" s="30">
        <f>'9A Sem 2'!I33</f>
        <v>81</v>
      </c>
      <c r="K94" s="30">
        <f>'9A Sem 2'!J33</f>
        <v>82</v>
      </c>
      <c r="L94" s="30">
        <f>'9A Sem 2'!K33</f>
        <v>86</v>
      </c>
      <c r="M94" s="30">
        <f>'9A Sem 2'!L33</f>
        <v>78</v>
      </c>
      <c r="N94" s="30">
        <f>'9A Sem 2'!M33</f>
        <v>90</v>
      </c>
      <c r="O94" s="30">
        <f>'9A Sem 2'!N33</f>
        <v>98</v>
      </c>
      <c r="P94" s="31">
        <f>'9A Sem 2'!O33</f>
        <v>94</v>
      </c>
      <c r="Q94" s="30">
        <f>'9A Sem 2'!P33</f>
        <v>961</v>
      </c>
      <c r="R94" s="30">
        <f>'9A Sem 2'!Q33</f>
        <v>87.36363636363636</v>
      </c>
      <c r="S94" s="30">
        <f>'9A Sem 2'!R33</f>
        <v>10</v>
      </c>
      <c r="T94" s="45">
        <f>'9A Sem 2'!S33</f>
        <v>0</v>
      </c>
      <c r="U94" s="45">
        <f>'9A Sem 2'!T33</f>
        <v>0</v>
      </c>
      <c r="V94" s="6"/>
      <c r="W94" s="6"/>
      <c r="X94" s="6"/>
      <c r="Y94" s="6"/>
      <c r="Z94" s="6"/>
    </row>
    <row r="95" spans="1:26" ht="18.75" customHeight="1" thickBot="1" x14ac:dyDescent="0.3">
      <c r="A95" s="246"/>
      <c r="B95" s="247"/>
      <c r="C95" s="253">
        <v>14</v>
      </c>
      <c r="D95" s="254" t="s">
        <v>23</v>
      </c>
      <c r="E95" s="29" t="s">
        <v>16</v>
      </c>
      <c r="F95" s="30">
        <f>AVERAGE(F93:F94)</f>
        <v>88.5</v>
      </c>
      <c r="G95" s="30">
        <f t="shared" ref="G95:R95" si="29">AVERAGE(G93:G94)</f>
        <v>82.5</v>
      </c>
      <c r="H95" s="30">
        <f t="shared" si="29"/>
        <v>91.5</v>
      </c>
      <c r="I95" s="30">
        <f t="shared" si="29"/>
        <v>79.5</v>
      </c>
      <c r="J95" s="30">
        <f t="shared" si="29"/>
        <v>80.5</v>
      </c>
      <c r="K95" s="30">
        <f t="shared" si="29"/>
        <v>75.5</v>
      </c>
      <c r="L95" s="30">
        <f t="shared" si="29"/>
        <v>81.5</v>
      </c>
      <c r="M95" s="30">
        <f t="shared" si="29"/>
        <v>83</v>
      </c>
      <c r="N95" s="30">
        <f t="shared" si="29"/>
        <v>89</v>
      </c>
      <c r="O95" s="30">
        <f t="shared" si="29"/>
        <v>96.5</v>
      </c>
      <c r="P95" s="30">
        <f t="shared" si="29"/>
        <v>92.5</v>
      </c>
      <c r="Q95" s="30">
        <f t="shared" si="29"/>
        <v>940.5</v>
      </c>
      <c r="R95" s="30">
        <f t="shared" si="29"/>
        <v>85.5</v>
      </c>
      <c r="S95" s="30">
        <f>'9A Sem avr'!$H$33</f>
        <v>9</v>
      </c>
      <c r="T95" s="30">
        <f>AVERAGE(T93:T94)</f>
        <v>0</v>
      </c>
      <c r="U95" s="30">
        <f>AVERAGE(U93:U94)</f>
        <v>0</v>
      </c>
      <c r="V95" s="6"/>
      <c r="W95" s="6"/>
      <c r="X95" s="6"/>
      <c r="Y95" s="6"/>
      <c r="Z95" s="6"/>
    </row>
    <row r="96" spans="1:26" ht="18.75" customHeight="1" thickBot="1" x14ac:dyDescent="0.3">
      <c r="A96" s="252">
        <v>31</v>
      </c>
      <c r="B96" s="247"/>
      <c r="C96" s="247">
        <v>14</v>
      </c>
      <c r="D96" s="248" t="s">
        <v>20</v>
      </c>
      <c r="E96" s="29" t="s">
        <v>21</v>
      </c>
      <c r="F96" s="30">
        <f>'9A Sem 1'!E34</f>
        <v>79</v>
      </c>
      <c r="G96" s="30">
        <f>'9A Sem 1'!F34</f>
        <v>48</v>
      </c>
      <c r="H96" s="31">
        <f>'9A Sem 1'!G34</f>
        <v>52</v>
      </c>
      <c r="I96" s="30">
        <f>'9A Sem 1'!H34</f>
        <v>51</v>
      </c>
      <c r="J96" s="30">
        <f>'9A Sem 1'!I34</f>
        <v>44</v>
      </c>
      <c r="K96" s="30">
        <f>'9A Sem 1'!J34</f>
        <v>54</v>
      </c>
      <c r="L96" s="31">
        <f>'9A Sem 1'!K34</f>
        <v>48</v>
      </c>
      <c r="M96" s="30">
        <f>'9A Sem 1'!L34</f>
        <v>64</v>
      </c>
      <c r="N96" s="30">
        <f>'9A Sem 1'!M34</f>
        <v>60</v>
      </c>
      <c r="O96" s="30">
        <f>'9A Sem 1'!N34</f>
        <v>73</v>
      </c>
      <c r="P96" s="30">
        <f>'9A Sem 1'!O34</f>
        <v>88</v>
      </c>
      <c r="Q96" s="30">
        <f>'9A Sem 1'!P34</f>
        <v>661</v>
      </c>
      <c r="R96" s="30">
        <f>'9A Sem 1'!Q34</f>
        <v>60.090909090909093</v>
      </c>
      <c r="S96" s="30">
        <f>'9A Sem 1'!R34</f>
        <v>39</v>
      </c>
      <c r="T96" s="45">
        <f>'9A Sem 1'!S34</f>
        <v>0</v>
      </c>
      <c r="U96" s="45">
        <f>'9A Sem 1'!T34</f>
        <v>0</v>
      </c>
      <c r="V96" s="6"/>
      <c r="W96" s="6"/>
      <c r="X96" s="6"/>
      <c r="Y96" s="6"/>
      <c r="Z96" s="6"/>
    </row>
    <row r="97" spans="1:26" ht="18.75" customHeight="1" thickBot="1" x14ac:dyDescent="0.3">
      <c r="A97" s="252"/>
      <c r="B97" s="247"/>
      <c r="C97" s="247">
        <v>14</v>
      </c>
      <c r="D97" s="248" t="s">
        <v>20</v>
      </c>
      <c r="E97" s="29" t="s">
        <v>22</v>
      </c>
      <c r="F97" s="30">
        <f>'9A Sem 2'!E34</f>
        <v>78</v>
      </c>
      <c r="G97" s="30">
        <f>'9A Sem 2'!F34</f>
        <v>56</v>
      </c>
      <c r="H97" s="31">
        <f>'9A Sem 2'!G34</f>
        <v>57</v>
      </c>
      <c r="I97" s="30">
        <f>'9A Sem 2'!H34</f>
        <v>44</v>
      </c>
      <c r="J97" s="30">
        <f>'9A Sem 2'!I34</f>
        <v>54</v>
      </c>
      <c r="K97" s="30">
        <f>'9A Sem 2'!J34</f>
        <v>57</v>
      </c>
      <c r="L97" s="31">
        <f>'9A Sem 2'!K34</f>
        <v>70</v>
      </c>
      <c r="M97" s="30">
        <f>'9A Sem 2'!L34</f>
        <v>80</v>
      </c>
      <c r="N97" s="30">
        <f>'9A Sem 2'!M34</f>
        <v>58</v>
      </c>
      <c r="O97" s="30">
        <f>'9A Sem 2'!N34</f>
        <v>78</v>
      </c>
      <c r="P97" s="30">
        <f>'9A Sem 2'!O34</f>
        <v>81</v>
      </c>
      <c r="Q97" s="30">
        <f>'9A Sem 2'!P34</f>
        <v>713</v>
      </c>
      <c r="R97" s="30">
        <f>'9A Sem 2'!Q34</f>
        <v>64.818181818181813</v>
      </c>
      <c r="S97" s="30">
        <f>'9A Sem 2'!R34</f>
        <v>39</v>
      </c>
      <c r="T97" s="45">
        <f>'9A Sem 2'!S34</f>
        <v>0</v>
      </c>
      <c r="U97" s="45">
        <f>'9A Sem 2'!T34</f>
        <v>0</v>
      </c>
      <c r="V97" s="6"/>
      <c r="W97" s="6"/>
      <c r="X97" s="6"/>
      <c r="Y97" s="6"/>
      <c r="Z97" s="6"/>
    </row>
    <row r="98" spans="1:26" ht="18.75" customHeight="1" thickBot="1" x14ac:dyDescent="0.3">
      <c r="A98" s="252"/>
      <c r="B98" s="247"/>
      <c r="C98" s="247">
        <v>14</v>
      </c>
      <c r="D98" s="248" t="s">
        <v>20</v>
      </c>
      <c r="E98" s="29" t="s">
        <v>16</v>
      </c>
      <c r="F98" s="30">
        <f>AVERAGE(F96:F97)</f>
        <v>78.5</v>
      </c>
      <c r="G98" s="30">
        <f t="shared" ref="G98:R98" si="30">AVERAGE(G96:G97)</f>
        <v>52</v>
      </c>
      <c r="H98" s="30">
        <f t="shared" si="30"/>
        <v>54.5</v>
      </c>
      <c r="I98" s="30">
        <f t="shared" si="30"/>
        <v>47.5</v>
      </c>
      <c r="J98" s="30">
        <f t="shared" si="30"/>
        <v>49</v>
      </c>
      <c r="K98" s="30">
        <f t="shared" si="30"/>
        <v>55.5</v>
      </c>
      <c r="L98" s="30">
        <f t="shared" si="30"/>
        <v>59</v>
      </c>
      <c r="M98" s="30">
        <f t="shared" si="30"/>
        <v>72</v>
      </c>
      <c r="N98" s="30">
        <f t="shared" si="30"/>
        <v>59</v>
      </c>
      <c r="O98" s="30">
        <f t="shared" si="30"/>
        <v>75.5</v>
      </c>
      <c r="P98" s="30">
        <f t="shared" si="30"/>
        <v>84.5</v>
      </c>
      <c r="Q98" s="30">
        <f t="shared" si="30"/>
        <v>687</v>
      </c>
      <c r="R98" s="30">
        <f t="shared" si="30"/>
        <v>62.454545454545453</v>
      </c>
      <c r="S98" s="30">
        <f>'9A Sem avr'!$H$34</f>
        <v>40</v>
      </c>
      <c r="T98" s="30">
        <f>AVERAGE(T96:T97)</f>
        <v>0</v>
      </c>
      <c r="U98" s="30">
        <f>AVERAGE(U96:U97)</f>
        <v>0</v>
      </c>
      <c r="V98" s="6"/>
      <c r="W98" s="6"/>
      <c r="X98" s="6"/>
      <c r="Y98" s="6"/>
      <c r="Z98" s="6"/>
    </row>
    <row r="99" spans="1:26" ht="18.75" customHeight="1" thickBot="1" x14ac:dyDescent="0.3">
      <c r="A99" s="252">
        <v>32</v>
      </c>
      <c r="B99" s="247"/>
      <c r="C99" s="247">
        <v>16</v>
      </c>
      <c r="D99" s="248" t="s">
        <v>23</v>
      </c>
      <c r="E99" s="29" t="s">
        <v>21</v>
      </c>
      <c r="F99" s="30">
        <f>'9A Sem 1'!E35</f>
        <v>0</v>
      </c>
      <c r="G99" s="30">
        <f>'9A Sem 1'!F35</f>
        <v>0</v>
      </c>
      <c r="H99" s="30">
        <f>'9A Sem 1'!G35</f>
        <v>0</v>
      </c>
      <c r="I99" s="30">
        <f>'9A Sem 1'!H35</f>
        <v>0</v>
      </c>
      <c r="J99" s="30">
        <f>'9A Sem 1'!I35</f>
        <v>0</v>
      </c>
      <c r="K99" s="30">
        <f>'9A Sem 1'!J35</f>
        <v>0</v>
      </c>
      <c r="L99" s="30">
        <f>'9A Sem 1'!K35</f>
        <v>0</v>
      </c>
      <c r="M99" s="30">
        <f>'9A Sem 1'!L35</f>
        <v>0</v>
      </c>
      <c r="N99" s="30">
        <f>'9A Sem 1'!M35</f>
        <v>0</v>
      </c>
      <c r="O99" s="30">
        <f>'9A Sem 1'!N35</f>
        <v>0</v>
      </c>
      <c r="P99" s="30">
        <f>'9A Sem 1'!O35</f>
        <v>0</v>
      </c>
      <c r="Q99" s="30">
        <f>'9A Sem 1'!P35</f>
        <v>0</v>
      </c>
      <c r="R99" s="30">
        <f>'9A Sem 1'!Q35</f>
        <v>0</v>
      </c>
      <c r="S99" s="30">
        <f>'9A Sem 1'!R35</f>
        <v>0</v>
      </c>
      <c r="T99" s="45">
        <f>'9A Sem 1'!S35</f>
        <v>0</v>
      </c>
      <c r="U99" s="45">
        <f>'9A Sem 1'!T35</f>
        <v>0</v>
      </c>
      <c r="V99" s="6"/>
      <c r="W99" s="6"/>
      <c r="X99" s="6"/>
      <c r="Y99" s="6"/>
      <c r="Z99" s="6"/>
    </row>
    <row r="100" spans="1:26" ht="17.25" customHeight="1" thickBot="1" x14ac:dyDescent="0.3">
      <c r="A100" s="252"/>
      <c r="B100" s="247"/>
      <c r="C100" s="247">
        <v>16</v>
      </c>
      <c r="D100" s="248" t="s">
        <v>23</v>
      </c>
      <c r="E100" s="29" t="s">
        <v>22</v>
      </c>
      <c r="F100" s="30">
        <f>'9A Sem 2'!E35</f>
        <v>0</v>
      </c>
      <c r="G100" s="30">
        <f>'9A Sem 2'!F35</f>
        <v>0</v>
      </c>
      <c r="H100" s="30">
        <f>'9A Sem 2'!G35</f>
        <v>0</v>
      </c>
      <c r="I100" s="30">
        <f>'9A Sem 2'!H35</f>
        <v>0</v>
      </c>
      <c r="J100" s="30">
        <f>'9A Sem 2'!I35</f>
        <v>0</v>
      </c>
      <c r="K100" s="30">
        <f>'9A Sem 2'!J35</f>
        <v>0</v>
      </c>
      <c r="L100" s="30">
        <f>'9A Sem 2'!K35</f>
        <v>0</v>
      </c>
      <c r="M100" s="30">
        <f>'9A Sem 2'!L35</f>
        <v>0</v>
      </c>
      <c r="N100" s="30">
        <f>'9A Sem 2'!M35</f>
        <v>0</v>
      </c>
      <c r="O100" s="30">
        <f>'9A Sem 2'!N35</f>
        <v>0</v>
      </c>
      <c r="P100" s="30">
        <f>'9A Sem 2'!O35</f>
        <v>0</v>
      </c>
      <c r="Q100" s="30">
        <f>'9A Sem 2'!P35</f>
        <v>0</v>
      </c>
      <c r="R100" s="30">
        <f>'9A Sem 2'!Q35</f>
        <v>0</v>
      </c>
      <c r="S100" s="30">
        <f>'9A Sem 2'!R35</f>
        <v>0</v>
      </c>
      <c r="T100" s="45">
        <f>'9A Sem 2'!S35</f>
        <v>0</v>
      </c>
      <c r="U100" s="45">
        <f>'9A Sem 2'!T35</f>
        <v>0</v>
      </c>
      <c r="V100" s="6"/>
      <c r="W100" s="6"/>
      <c r="X100" s="6"/>
      <c r="Y100" s="6"/>
      <c r="Z100" s="6"/>
    </row>
    <row r="101" spans="1:26" ht="17.25" customHeight="1" thickBot="1" x14ac:dyDescent="0.3">
      <c r="A101" s="252"/>
      <c r="B101" s="247"/>
      <c r="C101" s="247">
        <v>16</v>
      </c>
      <c r="D101" s="248" t="s">
        <v>23</v>
      </c>
      <c r="E101" s="29" t="s">
        <v>16</v>
      </c>
      <c r="F101" s="30">
        <f>AVERAGE(F99:F100)</f>
        <v>0</v>
      </c>
      <c r="G101" s="30">
        <f t="shared" ref="G101:R101" si="31">AVERAGE(G99:G100)</f>
        <v>0</v>
      </c>
      <c r="H101" s="30">
        <f t="shared" si="31"/>
        <v>0</v>
      </c>
      <c r="I101" s="30">
        <f t="shared" si="31"/>
        <v>0</v>
      </c>
      <c r="J101" s="30">
        <f t="shared" si="31"/>
        <v>0</v>
      </c>
      <c r="K101" s="30">
        <f t="shared" si="31"/>
        <v>0</v>
      </c>
      <c r="L101" s="30">
        <f t="shared" si="31"/>
        <v>0</v>
      </c>
      <c r="M101" s="30">
        <f t="shared" si="31"/>
        <v>0</v>
      </c>
      <c r="N101" s="30">
        <f t="shared" si="31"/>
        <v>0</v>
      </c>
      <c r="O101" s="30">
        <f t="shared" si="31"/>
        <v>0</v>
      </c>
      <c r="P101" s="30">
        <f t="shared" si="31"/>
        <v>0</v>
      </c>
      <c r="Q101" s="30">
        <f t="shared" si="31"/>
        <v>0</v>
      </c>
      <c r="R101" s="30">
        <f t="shared" si="31"/>
        <v>0</v>
      </c>
      <c r="S101" s="30">
        <f>'9A Sem avr'!$H$35</f>
        <v>51</v>
      </c>
      <c r="T101" s="30">
        <f>AVERAGE(T99:T100)</f>
        <v>0</v>
      </c>
      <c r="U101" s="30">
        <f>AVERAGE(U99:U100)</f>
        <v>0</v>
      </c>
      <c r="V101" s="6"/>
      <c r="W101" s="6"/>
      <c r="X101" s="6"/>
      <c r="Y101" s="6"/>
      <c r="Z101" s="6"/>
    </row>
    <row r="102" spans="1:26" ht="17.25" customHeight="1" thickBot="1" x14ac:dyDescent="0.3">
      <c r="A102" s="252">
        <v>33</v>
      </c>
      <c r="B102" s="247"/>
      <c r="C102" s="247">
        <v>14</v>
      </c>
      <c r="D102" s="248" t="s">
        <v>23</v>
      </c>
      <c r="E102" s="29" t="s">
        <v>21</v>
      </c>
      <c r="F102" s="30">
        <f>'9A Sem 1'!E36</f>
        <v>86</v>
      </c>
      <c r="G102" s="30">
        <f>'9A Sem 1'!F36</f>
        <v>81</v>
      </c>
      <c r="H102" s="31">
        <f>'9A Sem 1'!G36</f>
        <v>77</v>
      </c>
      <c r="I102" s="30">
        <f>'9A Sem 1'!H36</f>
        <v>71</v>
      </c>
      <c r="J102" s="30">
        <f>'9A Sem 1'!I36</f>
        <v>72</v>
      </c>
      <c r="K102" s="30">
        <f>'9A Sem 1'!J36</f>
        <v>75</v>
      </c>
      <c r="L102" s="30">
        <f>'9A Sem 1'!K36</f>
        <v>76</v>
      </c>
      <c r="M102" s="30">
        <f>'9A Sem 1'!L36</f>
        <v>80</v>
      </c>
      <c r="N102" s="30">
        <f>'9A Sem 1'!M36</f>
        <v>81</v>
      </c>
      <c r="O102" s="30">
        <f>'9A Sem 1'!N36</f>
        <v>91</v>
      </c>
      <c r="P102" s="30">
        <f>'9A Sem 1'!O36</f>
        <v>96</v>
      </c>
      <c r="Q102" s="30">
        <f>'9A Sem 1'!P36</f>
        <v>886</v>
      </c>
      <c r="R102" s="30">
        <f>'9A Sem 1'!Q36</f>
        <v>80.545454545454547</v>
      </c>
      <c r="S102" s="30">
        <f>'9A Sem 1'!R36</f>
        <v>12</v>
      </c>
      <c r="T102" s="45">
        <f>'9A Sem 1'!S36</f>
        <v>0</v>
      </c>
      <c r="U102" s="45">
        <f>'9A Sem 1'!T36</f>
        <v>0</v>
      </c>
      <c r="V102" s="6"/>
      <c r="W102" s="6"/>
      <c r="X102" s="6"/>
      <c r="Y102" s="6"/>
      <c r="Z102" s="6"/>
    </row>
    <row r="103" spans="1:26" ht="17.25" customHeight="1" thickBot="1" x14ac:dyDescent="0.3">
      <c r="A103" s="252"/>
      <c r="B103" s="247"/>
      <c r="C103" s="247">
        <v>14</v>
      </c>
      <c r="D103" s="248" t="s">
        <v>23</v>
      </c>
      <c r="E103" s="29" t="s">
        <v>22</v>
      </c>
      <c r="F103" s="30">
        <f>'9A Sem 2'!E36</f>
        <v>85</v>
      </c>
      <c r="G103" s="30">
        <f>'9A Sem 2'!F36</f>
        <v>82</v>
      </c>
      <c r="H103" s="31">
        <f>'9A Sem 2'!G36</f>
        <v>63</v>
      </c>
      <c r="I103" s="30">
        <f>'9A Sem 2'!H36</f>
        <v>72</v>
      </c>
      <c r="J103" s="30">
        <f>'9A Sem 2'!I36</f>
        <v>78</v>
      </c>
      <c r="K103" s="30">
        <f>'9A Sem 2'!J36</f>
        <v>81</v>
      </c>
      <c r="L103" s="30">
        <f>'9A Sem 2'!K36</f>
        <v>75</v>
      </c>
      <c r="M103" s="30">
        <f>'9A Sem 2'!L36</f>
        <v>73</v>
      </c>
      <c r="N103" s="30">
        <f>'9A Sem 2'!M36</f>
        <v>93</v>
      </c>
      <c r="O103" s="30">
        <f>'9A Sem 2'!N36</f>
        <v>93</v>
      </c>
      <c r="P103" s="30">
        <f>'9A Sem 2'!O36</f>
        <v>88</v>
      </c>
      <c r="Q103" s="30">
        <f>'9A Sem 2'!P36</f>
        <v>883</v>
      </c>
      <c r="R103" s="30">
        <f>'9A Sem 2'!Q36</f>
        <v>80.272727272727266</v>
      </c>
      <c r="S103" s="30">
        <f>'9A Sem 2'!R36</f>
        <v>17</v>
      </c>
      <c r="T103" s="45">
        <f>'9A Sem 2'!S36</f>
        <v>0</v>
      </c>
      <c r="U103" s="45">
        <f>'9A Sem 2'!T36</f>
        <v>0</v>
      </c>
      <c r="V103" s="6"/>
      <c r="W103" s="6"/>
      <c r="X103" s="6"/>
      <c r="Y103" s="6"/>
      <c r="Z103" s="6"/>
    </row>
    <row r="104" spans="1:26" ht="17.25" customHeight="1" thickBot="1" x14ac:dyDescent="0.3">
      <c r="A104" s="252"/>
      <c r="B104" s="247"/>
      <c r="C104" s="247">
        <v>14</v>
      </c>
      <c r="D104" s="248" t="s">
        <v>23</v>
      </c>
      <c r="E104" s="29" t="s">
        <v>16</v>
      </c>
      <c r="F104" s="30">
        <f>AVERAGE(F102:F103)</f>
        <v>85.5</v>
      </c>
      <c r="G104" s="30">
        <f t="shared" ref="G104:R104" si="32">AVERAGE(G102:G103)</f>
        <v>81.5</v>
      </c>
      <c r="H104" s="30">
        <f t="shared" si="32"/>
        <v>70</v>
      </c>
      <c r="I104" s="30">
        <f t="shared" si="32"/>
        <v>71.5</v>
      </c>
      <c r="J104" s="30">
        <f t="shared" si="32"/>
        <v>75</v>
      </c>
      <c r="K104" s="30">
        <f t="shared" si="32"/>
        <v>78</v>
      </c>
      <c r="L104" s="30">
        <f t="shared" si="32"/>
        <v>75.5</v>
      </c>
      <c r="M104" s="30">
        <f t="shared" si="32"/>
        <v>76.5</v>
      </c>
      <c r="N104" s="30">
        <f t="shared" si="32"/>
        <v>87</v>
      </c>
      <c r="O104" s="30">
        <f t="shared" si="32"/>
        <v>92</v>
      </c>
      <c r="P104" s="30">
        <f t="shared" si="32"/>
        <v>92</v>
      </c>
      <c r="Q104" s="30">
        <f t="shared" si="32"/>
        <v>884.5</v>
      </c>
      <c r="R104" s="30">
        <f t="shared" si="32"/>
        <v>80.409090909090907</v>
      </c>
      <c r="S104" s="30">
        <f>'9A Sem avr'!$H$36</f>
        <v>13</v>
      </c>
      <c r="T104" s="30">
        <f>AVERAGE(T102:T103)</f>
        <v>0</v>
      </c>
      <c r="U104" s="30">
        <f>AVERAGE(U102:U103)</f>
        <v>0</v>
      </c>
      <c r="V104" s="6"/>
      <c r="W104" s="6"/>
      <c r="X104" s="6"/>
      <c r="Y104" s="6"/>
      <c r="Z104" s="6"/>
    </row>
    <row r="105" spans="1:26" ht="17.25" customHeight="1" thickBot="1" x14ac:dyDescent="0.3">
      <c r="A105" s="246">
        <v>34</v>
      </c>
      <c r="B105" s="247"/>
      <c r="C105" s="253">
        <v>14</v>
      </c>
      <c r="D105" s="254" t="s">
        <v>20</v>
      </c>
      <c r="E105" s="29" t="s">
        <v>21</v>
      </c>
      <c r="F105" s="30">
        <f>'9A Sem 1'!E37</f>
        <v>80</v>
      </c>
      <c r="G105" s="30">
        <f>'9A Sem 1'!F37</f>
        <v>62</v>
      </c>
      <c r="H105" s="30">
        <f>'9A Sem 1'!G37</f>
        <v>85</v>
      </c>
      <c r="I105" s="30">
        <f>'9A Sem 1'!H37</f>
        <v>76</v>
      </c>
      <c r="J105" s="30">
        <f>'9A Sem 1'!I37</f>
        <v>79</v>
      </c>
      <c r="K105" s="30">
        <f>'9A Sem 1'!J37</f>
        <v>77</v>
      </c>
      <c r="L105" s="30">
        <f>'9A Sem 1'!K37</f>
        <v>76</v>
      </c>
      <c r="M105" s="30">
        <f>'9A Sem 1'!L37</f>
        <v>77</v>
      </c>
      <c r="N105" s="30">
        <f>'9A Sem 1'!M37</f>
        <v>64</v>
      </c>
      <c r="O105" s="30">
        <f>'9A Sem 1'!N37</f>
        <v>95</v>
      </c>
      <c r="P105" s="30">
        <f>'9A Sem 1'!O37</f>
        <v>84</v>
      </c>
      <c r="Q105" s="30">
        <f>'9A Sem 1'!P37</f>
        <v>855</v>
      </c>
      <c r="R105" s="30">
        <f>'9A Sem 1'!Q37</f>
        <v>77.727272727272734</v>
      </c>
      <c r="S105" s="30">
        <f>'9A Sem 1'!R37</f>
        <v>16</v>
      </c>
      <c r="T105" s="45">
        <f>'9A Sem 1'!S37</f>
        <v>0</v>
      </c>
      <c r="U105" s="45">
        <f>'9A Sem 1'!T37</f>
        <v>0</v>
      </c>
      <c r="V105" s="6"/>
      <c r="W105" s="6"/>
      <c r="X105" s="6"/>
      <c r="Y105" s="6"/>
      <c r="Z105" s="6"/>
    </row>
    <row r="106" spans="1:26" ht="17.25" customHeight="1" thickBot="1" x14ac:dyDescent="0.3">
      <c r="A106" s="246"/>
      <c r="B106" s="247"/>
      <c r="C106" s="253">
        <v>14</v>
      </c>
      <c r="D106" s="254" t="s">
        <v>20</v>
      </c>
      <c r="E106" s="29" t="s">
        <v>22</v>
      </c>
      <c r="F106" s="30">
        <f>'9A Sem 2'!E37</f>
        <v>82</v>
      </c>
      <c r="G106" s="30">
        <f>'9A Sem 2'!F37</f>
        <v>68</v>
      </c>
      <c r="H106" s="30">
        <f>'9A Sem 2'!G37</f>
        <v>87</v>
      </c>
      <c r="I106" s="30">
        <f>'9A Sem 2'!H37</f>
        <v>80</v>
      </c>
      <c r="J106" s="30">
        <f>'9A Sem 2'!I37</f>
        <v>73</v>
      </c>
      <c r="K106" s="30">
        <f>'9A Sem 2'!J37</f>
        <v>76</v>
      </c>
      <c r="L106" s="30">
        <f>'9A Sem 2'!K37</f>
        <v>73</v>
      </c>
      <c r="M106" s="30">
        <f>'9A Sem 2'!L37</f>
        <v>64</v>
      </c>
      <c r="N106" s="30">
        <f>'9A Sem 2'!M37</f>
        <v>71</v>
      </c>
      <c r="O106" s="30">
        <f>'9A Sem 2'!N37</f>
        <v>91</v>
      </c>
      <c r="P106" s="30">
        <f>'9A Sem 2'!O37</f>
        <v>91</v>
      </c>
      <c r="Q106" s="30">
        <f>'9A Sem 2'!P37</f>
        <v>856</v>
      </c>
      <c r="R106" s="30">
        <f>'9A Sem 2'!Q37</f>
        <v>77.818181818181813</v>
      </c>
      <c r="S106" s="30">
        <f>'9A Sem 2'!R37</f>
        <v>22</v>
      </c>
      <c r="T106" s="45">
        <f>'9A Sem 2'!S37</f>
        <v>0</v>
      </c>
      <c r="U106" s="45">
        <f>'9A Sem 2'!T37</f>
        <v>0</v>
      </c>
      <c r="V106" s="6"/>
      <c r="W106" s="6"/>
      <c r="X106" s="6"/>
      <c r="Y106" s="6"/>
      <c r="Z106" s="6"/>
    </row>
    <row r="107" spans="1:26" ht="17.25" customHeight="1" thickBot="1" x14ac:dyDescent="0.3">
      <c r="A107" s="246"/>
      <c r="B107" s="247"/>
      <c r="C107" s="253">
        <v>14</v>
      </c>
      <c r="D107" s="254" t="s">
        <v>20</v>
      </c>
      <c r="E107" s="29" t="s">
        <v>16</v>
      </c>
      <c r="F107" s="30">
        <f>AVERAGE(F105:F106)</f>
        <v>81</v>
      </c>
      <c r="G107" s="30">
        <f t="shared" ref="G107:R107" si="33">AVERAGE(G105:G106)</f>
        <v>65</v>
      </c>
      <c r="H107" s="30">
        <f t="shared" si="33"/>
        <v>86</v>
      </c>
      <c r="I107" s="30">
        <f t="shared" si="33"/>
        <v>78</v>
      </c>
      <c r="J107" s="30">
        <f t="shared" si="33"/>
        <v>76</v>
      </c>
      <c r="K107" s="30">
        <f t="shared" si="33"/>
        <v>76.5</v>
      </c>
      <c r="L107" s="30">
        <f t="shared" si="33"/>
        <v>74.5</v>
      </c>
      <c r="M107" s="30">
        <f t="shared" si="33"/>
        <v>70.5</v>
      </c>
      <c r="N107" s="30">
        <f t="shared" si="33"/>
        <v>67.5</v>
      </c>
      <c r="O107" s="30">
        <f t="shared" si="33"/>
        <v>93</v>
      </c>
      <c r="P107" s="30">
        <f t="shared" si="33"/>
        <v>87.5</v>
      </c>
      <c r="Q107" s="30">
        <f t="shared" si="33"/>
        <v>855.5</v>
      </c>
      <c r="R107" s="30">
        <f t="shared" si="33"/>
        <v>77.77272727272728</v>
      </c>
      <c r="S107" s="30">
        <f>'9A Sem avr'!$H$37</f>
        <v>21</v>
      </c>
      <c r="T107" s="30">
        <f>AVERAGE(T105:T106)</f>
        <v>0</v>
      </c>
      <c r="U107" s="30">
        <f>AVERAGE(U105:U106)</f>
        <v>0</v>
      </c>
      <c r="V107" s="6"/>
      <c r="W107" s="6"/>
      <c r="X107" s="6"/>
      <c r="Y107" s="6"/>
      <c r="Z107" s="6"/>
    </row>
    <row r="108" spans="1:26" ht="17.25" customHeight="1" thickBot="1" x14ac:dyDescent="0.3">
      <c r="A108" s="246">
        <v>35</v>
      </c>
      <c r="B108" s="247"/>
      <c r="C108" s="247">
        <v>15</v>
      </c>
      <c r="D108" s="248" t="s">
        <v>20</v>
      </c>
      <c r="E108" s="29" t="s">
        <v>21</v>
      </c>
      <c r="F108" s="30">
        <f>'9A Sem 1'!E38</f>
        <v>81</v>
      </c>
      <c r="G108" s="30">
        <f>'9A Sem 1'!F38</f>
        <v>67</v>
      </c>
      <c r="H108" s="30">
        <f>'9A Sem 1'!G38</f>
        <v>52</v>
      </c>
      <c r="I108" s="30">
        <f>'9A Sem 1'!H38</f>
        <v>68</v>
      </c>
      <c r="J108" s="30">
        <f>'9A Sem 1'!I38</f>
        <v>62</v>
      </c>
      <c r="K108" s="30">
        <f>'9A Sem 1'!J38</f>
        <v>84</v>
      </c>
      <c r="L108" s="30">
        <f>'9A Sem 1'!K38</f>
        <v>80</v>
      </c>
      <c r="M108" s="30">
        <f>'9A Sem 1'!L38</f>
        <v>89</v>
      </c>
      <c r="N108" s="30">
        <f>'9A Sem 1'!M38</f>
        <v>88</v>
      </c>
      <c r="O108" s="30">
        <f>'9A Sem 1'!N38</f>
        <v>89</v>
      </c>
      <c r="P108" s="30">
        <f>'9A Sem 1'!O38</f>
        <v>77</v>
      </c>
      <c r="Q108" s="30">
        <f>'9A Sem 1'!P38</f>
        <v>837</v>
      </c>
      <c r="R108" s="30">
        <f>'9A Sem 1'!Q38</f>
        <v>76.090909090909093</v>
      </c>
      <c r="S108" s="30">
        <f>'9A Sem 1'!R38</f>
        <v>21</v>
      </c>
      <c r="T108" s="45">
        <f>'9A Sem 1'!S38</f>
        <v>0</v>
      </c>
      <c r="U108" s="45">
        <f>'9A Sem 1'!T38</f>
        <v>0</v>
      </c>
      <c r="V108" s="6"/>
      <c r="W108" s="6"/>
      <c r="X108" s="6"/>
      <c r="Y108" s="6"/>
      <c r="Z108" s="6"/>
    </row>
    <row r="109" spans="1:26" ht="17.25" customHeight="1" thickBot="1" x14ac:dyDescent="0.3">
      <c r="A109" s="246"/>
      <c r="B109" s="247"/>
      <c r="C109" s="247">
        <v>15</v>
      </c>
      <c r="D109" s="248" t="s">
        <v>20</v>
      </c>
      <c r="E109" s="29" t="s">
        <v>22</v>
      </c>
      <c r="F109" s="30">
        <f>'9A Sem 2'!E38</f>
        <v>0</v>
      </c>
      <c r="G109" s="30">
        <f>'9A Sem 2'!F38</f>
        <v>0</v>
      </c>
      <c r="H109" s="30">
        <f>'9A Sem 2'!G38</f>
        <v>0</v>
      </c>
      <c r="I109" s="30">
        <f>'9A Sem 2'!H38</f>
        <v>0</v>
      </c>
      <c r="J109" s="30">
        <f>'9A Sem 2'!I38</f>
        <v>0</v>
      </c>
      <c r="K109" s="30">
        <f>'9A Sem 2'!J38</f>
        <v>0</v>
      </c>
      <c r="L109" s="30">
        <f>'9A Sem 2'!K38</f>
        <v>0</v>
      </c>
      <c r="M109" s="30">
        <f>'9A Sem 2'!L38</f>
        <v>0</v>
      </c>
      <c r="N109" s="30">
        <f>'9A Sem 2'!M38</f>
        <v>0</v>
      </c>
      <c r="O109" s="30">
        <f>'9A Sem 2'!N38</f>
        <v>0</v>
      </c>
      <c r="P109" s="30">
        <f>'9A Sem 2'!O38</f>
        <v>0</v>
      </c>
      <c r="Q109" s="30">
        <f>'9A Sem 2'!P38</f>
        <v>0</v>
      </c>
      <c r="R109" s="30">
        <f>'9A Sem 2'!Q38</f>
        <v>0</v>
      </c>
      <c r="S109" s="30">
        <f>'9A Sem 2'!R38</f>
        <v>0</v>
      </c>
      <c r="T109" s="45">
        <f>'9A Sem 2'!S38</f>
        <v>0</v>
      </c>
      <c r="U109" s="45">
        <f>'9A Sem 2'!T38</f>
        <v>0</v>
      </c>
      <c r="V109" s="6"/>
      <c r="W109" s="6"/>
      <c r="X109" s="6"/>
      <c r="Y109" s="6"/>
      <c r="Z109" s="6"/>
    </row>
    <row r="110" spans="1:26" ht="17.25" customHeight="1" thickBot="1" x14ac:dyDescent="0.3">
      <c r="A110" s="246"/>
      <c r="B110" s="247"/>
      <c r="C110" s="247">
        <v>15</v>
      </c>
      <c r="D110" s="248" t="s">
        <v>20</v>
      </c>
      <c r="E110" s="29" t="s">
        <v>16</v>
      </c>
      <c r="F110" s="30">
        <f>AVERAGE(F108:F109)</f>
        <v>40.5</v>
      </c>
      <c r="G110" s="30">
        <f t="shared" ref="G110:R110" si="34">AVERAGE(G108:G109)</f>
        <v>33.5</v>
      </c>
      <c r="H110" s="30">
        <f t="shared" si="34"/>
        <v>26</v>
      </c>
      <c r="I110" s="30">
        <f t="shared" si="34"/>
        <v>34</v>
      </c>
      <c r="J110" s="30">
        <f t="shared" si="34"/>
        <v>31</v>
      </c>
      <c r="K110" s="30">
        <f t="shared" si="34"/>
        <v>42</v>
      </c>
      <c r="L110" s="30">
        <f t="shared" si="34"/>
        <v>40</v>
      </c>
      <c r="M110" s="30">
        <f t="shared" si="34"/>
        <v>44.5</v>
      </c>
      <c r="N110" s="30">
        <f t="shared" si="34"/>
        <v>44</v>
      </c>
      <c r="O110" s="30">
        <f t="shared" si="34"/>
        <v>44.5</v>
      </c>
      <c r="P110" s="30">
        <f t="shared" si="34"/>
        <v>38.5</v>
      </c>
      <c r="Q110" s="30">
        <f t="shared" si="34"/>
        <v>418.5</v>
      </c>
      <c r="R110" s="30">
        <f t="shared" si="34"/>
        <v>38.045454545454547</v>
      </c>
      <c r="S110" s="30">
        <f>'9A Sem avr'!$H$38</f>
        <v>49</v>
      </c>
      <c r="T110" s="30">
        <f>AVERAGE(T108:T109)</f>
        <v>0</v>
      </c>
      <c r="U110" s="30">
        <f>AVERAGE(U108:U109)</f>
        <v>0</v>
      </c>
      <c r="V110" s="6"/>
      <c r="W110" s="6"/>
      <c r="X110" s="6"/>
      <c r="Y110" s="6"/>
      <c r="Z110" s="6"/>
    </row>
    <row r="111" spans="1:26" ht="17.25" customHeight="1" thickBot="1" x14ac:dyDescent="0.3">
      <c r="A111" s="246">
        <v>36</v>
      </c>
      <c r="B111" s="247"/>
      <c r="C111" s="253">
        <v>14</v>
      </c>
      <c r="D111" s="254" t="s">
        <v>23</v>
      </c>
      <c r="E111" s="29" t="s">
        <v>21</v>
      </c>
      <c r="F111" s="30">
        <f>'9A Sem 1'!E39</f>
        <v>79</v>
      </c>
      <c r="G111" s="30">
        <f>'9A Sem 1'!F39</f>
        <v>63</v>
      </c>
      <c r="H111" s="31">
        <f>'9A Sem 1'!G39</f>
        <v>70</v>
      </c>
      <c r="I111" s="30">
        <f>'9A Sem 1'!H39</f>
        <v>61</v>
      </c>
      <c r="J111" s="30">
        <f>'9A Sem 1'!I39</f>
        <v>57</v>
      </c>
      <c r="K111" s="30">
        <f>'9A Sem 1'!J39</f>
        <v>65</v>
      </c>
      <c r="L111" s="30">
        <f>'9A Sem 1'!K39</f>
        <v>58</v>
      </c>
      <c r="M111" s="30">
        <f>'9A Sem 1'!L39</f>
        <v>74</v>
      </c>
      <c r="N111" s="30">
        <f>'9A Sem 1'!M39</f>
        <v>62</v>
      </c>
      <c r="O111" s="30">
        <f>'9A Sem 1'!N39</f>
        <v>79</v>
      </c>
      <c r="P111" s="30">
        <f>'9A Sem 1'!O39</f>
        <v>84</v>
      </c>
      <c r="Q111" s="30">
        <f>'9A Sem 1'!P39</f>
        <v>752</v>
      </c>
      <c r="R111" s="30">
        <f>'9A Sem 1'!Q39</f>
        <v>68.36363636363636</v>
      </c>
      <c r="S111" s="30">
        <f>'9A Sem 1'!R39</f>
        <v>31</v>
      </c>
      <c r="T111" s="45">
        <f>'9A Sem 1'!S39</f>
        <v>0</v>
      </c>
      <c r="U111" s="45">
        <f>'9A Sem 1'!T39</f>
        <v>0</v>
      </c>
      <c r="V111" s="6"/>
      <c r="W111" s="6"/>
      <c r="X111" s="6"/>
      <c r="Y111" s="6"/>
      <c r="Z111" s="6"/>
    </row>
    <row r="112" spans="1:26" ht="17.25" customHeight="1" thickBot="1" x14ac:dyDescent="0.3">
      <c r="A112" s="246"/>
      <c r="B112" s="247"/>
      <c r="C112" s="253">
        <v>14</v>
      </c>
      <c r="D112" s="254" t="s">
        <v>23</v>
      </c>
      <c r="E112" s="29" t="s">
        <v>22</v>
      </c>
      <c r="F112" s="30">
        <f>'9A Sem 2'!E39</f>
        <v>80</v>
      </c>
      <c r="G112" s="30">
        <f>'9A Sem 2'!F39</f>
        <v>69</v>
      </c>
      <c r="H112" s="31">
        <f>'9A Sem 2'!G39</f>
        <v>58</v>
      </c>
      <c r="I112" s="30">
        <f>'9A Sem 2'!H39</f>
        <v>57</v>
      </c>
      <c r="J112" s="30">
        <f>'9A Sem 2'!I39</f>
        <v>56</v>
      </c>
      <c r="K112" s="30">
        <f>'9A Sem 2'!J39</f>
        <v>71</v>
      </c>
      <c r="L112" s="30">
        <f>'9A Sem 2'!K39</f>
        <v>65</v>
      </c>
      <c r="M112" s="30">
        <f>'9A Sem 2'!L39</f>
        <v>71</v>
      </c>
      <c r="N112" s="30">
        <f>'9A Sem 2'!M39</f>
        <v>69</v>
      </c>
      <c r="O112" s="30">
        <f>'9A Sem 2'!N39</f>
        <v>86</v>
      </c>
      <c r="P112" s="30">
        <f>'9A Sem 2'!O39</f>
        <v>93</v>
      </c>
      <c r="Q112" s="30">
        <f>'9A Sem 2'!P39</f>
        <v>775</v>
      </c>
      <c r="R112" s="30">
        <f>'9A Sem 2'!Q39</f>
        <v>70.454545454545453</v>
      </c>
      <c r="S112" s="30">
        <f>'9A Sem 2'!R39</f>
        <v>30</v>
      </c>
      <c r="T112" s="45">
        <f>'9A Sem 2'!S39</f>
        <v>0</v>
      </c>
      <c r="U112" s="45">
        <f>'9A Sem 2'!T39</f>
        <v>0</v>
      </c>
      <c r="V112" s="6"/>
      <c r="W112" s="6"/>
      <c r="X112" s="6"/>
      <c r="Y112" s="6"/>
      <c r="Z112" s="6"/>
    </row>
    <row r="113" spans="1:26" ht="17.25" customHeight="1" thickBot="1" x14ac:dyDescent="0.3">
      <c r="A113" s="246"/>
      <c r="B113" s="247"/>
      <c r="C113" s="253">
        <v>14</v>
      </c>
      <c r="D113" s="254" t="s">
        <v>23</v>
      </c>
      <c r="E113" s="29" t="s">
        <v>16</v>
      </c>
      <c r="F113" s="30">
        <f>AVERAGE(F111:F112)</f>
        <v>79.5</v>
      </c>
      <c r="G113" s="30">
        <f t="shared" ref="G113:R113" si="35">AVERAGE(G111:G112)</f>
        <v>66</v>
      </c>
      <c r="H113" s="30">
        <f t="shared" si="35"/>
        <v>64</v>
      </c>
      <c r="I113" s="30">
        <f t="shared" si="35"/>
        <v>59</v>
      </c>
      <c r="J113" s="30">
        <f t="shared" si="35"/>
        <v>56.5</v>
      </c>
      <c r="K113" s="30">
        <f t="shared" si="35"/>
        <v>68</v>
      </c>
      <c r="L113" s="30">
        <f t="shared" si="35"/>
        <v>61.5</v>
      </c>
      <c r="M113" s="30">
        <f t="shared" si="35"/>
        <v>72.5</v>
      </c>
      <c r="N113" s="30">
        <f t="shared" si="35"/>
        <v>65.5</v>
      </c>
      <c r="O113" s="30">
        <f t="shared" si="35"/>
        <v>82.5</v>
      </c>
      <c r="P113" s="30">
        <f t="shared" si="35"/>
        <v>88.5</v>
      </c>
      <c r="Q113" s="30">
        <f t="shared" si="35"/>
        <v>763.5</v>
      </c>
      <c r="R113" s="30">
        <f t="shared" si="35"/>
        <v>69.409090909090907</v>
      </c>
      <c r="S113" s="30">
        <f>'9A Sem avr'!$H$39</f>
        <v>29</v>
      </c>
      <c r="T113" s="30">
        <f>AVERAGE(T111:T112)</f>
        <v>0</v>
      </c>
      <c r="U113" s="30">
        <f>AVERAGE(U111:U112)</f>
        <v>0</v>
      </c>
      <c r="V113" s="6"/>
      <c r="W113" s="6"/>
      <c r="X113" s="6"/>
      <c r="Y113" s="6"/>
      <c r="Z113" s="6"/>
    </row>
    <row r="114" spans="1:26" ht="17.25" customHeight="1" thickBot="1" x14ac:dyDescent="0.3">
      <c r="A114" s="252">
        <v>37</v>
      </c>
      <c r="B114" s="247"/>
      <c r="C114" s="253">
        <v>15</v>
      </c>
      <c r="D114" s="254" t="s">
        <v>20</v>
      </c>
      <c r="E114" s="29" t="s">
        <v>21</v>
      </c>
      <c r="F114" s="30">
        <f>'9A Sem 1'!E40</f>
        <v>66</v>
      </c>
      <c r="G114" s="30">
        <f>'9A Sem 1'!F40</f>
        <v>66</v>
      </c>
      <c r="H114" s="30">
        <f>'9A Sem 1'!G40</f>
        <v>48</v>
      </c>
      <c r="I114" s="30">
        <f>'9A Sem 1'!H40</f>
        <v>63</v>
      </c>
      <c r="J114" s="30">
        <f>'9A Sem 1'!I40</f>
        <v>45</v>
      </c>
      <c r="K114" s="30">
        <f>'9A Sem 1'!J40</f>
        <v>57</v>
      </c>
      <c r="L114" s="30">
        <f>'9A Sem 1'!K40</f>
        <v>62</v>
      </c>
      <c r="M114" s="30">
        <f>'9A Sem 1'!L40</f>
        <v>73</v>
      </c>
      <c r="N114" s="30">
        <f>'9A Sem 1'!M40</f>
        <v>54</v>
      </c>
      <c r="O114" s="30">
        <f>'9A Sem 1'!N40</f>
        <v>47</v>
      </c>
      <c r="P114" s="30">
        <f>'9A Sem 1'!O40</f>
        <v>79</v>
      </c>
      <c r="Q114" s="30">
        <f>'9A Sem 1'!P40</f>
        <v>660</v>
      </c>
      <c r="R114" s="30">
        <f>'9A Sem 1'!Q40</f>
        <v>60</v>
      </c>
      <c r="S114" s="30">
        <f>'9A Sem 1'!R40</f>
        <v>41</v>
      </c>
      <c r="T114" s="45">
        <f>'9A Sem 1'!S40</f>
        <v>0</v>
      </c>
      <c r="U114" s="45">
        <f>'9A Sem 1'!T40</f>
        <v>0</v>
      </c>
      <c r="V114" s="6"/>
      <c r="W114" s="6"/>
      <c r="X114" s="6"/>
      <c r="Y114" s="6"/>
      <c r="Z114" s="6"/>
    </row>
    <row r="115" spans="1:26" ht="17.25" customHeight="1" thickBot="1" x14ac:dyDescent="0.3">
      <c r="A115" s="252"/>
      <c r="B115" s="247"/>
      <c r="C115" s="253">
        <v>15</v>
      </c>
      <c r="D115" s="254" t="s">
        <v>20</v>
      </c>
      <c r="E115" s="29" t="s">
        <v>22</v>
      </c>
      <c r="F115" s="30">
        <f>'9A Sem 2'!E40</f>
        <v>70</v>
      </c>
      <c r="G115" s="30">
        <f>'9A Sem 2'!F40</f>
        <v>76</v>
      </c>
      <c r="H115" s="30">
        <f>'9A Sem 2'!G40</f>
        <v>43</v>
      </c>
      <c r="I115" s="30">
        <f>'9A Sem 2'!H40</f>
        <v>51</v>
      </c>
      <c r="J115" s="30">
        <f>'9A Sem 2'!I40</f>
        <v>48</v>
      </c>
      <c r="K115" s="30">
        <f>'9A Sem 2'!J40</f>
        <v>58</v>
      </c>
      <c r="L115" s="30">
        <f>'9A Sem 2'!K40</f>
        <v>64</v>
      </c>
      <c r="M115" s="30">
        <f>'9A Sem 2'!L40</f>
        <v>64</v>
      </c>
      <c r="N115" s="30">
        <f>'9A Sem 2'!M40</f>
        <v>80</v>
      </c>
      <c r="O115" s="30">
        <f>'9A Sem 2'!N40</f>
        <v>61</v>
      </c>
      <c r="P115" s="30">
        <f>'9A Sem 2'!O40</f>
        <v>74</v>
      </c>
      <c r="Q115" s="30">
        <f>'9A Sem 2'!P40</f>
        <v>689</v>
      </c>
      <c r="R115" s="30">
        <f>'9A Sem 2'!Q40</f>
        <v>62.636363636363633</v>
      </c>
      <c r="S115" s="30">
        <f>'9A Sem 2'!R40</f>
        <v>41</v>
      </c>
      <c r="T115" s="45">
        <f>'9A Sem 2'!S40</f>
        <v>0</v>
      </c>
      <c r="U115" s="45">
        <f>'9A Sem 2'!T40</f>
        <v>0</v>
      </c>
      <c r="V115" s="6"/>
      <c r="W115" s="6"/>
      <c r="X115" s="6"/>
      <c r="Y115" s="6"/>
      <c r="Z115" s="6"/>
    </row>
    <row r="116" spans="1:26" ht="17.25" customHeight="1" thickBot="1" x14ac:dyDescent="0.3">
      <c r="A116" s="252"/>
      <c r="B116" s="247"/>
      <c r="C116" s="253">
        <v>15</v>
      </c>
      <c r="D116" s="254" t="s">
        <v>20</v>
      </c>
      <c r="E116" s="29" t="s">
        <v>16</v>
      </c>
      <c r="F116" s="30">
        <f>AVERAGE(F114:F115)</f>
        <v>68</v>
      </c>
      <c r="G116" s="30">
        <f t="shared" ref="G116:R116" si="36">AVERAGE(G114:G115)</f>
        <v>71</v>
      </c>
      <c r="H116" s="30">
        <f t="shared" si="36"/>
        <v>45.5</v>
      </c>
      <c r="I116" s="30">
        <f t="shared" si="36"/>
        <v>57</v>
      </c>
      <c r="J116" s="30">
        <f t="shared" si="36"/>
        <v>46.5</v>
      </c>
      <c r="K116" s="30">
        <f t="shared" si="36"/>
        <v>57.5</v>
      </c>
      <c r="L116" s="30">
        <f t="shared" si="36"/>
        <v>63</v>
      </c>
      <c r="M116" s="30">
        <f t="shared" si="36"/>
        <v>68.5</v>
      </c>
      <c r="N116" s="30">
        <f t="shared" si="36"/>
        <v>67</v>
      </c>
      <c r="O116" s="30">
        <f t="shared" si="36"/>
        <v>54</v>
      </c>
      <c r="P116" s="30">
        <f t="shared" si="36"/>
        <v>76.5</v>
      </c>
      <c r="Q116" s="30">
        <f t="shared" si="36"/>
        <v>674.5</v>
      </c>
      <c r="R116" s="30">
        <f t="shared" si="36"/>
        <v>61.318181818181813</v>
      </c>
      <c r="S116" s="30">
        <f>'9A Sem avr'!$H$40</f>
        <v>41</v>
      </c>
      <c r="T116" s="30">
        <f>AVERAGE(T114:T115)</f>
        <v>0</v>
      </c>
      <c r="U116" s="30">
        <f>AVERAGE(U114:U115)</f>
        <v>0</v>
      </c>
      <c r="V116" s="6"/>
      <c r="W116" s="6"/>
      <c r="X116" s="6"/>
      <c r="Y116" s="6"/>
      <c r="Z116" s="6"/>
    </row>
    <row r="117" spans="1:26" ht="17.25" customHeight="1" thickBot="1" x14ac:dyDescent="0.3">
      <c r="A117" s="252">
        <v>38</v>
      </c>
      <c r="B117" s="247"/>
      <c r="C117" s="247">
        <v>15</v>
      </c>
      <c r="D117" s="248" t="s">
        <v>23</v>
      </c>
      <c r="E117" s="29" t="s">
        <v>21</v>
      </c>
      <c r="F117" s="30">
        <f>'9A Sem 1'!E41</f>
        <v>84</v>
      </c>
      <c r="G117" s="30">
        <f>'9A Sem 1'!F41</f>
        <v>72</v>
      </c>
      <c r="H117" s="30">
        <f>'9A Sem 1'!G41</f>
        <v>74</v>
      </c>
      <c r="I117" s="30">
        <f>'9A Sem 1'!H41</f>
        <v>73</v>
      </c>
      <c r="J117" s="30">
        <f>'9A Sem 1'!I41</f>
        <v>61</v>
      </c>
      <c r="K117" s="30">
        <f>'9A Sem 1'!J41</f>
        <v>66</v>
      </c>
      <c r="L117" s="30">
        <f>'9A Sem 1'!K41</f>
        <v>71</v>
      </c>
      <c r="M117" s="30">
        <f>'9A Sem 1'!L41</f>
        <v>75</v>
      </c>
      <c r="N117" s="30">
        <f>'9A Sem 1'!M41</f>
        <v>78</v>
      </c>
      <c r="O117" s="30">
        <f>'9A Sem 1'!N41</f>
        <v>85</v>
      </c>
      <c r="P117" s="30">
        <f>'9A Sem 1'!O41</f>
        <v>82</v>
      </c>
      <c r="Q117" s="30">
        <f>'9A Sem 1'!P41</f>
        <v>821</v>
      </c>
      <c r="R117" s="30">
        <f>'9A Sem 1'!Q41</f>
        <v>74.63636363636364</v>
      </c>
      <c r="S117" s="30">
        <f>'9A Sem 1'!R41</f>
        <v>26</v>
      </c>
      <c r="T117" s="45">
        <f>'9A Sem 1'!S41</f>
        <v>0</v>
      </c>
      <c r="U117" s="45">
        <f>'9A Sem 1'!T41</f>
        <v>0</v>
      </c>
      <c r="V117" s="6"/>
      <c r="W117" s="6"/>
      <c r="X117" s="6"/>
      <c r="Y117" s="6"/>
      <c r="Z117" s="6"/>
    </row>
    <row r="118" spans="1:26" ht="17.25" customHeight="1" thickBot="1" x14ac:dyDescent="0.3">
      <c r="A118" s="252"/>
      <c r="B118" s="247"/>
      <c r="C118" s="247">
        <v>15</v>
      </c>
      <c r="D118" s="248" t="s">
        <v>23</v>
      </c>
      <c r="E118" s="29" t="s">
        <v>22</v>
      </c>
      <c r="F118" s="30">
        <f>'9A Sem 2'!E41</f>
        <v>84</v>
      </c>
      <c r="G118" s="30">
        <f>'9A Sem 2'!F41</f>
        <v>78</v>
      </c>
      <c r="H118" s="30">
        <f>'9A Sem 2'!G41</f>
        <v>70</v>
      </c>
      <c r="I118" s="30">
        <f>'9A Sem 2'!H41</f>
        <v>66</v>
      </c>
      <c r="J118" s="30">
        <f>'9A Sem 2'!I41</f>
        <v>64</v>
      </c>
      <c r="K118" s="30">
        <f>'9A Sem 2'!J41</f>
        <v>58</v>
      </c>
      <c r="L118" s="30">
        <f>'9A Sem 2'!K41</f>
        <v>69</v>
      </c>
      <c r="M118" s="30">
        <f>'9A Sem 2'!L41</f>
        <v>64</v>
      </c>
      <c r="N118" s="30">
        <f>'9A Sem 2'!M41</f>
        <v>87</v>
      </c>
      <c r="O118" s="30">
        <f>'9A Sem 2'!N41</f>
        <v>82</v>
      </c>
      <c r="P118" s="30">
        <f>'9A Sem 2'!O41</f>
        <v>92</v>
      </c>
      <c r="Q118" s="30">
        <f>'9A Sem 2'!P41</f>
        <v>814</v>
      </c>
      <c r="R118" s="30">
        <f>'9A Sem 2'!Q41</f>
        <v>74</v>
      </c>
      <c r="S118" s="30">
        <f>'9A Sem 2'!R41</f>
        <v>24</v>
      </c>
      <c r="T118" s="45">
        <f>'9A Sem 2'!S41</f>
        <v>0</v>
      </c>
      <c r="U118" s="45">
        <f>'9A Sem 2'!T41</f>
        <v>0</v>
      </c>
      <c r="V118" s="6"/>
      <c r="W118" s="6"/>
      <c r="X118" s="6"/>
      <c r="Y118" s="6"/>
      <c r="Z118" s="6"/>
    </row>
    <row r="119" spans="1:26" ht="17.25" customHeight="1" thickBot="1" x14ac:dyDescent="0.3">
      <c r="A119" s="252"/>
      <c r="B119" s="247"/>
      <c r="C119" s="247">
        <v>15</v>
      </c>
      <c r="D119" s="248" t="s">
        <v>23</v>
      </c>
      <c r="E119" s="29" t="s">
        <v>16</v>
      </c>
      <c r="F119" s="30">
        <f>AVERAGE(F117:F118)</f>
        <v>84</v>
      </c>
      <c r="G119" s="30">
        <f t="shared" ref="G119:R119" si="37">AVERAGE(G117:G118)</f>
        <v>75</v>
      </c>
      <c r="H119" s="30">
        <f t="shared" si="37"/>
        <v>72</v>
      </c>
      <c r="I119" s="30">
        <f t="shared" si="37"/>
        <v>69.5</v>
      </c>
      <c r="J119" s="30">
        <f t="shared" si="37"/>
        <v>62.5</v>
      </c>
      <c r="K119" s="30">
        <f t="shared" si="37"/>
        <v>62</v>
      </c>
      <c r="L119" s="30">
        <f t="shared" si="37"/>
        <v>70</v>
      </c>
      <c r="M119" s="30">
        <f t="shared" si="37"/>
        <v>69.5</v>
      </c>
      <c r="N119" s="30">
        <f t="shared" si="37"/>
        <v>82.5</v>
      </c>
      <c r="O119" s="30">
        <f t="shared" si="37"/>
        <v>83.5</v>
      </c>
      <c r="P119" s="30">
        <f t="shared" si="37"/>
        <v>87</v>
      </c>
      <c r="Q119" s="30">
        <f t="shared" si="37"/>
        <v>817.5</v>
      </c>
      <c r="R119" s="30">
        <f t="shared" si="37"/>
        <v>74.318181818181813</v>
      </c>
      <c r="S119" s="30">
        <f>'9A Sem avr'!$H$41</f>
        <v>25</v>
      </c>
      <c r="T119" s="30">
        <f>AVERAGE(T117:T118)</f>
        <v>0</v>
      </c>
      <c r="U119" s="30">
        <f>AVERAGE(U117:U118)</f>
        <v>0</v>
      </c>
      <c r="V119" s="6"/>
      <c r="W119" s="6"/>
      <c r="X119" s="6"/>
      <c r="Y119" s="6"/>
      <c r="Z119" s="6"/>
    </row>
    <row r="120" spans="1:26" ht="17.25" customHeight="1" thickBot="1" x14ac:dyDescent="0.3">
      <c r="A120" s="246">
        <v>39</v>
      </c>
      <c r="B120" s="247"/>
      <c r="C120" s="247">
        <v>14</v>
      </c>
      <c r="D120" s="248" t="s">
        <v>20</v>
      </c>
      <c r="E120" s="29" t="s">
        <v>21</v>
      </c>
      <c r="F120" s="30">
        <f>'9A Sem 1'!E42</f>
        <v>84</v>
      </c>
      <c r="G120" s="30">
        <f>'9A Sem 1'!F42</f>
        <v>57</v>
      </c>
      <c r="H120" s="31">
        <f>'9A Sem 1'!G42</f>
        <v>57</v>
      </c>
      <c r="I120" s="30">
        <f>'9A Sem 1'!H42</f>
        <v>60</v>
      </c>
      <c r="J120" s="30">
        <f>'9A Sem 1'!I42</f>
        <v>45</v>
      </c>
      <c r="K120" s="30">
        <f>'9A Sem 1'!J42</f>
        <v>50</v>
      </c>
      <c r="L120" s="30">
        <f>'9A Sem 1'!K42</f>
        <v>50</v>
      </c>
      <c r="M120" s="30">
        <f>'9A Sem 1'!L42</f>
        <v>65</v>
      </c>
      <c r="N120" s="30">
        <f>'9A Sem 1'!M42</f>
        <v>57</v>
      </c>
      <c r="O120" s="30">
        <f>'9A Sem 1'!N42</f>
        <v>75</v>
      </c>
      <c r="P120" s="30">
        <f>'9A Sem 1'!O42</f>
        <v>79</v>
      </c>
      <c r="Q120" s="30">
        <f>'9A Sem 1'!P42</f>
        <v>679</v>
      </c>
      <c r="R120" s="30">
        <f>'9A Sem 1'!Q42</f>
        <v>61.727272727272727</v>
      </c>
      <c r="S120" s="30">
        <f>'9A Sem 1'!R42</f>
        <v>37</v>
      </c>
      <c r="T120" s="45">
        <f>'9A Sem 1'!S42</f>
        <v>0</v>
      </c>
      <c r="U120" s="45">
        <f>'9A Sem 1'!T42</f>
        <v>0</v>
      </c>
      <c r="V120" s="6"/>
      <c r="W120" s="6"/>
      <c r="X120" s="6"/>
      <c r="Y120" s="6"/>
      <c r="Z120" s="6"/>
    </row>
    <row r="121" spans="1:26" ht="17.25" customHeight="1" thickBot="1" x14ac:dyDescent="0.3">
      <c r="A121" s="246"/>
      <c r="B121" s="247"/>
      <c r="C121" s="247">
        <v>14</v>
      </c>
      <c r="D121" s="248" t="s">
        <v>20</v>
      </c>
      <c r="E121" s="29" t="s">
        <v>22</v>
      </c>
      <c r="F121" s="30">
        <f>'9A Sem 2'!E42</f>
        <v>81</v>
      </c>
      <c r="G121" s="30">
        <f>'9A Sem 2'!F42</f>
        <v>67</v>
      </c>
      <c r="H121" s="31">
        <f>'9A Sem 2'!G42</f>
        <v>58</v>
      </c>
      <c r="I121" s="30">
        <f>'9A Sem 2'!H42</f>
        <v>59</v>
      </c>
      <c r="J121" s="30">
        <f>'9A Sem 2'!I42</f>
        <v>53</v>
      </c>
      <c r="K121" s="30">
        <f>'9A Sem 2'!J42</f>
        <v>59</v>
      </c>
      <c r="L121" s="30">
        <f>'9A Sem 2'!K42</f>
        <v>67</v>
      </c>
      <c r="M121" s="30">
        <f>'9A Sem 2'!L42</f>
        <v>55</v>
      </c>
      <c r="N121" s="30">
        <f>'9A Sem 2'!M42</f>
        <v>63</v>
      </c>
      <c r="O121" s="30">
        <f>'9A Sem 2'!N42</f>
        <v>89</v>
      </c>
      <c r="P121" s="30">
        <f>'9A Sem 2'!O42</f>
        <v>90</v>
      </c>
      <c r="Q121" s="30">
        <f>'9A Sem 2'!P42</f>
        <v>741</v>
      </c>
      <c r="R121" s="30">
        <f>'9A Sem 2'!Q42</f>
        <v>67.36363636363636</v>
      </c>
      <c r="S121" s="30">
        <f>'9A Sem 2'!R42</f>
        <v>33</v>
      </c>
      <c r="T121" s="45">
        <f>'9A Sem 2'!S42</f>
        <v>0</v>
      </c>
      <c r="U121" s="45">
        <f>'9A Sem 2'!T42</f>
        <v>0</v>
      </c>
      <c r="V121" s="6"/>
      <c r="W121" s="6"/>
      <c r="X121" s="6"/>
      <c r="Y121" s="6"/>
      <c r="Z121" s="6"/>
    </row>
    <row r="122" spans="1:26" ht="17.25" customHeight="1" thickBot="1" x14ac:dyDescent="0.3">
      <c r="A122" s="246"/>
      <c r="B122" s="247"/>
      <c r="C122" s="247">
        <v>14</v>
      </c>
      <c r="D122" s="248" t="s">
        <v>20</v>
      </c>
      <c r="E122" s="29" t="s">
        <v>16</v>
      </c>
      <c r="F122" s="30">
        <f>AVERAGE(F120:F121)</f>
        <v>82.5</v>
      </c>
      <c r="G122" s="30">
        <f t="shared" ref="G122:R122" si="38">AVERAGE(G120:G121)</f>
        <v>62</v>
      </c>
      <c r="H122" s="30">
        <f t="shared" si="38"/>
        <v>57.5</v>
      </c>
      <c r="I122" s="30">
        <f t="shared" si="38"/>
        <v>59.5</v>
      </c>
      <c r="J122" s="30">
        <f t="shared" si="38"/>
        <v>49</v>
      </c>
      <c r="K122" s="30">
        <f t="shared" si="38"/>
        <v>54.5</v>
      </c>
      <c r="L122" s="30">
        <f t="shared" si="38"/>
        <v>58.5</v>
      </c>
      <c r="M122" s="30">
        <f t="shared" si="38"/>
        <v>60</v>
      </c>
      <c r="N122" s="30">
        <f t="shared" si="38"/>
        <v>60</v>
      </c>
      <c r="O122" s="30">
        <f t="shared" si="38"/>
        <v>82</v>
      </c>
      <c r="P122" s="30">
        <f t="shared" si="38"/>
        <v>84.5</v>
      </c>
      <c r="Q122" s="30">
        <f t="shared" si="38"/>
        <v>710</v>
      </c>
      <c r="R122" s="30">
        <f t="shared" si="38"/>
        <v>64.545454545454547</v>
      </c>
      <c r="S122" s="30">
        <f>'9A Sem avr'!$H$42</f>
        <v>35</v>
      </c>
      <c r="T122" s="30">
        <f>AVERAGE(T120:T121)</f>
        <v>0</v>
      </c>
      <c r="U122" s="30">
        <f>AVERAGE(U120:U121)</f>
        <v>0</v>
      </c>
      <c r="V122" s="6"/>
      <c r="W122" s="6"/>
      <c r="X122" s="6"/>
      <c r="Y122" s="6"/>
      <c r="Z122" s="6"/>
    </row>
    <row r="123" spans="1:26" ht="17.25" customHeight="1" thickBot="1" x14ac:dyDescent="0.3">
      <c r="A123" s="252">
        <v>40</v>
      </c>
      <c r="B123" s="247"/>
      <c r="C123" s="253">
        <v>15</v>
      </c>
      <c r="D123" s="254" t="s">
        <v>23</v>
      </c>
      <c r="E123" s="29" t="s">
        <v>21</v>
      </c>
      <c r="F123" s="30">
        <f>'9A Sem 1'!E43</f>
        <v>0</v>
      </c>
      <c r="G123" s="30">
        <f>'9A Sem 1'!F43</f>
        <v>0</v>
      </c>
      <c r="H123" s="30">
        <f>'9A Sem 1'!G43</f>
        <v>0</v>
      </c>
      <c r="I123" s="30">
        <f>'9A Sem 1'!H43</f>
        <v>0</v>
      </c>
      <c r="J123" s="30">
        <f>'9A Sem 1'!I43</f>
        <v>0</v>
      </c>
      <c r="K123" s="30">
        <f>'9A Sem 1'!J43</f>
        <v>0</v>
      </c>
      <c r="L123" s="31">
        <f>'9A Sem 1'!K43</f>
        <v>0</v>
      </c>
      <c r="M123" s="30">
        <f>'9A Sem 1'!L43</f>
        <v>0</v>
      </c>
      <c r="N123" s="30">
        <f>'9A Sem 1'!M43</f>
        <v>0</v>
      </c>
      <c r="O123" s="30">
        <f>'9A Sem 1'!N43</f>
        <v>0</v>
      </c>
      <c r="P123" s="30">
        <f>'9A Sem 1'!O43</f>
        <v>0</v>
      </c>
      <c r="Q123" s="30">
        <f>'9A Sem 1'!P43</f>
        <v>0</v>
      </c>
      <c r="R123" s="30">
        <f>'9A Sem 1'!Q43</f>
        <v>0</v>
      </c>
      <c r="S123" s="30">
        <f>'9A Sem 1'!R43</f>
        <v>0</v>
      </c>
      <c r="T123" s="45">
        <f>'9A Sem 1'!S43</f>
        <v>0</v>
      </c>
      <c r="U123" s="45">
        <f>'9A Sem 1'!T43</f>
        <v>0</v>
      </c>
      <c r="V123" s="6"/>
      <c r="W123" s="6"/>
      <c r="X123" s="6"/>
      <c r="Y123" s="6"/>
      <c r="Z123" s="6"/>
    </row>
    <row r="124" spans="1:26" ht="17.25" customHeight="1" thickBot="1" x14ac:dyDescent="0.3">
      <c r="A124" s="252"/>
      <c r="B124" s="247"/>
      <c r="C124" s="253">
        <v>15</v>
      </c>
      <c r="D124" s="254" t="s">
        <v>23</v>
      </c>
      <c r="E124" s="29" t="s">
        <v>22</v>
      </c>
      <c r="F124" s="30">
        <f>'9A Sem 2'!E43</f>
        <v>0</v>
      </c>
      <c r="G124" s="30">
        <f>'9A Sem 2'!F43</f>
        <v>0</v>
      </c>
      <c r="H124" s="30">
        <f>'9A Sem 2'!G43</f>
        <v>0</v>
      </c>
      <c r="I124" s="30">
        <f>'9A Sem 2'!H43</f>
        <v>0</v>
      </c>
      <c r="J124" s="30">
        <f>'9A Sem 2'!I43</f>
        <v>0</v>
      </c>
      <c r="K124" s="30">
        <f>'9A Sem 2'!J43</f>
        <v>0</v>
      </c>
      <c r="L124" s="31">
        <f>'9A Sem 2'!K43</f>
        <v>0</v>
      </c>
      <c r="M124" s="30">
        <f>'9A Sem 2'!L43</f>
        <v>0</v>
      </c>
      <c r="N124" s="30">
        <f>'9A Sem 2'!M43</f>
        <v>0</v>
      </c>
      <c r="O124" s="30">
        <f>'9A Sem 2'!N43</f>
        <v>0</v>
      </c>
      <c r="P124" s="30">
        <f>'9A Sem 2'!O43</f>
        <v>0</v>
      </c>
      <c r="Q124" s="30">
        <f>'9A Sem 2'!P43</f>
        <v>0</v>
      </c>
      <c r="R124" s="30">
        <f>'9A Sem 2'!Q43</f>
        <v>0</v>
      </c>
      <c r="S124" s="30">
        <f>'9A Sem 2'!R43</f>
        <v>0</v>
      </c>
      <c r="T124" s="45">
        <f>'9A Sem 2'!S43</f>
        <v>0</v>
      </c>
      <c r="U124" s="45">
        <f>'9A Sem 2'!T43</f>
        <v>0</v>
      </c>
      <c r="V124" s="6"/>
      <c r="W124" s="6"/>
      <c r="X124" s="6"/>
      <c r="Y124" s="6"/>
      <c r="Z124" s="6"/>
    </row>
    <row r="125" spans="1:26" ht="17.25" customHeight="1" thickBot="1" x14ac:dyDescent="0.3">
      <c r="A125" s="252"/>
      <c r="B125" s="247"/>
      <c r="C125" s="253">
        <v>15</v>
      </c>
      <c r="D125" s="254" t="s">
        <v>23</v>
      </c>
      <c r="E125" s="29" t="s">
        <v>16</v>
      </c>
      <c r="F125" s="30">
        <f>AVERAGE(F123:F124)</f>
        <v>0</v>
      </c>
      <c r="G125" s="30">
        <f t="shared" ref="G125:R125" si="39">AVERAGE(G123:G124)</f>
        <v>0</v>
      </c>
      <c r="H125" s="30">
        <f t="shared" si="39"/>
        <v>0</v>
      </c>
      <c r="I125" s="30">
        <f t="shared" si="39"/>
        <v>0</v>
      </c>
      <c r="J125" s="30">
        <f t="shared" si="39"/>
        <v>0</v>
      </c>
      <c r="K125" s="30">
        <f t="shared" si="39"/>
        <v>0</v>
      </c>
      <c r="L125" s="30">
        <f t="shared" si="39"/>
        <v>0</v>
      </c>
      <c r="M125" s="30">
        <f t="shared" si="39"/>
        <v>0</v>
      </c>
      <c r="N125" s="30">
        <f t="shared" si="39"/>
        <v>0</v>
      </c>
      <c r="O125" s="30">
        <f t="shared" si="39"/>
        <v>0</v>
      </c>
      <c r="P125" s="30">
        <f t="shared" si="39"/>
        <v>0</v>
      </c>
      <c r="Q125" s="30">
        <f t="shared" si="39"/>
        <v>0</v>
      </c>
      <c r="R125" s="30">
        <f t="shared" si="39"/>
        <v>0</v>
      </c>
      <c r="S125" s="30">
        <f>'9A Sem avr'!$H$43</f>
        <v>51</v>
      </c>
      <c r="T125" s="30">
        <f>AVERAGE(T123:T124)</f>
        <v>0</v>
      </c>
      <c r="U125" s="30">
        <f>AVERAGE(U123:U124)</f>
        <v>0</v>
      </c>
      <c r="V125" s="6"/>
      <c r="W125" s="6"/>
      <c r="X125" s="6"/>
      <c r="Y125" s="6"/>
      <c r="Z125" s="6"/>
    </row>
    <row r="126" spans="1:26" ht="17.25" customHeight="1" thickBot="1" x14ac:dyDescent="0.3">
      <c r="A126" s="246">
        <v>41</v>
      </c>
      <c r="B126" s="247"/>
      <c r="C126" s="253">
        <v>16</v>
      </c>
      <c r="D126" s="254" t="s">
        <v>20</v>
      </c>
      <c r="E126" s="29" t="s">
        <v>21</v>
      </c>
      <c r="F126" s="30">
        <f>'9A Sem 1'!E44</f>
        <v>58</v>
      </c>
      <c r="G126" s="30">
        <f>'9A Sem 1'!F44</f>
        <v>56</v>
      </c>
      <c r="H126" s="30">
        <f>'9A Sem 1'!G44</f>
        <v>56</v>
      </c>
      <c r="I126" s="30">
        <f>'9A Sem 1'!H44</f>
        <v>58</v>
      </c>
      <c r="J126" s="30">
        <f>'9A Sem 1'!I44</f>
        <v>57</v>
      </c>
      <c r="K126" s="30">
        <f>'9A Sem 1'!J44</f>
        <v>56</v>
      </c>
      <c r="L126" s="30">
        <f>'9A Sem 1'!K44</f>
        <v>66</v>
      </c>
      <c r="M126" s="30">
        <f>'9A Sem 1'!L44</f>
        <v>68</v>
      </c>
      <c r="N126" s="30">
        <f>'9A Sem 1'!M44</f>
        <v>53</v>
      </c>
      <c r="O126" s="30">
        <f>'9A Sem 1'!N44</f>
        <v>84</v>
      </c>
      <c r="P126" s="30">
        <f>'9A Sem 1'!O44</f>
        <v>85</v>
      </c>
      <c r="Q126" s="30">
        <f>'9A Sem 1'!P44</f>
        <v>697</v>
      </c>
      <c r="R126" s="30">
        <f>'9A Sem 1'!Q44</f>
        <v>63.363636363636367</v>
      </c>
      <c r="S126" s="30">
        <f>'9A Sem 1'!R44</f>
        <v>35</v>
      </c>
      <c r="T126" s="45">
        <f>'9A Sem 1'!S44</f>
        <v>0</v>
      </c>
      <c r="U126" s="45">
        <f>'9A Sem 1'!T44</f>
        <v>0</v>
      </c>
      <c r="V126" s="6"/>
      <c r="W126" s="6"/>
      <c r="X126" s="6"/>
      <c r="Y126" s="6"/>
      <c r="Z126" s="6"/>
    </row>
    <row r="127" spans="1:26" ht="17.25" customHeight="1" thickBot="1" x14ac:dyDescent="0.3">
      <c r="A127" s="246"/>
      <c r="B127" s="247"/>
      <c r="C127" s="253">
        <v>16</v>
      </c>
      <c r="D127" s="254" t="s">
        <v>20</v>
      </c>
      <c r="E127" s="29" t="s">
        <v>22</v>
      </c>
      <c r="F127" s="30">
        <f>'9A Sem 2'!E44</f>
        <v>64</v>
      </c>
      <c r="G127" s="30">
        <f>'9A Sem 2'!F44</f>
        <v>56</v>
      </c>
      <c r="H127" s="30">
        <f>'9A Sem 2'!G44</f>
        <v>61</v>
      </c>
      <c r="I127" s="30">
        <f>'9A Sem 2'!H44</f>
        <v>60</v>
      </c>
      <c r="J127" s="30">
        <f>'9A Sem 2'!I44</f>
        <v>53</v>
      </c>
      <c r="K127" s="30">
        <f>'9A Sem 2'!J44</f>
        <v>56</v>
      </c>
      <c r="L127" s="30">
        <f>'9A Sem 2'!K44</f>
        <v>70</v>
      </c>
      <c r="M127" s="30">
        <f>'9A Sem 2'!L44</f>
        <v>70</v>
      </c>
      <c r="N127" s="30">
        <f>'9A Sem 2'!M44</f>
        <v>66</v>
      </c>
      <c r="O127" s="30">
        <f>'9A Sem 2'!N44</f>
        <v>88</v>
      </c>
      <c r="P127" s="30">
        <f>'9A Sem 2'!O44</f>
        <v>92</v>
      </c>
      <c r="Q127" s="30">
        <f>'9A Sem 2'!P44</f>
        <v>736</v>
      </c>
      <c r="R127" s="30">
        <f>'9A Sem 2'!Q44</f>
        <v>66.909090909090907</v>
      </c>
      <c r="S127" s="30">
        <f>'9A Sem 2'!R44</f>
        <v>35</v>
      </c>
      <c r="T127" s="45">
        <f>'9A Sem 2'!S44</f>
        <v>0</v>
      </c>
      <c r="U127" s="45">
        <f>'9A Sem 2'!T44</f>
        <v>0</v>
      </c>
      <c r="V127" s="6"/>
      <c r="W127" s="6"/>
      <c r="X127" s="6"/>
      <c r="Y127" s="6"/>
      <c r="Z127" s="6"/>
    </row>
    <row r="128" spans="1:26" ht="17.25" customHeight="1" thickBot="1" x14ac:dyDescent="0.3">
      <c r="A128" s="246"/>
      <c r="B128" s="247"/>
      <c r="C128" s="253">
        <v>16</v>
      </c>
      <c r="D128" s="254" t="s">
        <v>20</v>
      </c>
      <c r="E128" s="29" t="s">
        <v>16</v>
      </c>
      <c r="F128" s="30">
        <f>AVERAGE(F126:F127)</f>
        <v>61</v>
      </c>
      <c r="G128" s="30">
        <f t="shared" ref="G128:R128" si="40">AVERAGE(G126:G127)</f>
        <v>56</v>
      </c>
      <c r="H128" s="30">
        <f t="shared" si="40"/>
        <v>58.5</v>
      </c>
      <c r="I128" s="30">
        <f t="shared" si="40"/>
        <v>59</v>
      </c>
      <c r="J128" s="30">
        <f t="shared" si="40"/>
        <v>55</v>
      </c>
      <c r="K128" s="30">
        <f t="shared" si="40"/>
        <v>56</v>
      </c>
      <c r="L128" s="30">
        <f t="shared" si="40"/>
        <v>68</v>
      </c>
      <c r="M128" s="30">
        <f t="shared" si="40"/>
        <v>69</v>
      </c>
      <c r="N128" s="30">
        <f t="shared" si="40"/>
        <v>59.5</v>
      </c>
      <c r="O128" s="30">
        <f t="shared" si="40"/>
        <v>86</v>
      </c>
      <c r="P128" s="30">
        <f t="shared" si="40"/>
        <v>88.5</v>
      </c>
      <c r="Q128" s="30">
        <f t="shared" si="40"/>
        <v>716.5</v>
      </c>
      <c r="R128" s="30">
        <f t="shared" si="40"/>
        <v>65.13636363636364</v>
      </c>
      <c r="S128" s="30">
        <f>'9A Sem avr'!$H$44</f>
        <v>34</v>
      </c>
      <c r="T128" s="30">
        <f>AVERAGE(T126:T127)</f>
        <v>0</v>
      </c>
      <c r="U128" s="30">
        <f>AVERAGE(U126:U127)</f>
        <v>0</v>
      </c>
      <c r="V128" s="6"/>
      <c r="W128" s="6"/>
      <c r="X128" s="6"/>
      <c r="Y128" s="6"/>
      <c r="Z128" s="6"/>
    </row>
    <row r="129" spans="1:26" ht="17.25" customHeight="1" thickBot="1" x14ac:dyDescent="0.3">
      <c r="A129" s="246">
        <v>42</v>
      </c>
      <c r="B129" s="247"/>
      <c r="C129" s="247">
        <v>16</v>
      </c>
      <c r="D129" s="248" t="s">
        <v>23</v>
      </c>
      <c r="E129" s="29" t="s">
        <v>21</v>
      </c>
      <c r="F129" s="30">
        <f>'9A Sem 1'!E45</f>
        <v>67</v>
      </c>
      <c r="G129" s="31">
        <f>'9A Sem 1'!F45</f>
        <v>41</v>
      </c>
      <c r="H129" s="31">
        <f>'9A Sem 1'!G45</f>
        <v>31</v>
      </c>
      <c r="I129" s="31">
        <f>'9A Sem 1'!H45</f>
        <v>44</v>
      </c>
      <c r="J129" s="30">
        <f>'9A Sem 1'!I45</f>
        <v>51</v>
      </c>
      <c r="K129" s="30">
        <f>'9A Sem 1'!J45</f>
        <v>35</v>
      </c>
      <c r="L129" s="30">
        <f>'9A Sem 1'!K45</f>
        <v>43</v>
      </c>
      <c r="M129" s="30">
        <f>'9A Sem 1'!L45</f>
        <v>32</v>
      </c>
      <c r="N129" s="30">
        <f>'9A Sem 1'!M45</f>
        <v>48</v>
      </c>
      <c r="O129" s="31">
        <f>'9A Sem 1'!N45</f>
        <v>61</v>
      </c>
      <c r="P129" s="30">
        <f>'9A Sem 1'!O45</f>
        <v>66</v>
      </c>
      <c r="Q129" s="30">
        <f>'9A Sem 1'!P45</f>
        <v>519</v>
      </c>
      <c r="R129" s="30">
        <f>'9A Sem 1'!Q45</f>
        <v>47.18181818181818</v>
      </c>
      <c r="S129" s="30">
        <f>'9A Sem 1'!R45</f>
        <v>50</v>
      </c>
      <c r="T129" s="45">
        <f>'9A Sem 1'!S45</f>
        <v>0</v>
      </c>
      <c r="U129" s="45">
        <f>'9A Sem 1'!T45</f>
        <v>0</v>
      </c>
      <c r="V129" s="6"/>
      <c r="W129" s="6"/>
      <c r="X129" s="6"/>
      <c r="Y129" s="6"/>
      <c r="Z129" s="6"/>
    </row>
    <row r="130" spans="1:26" ht="17.25" customHeight="1" thickBot="1" x14ac:dyDescent="0.3">
      <c r="A130" s="246"/>
      <c r="B130" s="247"/>
      <c r="C130" s="247">
        <v>16</v>
      </c>
      <c r="D130" s="248" t="s">
        <v>23</v>
      </c>
      <c r="E130" s="29" t="s">
        <v>22</v>
      </c>
      <c r="F130" s="30">
        <f>'9A Sem 2'!E45</f>
        <v>0</v>
      </c>
      <c r="G130" s="31">
        <f>'9A Sem 2'!F45</f>
        <v>0</v>
      </c>
      <c r="H130" s="31">
        <f>'9A Sem 2'!G45</f>
        <v>0</v>
      </c>
      <c r="I130" s="31">
        <f>'9A Sem 2'!H45</f>
        <v>0</v>
      </c>
      <c r="J130" s="30">
        <f>'9A Sem 2'!I45</f>
        <v>0</v>
      </c>
      <c r="K130" s="30">
        <f>'9A Sem 2'!J45</f>
        <v>0</v>
      </c>
      <c r="L130" s="30">
        <f>'9A Sem 2'!K45</f>
        <v>0</v>
      </c>
      <c r="M130" s="30">
        <f>'9A Sem 2'!L45</f>
        <v>0</v>
      </c>
      <c r="N130" s="30">
        <f>'9A Sem 2'!M45</f>
        <v>0</v>
      </c>
      <c r="O130" s="31">
        <f>'9A Sem 2'!N45</f>
        <v>0</v>
      </c>
      <c r="P130" s="30">
        <f>'9A Sem 2'!O45</f>
        <v>0</v>
      </c>
      <c r="Q130" s="30">
        <f>'9A Sem 2'!P45</f>
        <v>0</v>
      </c>
      <c r="R130" s="30">
        <f>'9A Sem 2'!Q45</f>
        <v>0</v>
      </c>
      <c r="S130" s="30">
        <f>'9A Sem 2'!R45</f>
        <v>0</v>
      </c>
      <c r="T130" s="45">
        <f>'9A Sem 2'!S45</f>
        <v>0</v>
      </c>
      <c r="U130" s="45">
        <f>'9A Sem 2'!T45</f>
        <v>0</v>
      </c>
      <c r="V130" s="6"/>
      <c r="W130" s="6"/>
      <c r="X130" s="6"/>
      <c r="Y130" s="6"/>
      <c r="Z130" s="6"/>
    </row>
    <row r="131" spans="1:26" ht="17.25" customHeight="1" thickBot="1" x14ac:dyDescent="0.3">
      <c r="A131" s="246"/>
      <c r="B131" s="247"/>
      <c r="C131" s="247">
        <v>16</v>
      </c>
      <c r="D131" s="248" t="s">
        <v>23</v>
      </c>
      <c r="E131" s="29" t="s">
        <v>16</v>
      </c>
      <c r="F131" s="30">
        <f>AVERAGE(F129:F130)</f>
        <v>33.5</v>
      </c>
      <c r="G131" s="30">
        <f t="shared" ref="G131:R131" si="41">AVERAGE(G129:G130)</f>
        <v>20.5</v>
      </c>
      <c r="H131" s="30">
        <f t="shared" si="41"/>
        <v>15.5</v>
      </c>
      <c r="I131" s="30">
        <f t="shared" si="41"/>
        <v>22</v>
      </c>
      <c r="J131" s="30">
        <f t="shared" si="41"/>
        <v>25.5</v>
      </c>
      <c r="K131" s="30">
        <f t="shared" si="41"/>
        <v>17.5</v>
      </c>
      <c r="L131" s="30">
        <f t="shared" si="41"/>
        <v>21.5</v>
      </c>
      <c r="M131" s="30">
        <f t="shared" si="41"/>
        <v>16</v>
      </c>
      <c r="N131" s="30">
        <f t="shared" si="41"/>
        <v>24</v>
      </c>
      <c r="O131" s="30">
        <f t="shared" si="41"/>
        <v>30.5</v>
      </c>
      <c r="P131" s="30">
        <f t="shared" si="41"/>
        <v>33</v>
      </c>
      <c r="Q131" s="30">
        <f t="shared" si="41"/>
        <v>259.5</v>
      </c>
      <c r="R131" s="30">
        <f t="shared" si="41"/>
        <v>23.59090909090909</v>
      </c>
      <c r="S131" s="30">
        <f>'9A Sem avr'!$H$45</f>
        <v>50</v>
      </c>
      <c r="T131" s="30">
        <f>AVERAGE(T129:T130)</f>
        <v>0</v>
      </c>
      <c r="U131" s="30">
        <f>AVERAGE(U129:U130)</f>
        <v>0</v>
      </c>
      <c r="V131" s="6"/>
      <c r="W131" s="6"/>
      <c r="X131" s="6"/>
      <c r="Y131" s="6"/>
      <c r="Z131" s="6"/>
    </row>
    <row r="132" spans="1:26" ht="17.25" customHeight="1" thickBot="1" x14ac:dyDescent="0.3">
      <c r="A132" s="246">
        <v>43</v>
      </c>
      <c r="B132" s="247"/>
      <c r="C132" s="247">
        <v>14</v>
      </c>
      <c r="D132" s="248" t="s">
        <v>20</v>
      </c>
      <c r="E132" s="29" t="s">
        <v>21</v>
      </c>
      <c r="F132" s="30">
        <f>'9A Sem 1'!E46</f>
        <v>83</v>
      </c>
      <c r="G132" s="31">
        <f>'9A Sem 1'!F46</f>
        <v>64</v>
      </c>
      <c r="H132" s="31">
        <f>'9A Sem 1'!G46</f>
        <v>62</v>
      </c>
      <c r="I132" s="30">
        <f>'9A Sem 1'!H46</f>
        <v>67</v>
      </c>
      <c r="J132" s="31">
        <f>'9A Sem 1'!I46</f>
        <v>58</v>
      </c>
      <c r="K132" s="30">
        <f>'9A Sem 1'!J46</f>
        <v>75</v>
      </c>
      <c r="L132" s="31">
        <f>'9A Sem 1'!K46</f>
        <v>69</v>
      </c>
      <c r="M132" s="31">
        <f>'9A Sem 1'!L46</f>
        <v>78</v>
      </c>
      <c r="N132" s="30">
        <f>'9A Sem 1'!M46</f>
        <v>60</v>
      </c>
      <c r="O132" s="30">
        <f>'9A Sem 1'!N46</f>
        <v>89</v>
      </c>
      <c r="P132" s="31">
        <f>'9A Sem 1'!O46</f>
        <v>78</v>
      </c>
      <c r="Q132" s="30">
        <f>'9A Sem 1'!P46</f>
        <v>783</v>
      </c>
      <c r="R132" s="30">
        <f>'9A Sem 1'!Q46</f>
        <v>71.181818181818187</v>
      </c>
      <c r="S132" s="30">
        <f>'9A Sem 1'!R46</f>
        <v>28</v>
      </c>
      <c r="T132" s="45">
        <f>'9A Sem 1'!S46</f>
        <v>0</v>
      </c>
      <c r="U132" s="45">
        <f>'9A Sem 1'!T46</f>
        <v>0</v>
      </c>
      <c r="V132" s="6"/>
      <c r="W132" s="6"/>
      <c r="X132" s="6"/>
      <c r="Y132" s="6"/>
      <c r="Z132" s="6"/>
    </row>
    <row r="133" spans="1:26" ht="17.25" customHeight="1" thickBot="1" x14ac:dyDescent="0.3">
      <c r="A133" s="246"/>
      <c r="B133" s="247"/>
      <c r="C133" s="247">
        <v>14</v>
      </c>
      <c r="D133" s="248" t="s">
        <v>20</v>
      </c>
      <c r="E133" s="29" t="s">
        <v>22</v>
      </c>
      <c r="F133" s="30">
        <f>'9A Sem 2'!E46</f>
        <v>77</v>
      </c>
      <c r="G133" s="31">
        <f>'9A Sem 2'!F46</f>
        <v>69</v>
      </c>
      <c r="H133" s="31">
        <f>'9A Sem 2'!G46</f>
        <v>62</v>
      </c>
      <c r="I133" s="30">
        <f>'9A Sem 2'!H46</f>
        <v>61</v>
      </c>
      <c r="J133" s="31">
        <f>'9A Sem 2'!I46</f>
        <v>59</v>
      </c>
      <c r="K133" s="30">
        <f>'9A Sem 2'!J46</f>
        <v>82</v>
      </c>
      <c r="L133" s="31">
        <f>'9A Sem 2'!K46</f>
        <v>74</v>
      </c>
      <c r="M133" s="31">
        <f>'9A Sem 2'!L46</f>
        <v>57</v>
      </c>
      <c r="N133" s="30">
        <f>'9A Sem 2'!M46</f>
        <v>81</v>
      </c>
      <c r="O133" s="30">
        <f>'9A Sem 2'!N46</f>
        <v>90</v>
      </c>
      <c r="P133" s="31">
        <f>'9A Sem 2'!O46</f>
        <v>88</v>
      </c>
      <c r="Q133" s="30">
        <f>'9A Sem 2'!P46</f>
        <v>800</v>
      </c>
      <c r="R133" s="30">
        <f>'9A Sem 2'!Q46</f>
        <v>72.727272727272734</v>
      </c>
      <c r="S133" s="30">
        <f>'9A Sem 2'!R46</f>
        <v>26</v>
      </c>
      <c r="T133" s="45">
        <f>'9A Sem 2'!S46</f>
        <v>0</v>
      </c>
      <c r="U133" s="45">
        <f>'9A Sem 2'!T46</f>
        <v>0</v>
      </c>
      <c r="V133" s="6"/>
      <c r="W133" s="6"/>
      <c r="X133" s="6"/>
      <c r="Y133" s="6"/>
      <c r="Z133" s="6"/>
    </row>
    <row r="134" spans="1:26" ht="17.25" customHeight="1" thickBot="1" x14ac:dyDescent="0.3">
      <c r="A134" s="249"/>
      <c r="B134" s="250"/>
      <c r="C134" s="250">
        <v>14</v>
      </c>
      <c r="D134" s="251" t="s">
        <v>20</v>
      </c>
      <c r="E134" s="108" t="s">
        <v>16</v>
      </c>
      <c r="F134" s="109">
        <f>AVERAGE(F132:F133)</f>
        <v>80</v>
      </c>
      <c r="G134" s="109">
        <f t="shared" ref="G134:R134" si="42">AVERAGE(G132:G133)</f>
        <v>66.5</v>
      </c>
      <c r="H134" s="109">
        <f t="shared" si="42"/>
        <v>62</v>
      </c>
      <c r="I134" s="109">
        <f t="shared" si="42"/>
        <v>64</v>
      </c>
      <c r="J134" s="109">
        <f t="shared" si="42"/>
        <v>58.5</v>
      </c>
      <c r="K134" s="109">
        <f t="shared" si="42"/>
        <v>78.5</v>
      </c>
      <c r="L134" s="109">
        <f t="shared" si="42"/>
        <v>71.5</v>
      </c>
      <c r="M134" s="109">
        <f t="shared" si="42"/>
        <v>67.5</v>
      </c>
      <c r="N134" s="109">
        <f t="shared" si="42"/>
        <v>70.5</v>
      </c>
      <c r="O134" s="109">
        <f t="shared" si="42"/>
        <v>89.5</v>
      </c>
      <c r="P134" s="109">
        <f t="shared" si="42"/>
        <v>83</v>
      </c>
      <c r="Q134" s="109">
        <f t="shared" si="42"/>
        <v>791.5</v>
      </c>
      <c r="R134" s="109">
        <f t="shared" si="42"/>
        <v>71.954545454545467</v>
      </c>
      <c r="S134" s="109">
        <f>'9A Sem avr'!$H$46</f>
        <v>27</v>
      </c>
      <c r="T134" s="109">
        <f>AVERAGE(T132:T133)</f>
        <v>0</v>
      </c>
      <c r="U134" s="109">
        <f>AVERAGE(U132:U133)</f>
        <v>0</v>
      </c>
      <c r="V134" s="6"/>
      <c r="W134" s="6"/>
      <c r="X134" s="6"/>
      <c r="Y134" s="6"/>
      <c r="Z134" s="6"/>
    </row>
    <row r="135" spans="1:26" ht="17.25" customHeight="1" thickBot="1" x14ac:dyDescent="0.3">
      <c r="A135" s="286">
        <v>44</v>
      </c>
      <c r="B135" s="247"/>
      <c r="C135" s="247">
        <v>15</v>
      </c>
      <c r="D135" s="248" t="s">
        <v>23</v>
      </c>
      <c r="E135" s="29" t="s">
        <v>21</v>
      </c>
      <c r="F135" s="15">
        <f>'9A Sem 1'!E47</f>
        <v>63</v>
      </c>
      <c r="G135" s="15">
        <f>'9A Sem 1'!F47</f>
        <v>48</v>
      </c>
      <c r="H135" s="15">
        <f>'9A Sem 1'!G47</f>
        <v>37</v>
      </c>
      <c r="I135" s="15">
        <f>'9A Sem 1'!H47</f>
        <v>38</v>
      </c>
      <c r="J135" s="15">
        <f>'9A Sem 1'!I47</f>
        <v>39</v>
      </c>
      <c r="K135" s="15">
        <f>'9A Sem 1'!J47</f>
        <v>48</v>
      </c>
      <c r="L135" s="15">
        <f>'9A Sem 1'!K47</f>
        <v>46</v>
      </c>
      <c r="M135" s="15">
        <f>'9A Sem 1'!L47</f>
        <v>42</v>
      </c>
      <c r="N135" s="15">
        <f>'9A Sem 1'!M47</f>
        <v>53</v>
      </c>
      <c r="O135" s="15">
        <f>'9A Sem 1'!N47</f>
        <v>54</v>
      </c>
      <c r="P135" s="15">
        <f>'9A Sem 1'!O47</f>
        <v>78</v>
      </c>
      <c r="Q135" s="15">
        <f>'9A Sem 1'!P47</f>
        <v>546</v>
      </c>
      <c r="R135" s="15">
        <f>'9A Sem 1'!Q47</f>
        <v>49.636363636363633</v>
      </c>
      <c r="S135" s="15">
        <f>'9A Sem 1'!R47</f>
        <v>48</v>
      </c>
      <c r="T135" s="15">
        <f>'9A Sem 1'!S47</f>
        <v>0</v>
      </c>
      <c r="U135" s="15">
        <f>'9A Sem 1'!T47</f>
        <v>0</v>
      </c>
      <c r="V135" s="6"/>
      <c r="W135" s="6"/>
      <c r="X135" s="6"/>
      <c r="Y135" s="6"/>
      <c r="Z135" s="6"/>
    </row>
    <row r="136" spans="1:26" ht="17.25" customHeight="1" thickBot="1" x14ac:dyDescent="0.3">
      <c r="A136" s="286"/>
      <c r="B136" s="247"/>
      <c r="C136" s="247">
        <v>15</v>
      </c>
      <c r="D136" s="248" t="s">
        <v>23</v>
      </c>
      <c r="E136" s="29" t="s">
        <v>22</v>
      </c>
      <c r="F136" s="15">
        <f>'9A Sem 2'!E47</f>
        <v>77</v>
      </c>
      <c r="G136" s="15">
        <f>'9A Sem 2'!F47</f>
        <v>55</v>
      </c>
      <c r="H136" s="15">
        <f>'9A Sem 2'!G47</f>
        <v>36</v>
      </c>
      <c r="I136" s="15">
        <f>'9A Sem 2'!H47</f>
        <v>33</v>
      </c>
      <c r="J136" s="15">
        <f>'9A Sem 2'!I47</f>
        <v>44</v>
      </c>
      <c r="K136" s="15">
        <f>'9A Sem 2'!J47</f>
        <v>45</v>
      </c>
      <c r="L136" s="15">
        <f>'9A Sem 2'!K47</f>
        <v>46</v>
      </c>
      <c r="M136" s="15">
        <f>'9A Sem 2'!L47</f>
        <v>44</v>
      </c>
      <c r="N136" s="15">
        <f>'9A Sem 2'!M47</f>
        <v>66</v>
      </c>
      <c r="O136" s="15">
        <f>'9A Sem 2'!N47</f>
        <v>72</v>
      </c>
      <c r="P136" s="15">
        <f>'9A Sem 2'!O47</f>
        <v>70</v>
      </c>
      <c r="Q136" s="15">
        <f>'9A Sem 2'!P47</f>
        <v>588</v>
      </c>
      <c r="R136" s="15">
        <f>'9A Sem 2'!Q47</f>
        <v>53.454545454545453</v>
      </c>
      <c r="S136" s="15">
        <f>'9A Sem 2'!R47</f>
        <v>46</v>
      </c>
      <c r="T136" s="15">
        <f>'9A Sem 2'!S47</f>
        <v>0</v>
      </c>
      <c r="U136" s="15">
        <f>'9A Sem 2'!T47</f>
        <v>0</v>
      </c>
      <c r="V136" s="6"/>
      <c r="W136" s="6"/>
      <c r="X136" s="6"/>
      <c r="Y136" s="6"/>
      <c r="Z136" s="6"/>
    </row>
    <row r="137" spans="1:26" ht="17.25" customHeight="1" thickBot="1" x14ac:dyDescent="0.3">
      <c r="A137" s="286"/>
      <c r="B137" s="250"/>
      <c r="C137" s="250">
        <v>15</v>
      </c>
      <c r="D137" s="251" t="s">
        <v>23</v>
      </c>
      <c r="E137" s="108" t="s">
        <v>16</v>
      </c>
      <c r="F137" s="15">
        <f>AVERAGE(F135:F136)</f>
        <v>70</v>
      </c>
      <c r="G137" s="15">
        <f t="shared" ref="G137:R137" si="43">AVERAGE(G135:G136)</f>
        <v>51.5</v>
      </c>
      <c r="H137" s="15">
        <f t="shared" si="43"/>
        <v>36.5</v>
      </c>
      <c r="I137" s="15">
        <f t="shared" si="43"/>
        <v>35.5</v>
      </c>
      <c r="J137" s="15">
        <f t="shared" si="43"/>
        <v>41.5</v>
      </c>
      <c r="K137" s="15">
        <f t="shared" si="43"/>
        <v>46.5</v>
      </c>
      <c r="L137" s="15">
        <f t="shared" si="43"/>
        <v>46</v>
      </c>
      <c r="M137" s="15">
        <f t="shared" si="43"/>
        <v>43</v>
      </c>
      <c r="N137" s="15">
        <f t="shared" si="43"/>
        <v>59.5</v>
      </c>
      <c r="O137" s="15">
        <f t="shared" si="43"/>
        <v>63</v>
      </c>
      <c r="P137" s="15">
        <f t="shared" si="43"/>
        <v>74</v>
      </c>
      <c r="Q137" s="15">
        <f t="shared" si="43"/>
        <v>567</v>
      </c>
      <c r="R137" s="15">
        <f t="shared" si="43"/>
        <v>51.545454545454547</v>
      </c>
      <c r="S137" s="15">
        <f>'9A Sem avr'!$H$47</f>
        <v>46</v>
      </c>
      <c r="T137" s="15">
        <f>AVERAGE(T135:T136)</f>
        <v>0</v>
      </c>
      <c r="U137" s="15">
        <f>AVERAGE(U135:U136)</f>
        <v>0</v>
      </c>
      <c r="V137" s="6"/>
      <c r="W137" s="6"/>
      <c r="X137" s="6"/>
      <c r="Y137" s="6"/>
      <c r="Z137" s="6"/>
    </row>
    <row r="138" spans="1:26" ht="17.25" customHeight="1" thickBot="1" x14ac:dyDescent="0.3">
      <c r="A138" s="286">
        <v>45</v>
      </c>
      <c r="B138" s="247"/>
      <c r="C138" s="247">
        <v>14</v>
      </c>
      <c r="D138" s="248" t="s">
        <v>20</v>
      </c>
      <c r="E138" s="29" t="s">
        <v>21</v>
      </c>
      <c r="F138" s="15">
        <f>'9A Sem 1'!E48</f>
        <v>81</v>
      </c>
      <c r="G138" s="15">
        <f>'9A Sem 1'!F48</f>
        <v>67</v>
      </c>
      <c r="H138" s="15">
        <f>'9A Sem 1'!G48</f>
        <v>61</v>
      </c>
      <c r="I138" s="15">
        <f>'9A Sem 1'!H48</f>
        <v>67</v>
      </c>
      <c r="J138" s="15">
        <f>'9A Sem 1'!I48</f>
        <v>61</v>
      </c>
      <c r="K138" s="15">
        <f>'9A Sem 1'!J48</f>
        <v>77</v>
      </c>
      <c r="L138" s="15">
        <f>'9A Sem 1'!K48</f>
        <v>81</v>
      </c>
      <c r="M138" s="15">
        <f>'9A Sem 1'!L48</f>
        <v>79</v>
      </c>
      <c r="N138" s="15">
        <f>'9A Sem 1'!M48</f>
        <v>80</v>
      </c>
      <c r="O138" s="15">
        <f>'9A Sem 1'!N48</f>
        <v>93</v>
      </c>
      <c r="P138" s="15">
        <f>'9A Sem 1'!O48</f>
        <v>100</v>
      </c>
      <c r="Q138" s="15">
        <f>'9A Sem 1'!P48</f>
        <v>847</v>
      </c>
      <c r="R138" s="15">
        <f>'9A Sem 1'!Q48</f>
        <v>77</v>
      </c>
      <c r="S138" s="15">
        <f>'9A Sem 1'!R48</f>
        <v>18</v>
      </c>
      <c r="T138" s="15">
        <f>'9A Sem 1'!S48</f>
        <v>0</v>
      </c>
      <c r="U138" s="15">
        <f>'9A Sem 1'!T48</f>
        <v>0</v>
      </c>
      <c r="V138" s="6"/>
      <c r="W138" s="6"/>
      <c r="X138" s="6"/>
      <c r="Y138" s="6"/>
      <c r="Z138" s="6"/>
    </row>
    <row r="139" spans="1:26" ht="18" customHeight="1" thickBot="1" x14ac:dyDescent="0.3">
      <c r="A139" s="286"/>
      <c r="B139" s="247"/>
      <c r="C139" s="247">
        <v>14</v>
      </c>
      <c r="D139" s="248" t="s">
        <v>20</v>
      </c>
      <c r="E139" s="29" t="s">
        <v>22</v>
      </c>
      <c r="F139" s="15">
        <f>'9A Sem 2'!E48</f>
        <v>85</v>
      </c>
      <c r="G139" s="15">
        <f>'9A Sem 2'!F48</f>
        <v>69</v>
      </c>
      <c r="H139" s="15">
        <f>'9A Sem 2'!G48</f>
        <v>81</v>
      </c>
      <c r="I139" s="15">
        <f>'9A Sem 2'!H48</f>
        <v>72</v>
      </c>
      <c r="J139" s="15">
        <f>'9A Sem 2'!I48</f>
        <v>75</v>
      </c>
      <c r="K139" s="15">
        <f>'9A Sem 2'!J48</f>
        <v>81</v>
      </c>
      <c r="L139" s="15">
        <f>'9A Sem 2'!K48</f>
        <v>84</v>
      </c>
      <c r="M139" s="15">
        <f>'9A Sem 2'!L48</f>
        <v>80</v>
      </c>
      <c r="N139" s="15">
        <f>'9A Sem 2'!M48</f>
        <v>87</v>
      </c>
      <c r="O139" s="15">
        <f>'9A Sem 2'!N48</f>
        <v>95</v>
      </c>
      <c r="P139" s="15">
        <f>'9A Sem 2'!O48</f>
        <v>100</v>
      </c>
      <c r="Q139" s="15">
        <f>'9A Sem 2'!P48</f>
        <v>909</v>
      </c>
      <c r="R139" s="15">
        <f>'9A Sem 2'!Q48</f>
        <v>82.63636363636364</v>
      </c>
      <c r="S139" s="15">
        <f>'9A Sem 2'!R48</f>
        <v>13</v>
      </c>
      <c r="T139" s="15">
        <f>'9A Sem 2'!S48</f>
        <v>0</v>
      </c>
      <c r="U139" s="15">
        <f>'9A Sem 2'!T48</f>
        <v>0</v>
      </c>
    </row>
    <row r="140" spans="1:26" ht="18" customHeight="1" thickBot="1" x14ac:dyDescent="0.3">
      <c r="A140" s="287"/>
      <c r="B140" s="250"/>
      <c r="C140" s="250">
        <v>14</v>
      </c>
      <c r="D140" s="251" t="s">
        <v>20</v>
      </c>
      <c r="E140" s="108" t="s">
        <v>16</v>
      </c>
      <c r="F140" s="15">
        <f>AVERAGE(F138:F139)</f>
        <v>83</v>
      </c>
      <c r="G140" s="15">
        <f t="shared" ref="G140:R140" si="44">AVERAGE(G138:G139)</f>
        <v>68</v>
      </c>
      <c r="H140" s="15">
        <f t="shared" si="44"/>
        <v>71</v>
      </c>
      <c r="I140" s="15">
        <f t="shared" si="44"/>
        <v>69.5</v>
      </c>
      <c r="J140" s="15">
        <f t="shared" si="44"/>
        <v>68</v>
      </c>
      <c r="K140" s="15">
        <f t="shared" si="44"/>
        <v>79</v>
      </c>
      <c r="L140" s="15">
        <f t="shared" si="44"/>
        <v>82.5</v>
      </c>
      <c r="M140" s="15">
        <f t="shared" si="44"/>
        <v>79.5</v>
      </c>
      <c r="N140" s="15">
        <f t="shared" si="44"/>
        <v>83.5</v>
      </c>
      <c r="O140" s="15">
        <f t="shared" si="44"/>
        <v>94</v>
      </c>
      <c r="P140" s="15">
        <f t="shared" si="44"/>
        <v>100</v>
      </c>
      <c r="Q140" s="15">
        <f t="shared" si="44"/>
        <v>878</v>
      </c>
      <c r="R140" s="15">
        <f t="shared" si="44"/>
        <v>79.818181818181813</v>
      </c>
      <c r="S140" s="15">
        <f>'9A Sem avr'!$H$48</f>
        <v>14</v>
      </c>
      <c r="T140" s="15">
        <f>AVERAGE(T138:T139)</f>
        <v>0</v>
      </c>
      <c r="U140" s="15">
        <f>AVERAGE(U138:U139)</f>
        <v>0</v>
      </c>
    </row>
    <row r="141" spans="1:26" ht="18" customHeight="1" thickBot="1" x14ac:dyDescent="0.3">
      <c r="A141" s="286">
        <v>46</v>
      </c>
      <c r="B141" s="247"/>
      <c r="C141" s="247">
        <v>14</v>
      </c>
      <c r="D141" s="248" t="s">
        <v>23</v>
      </c>
      <c r="E141" s="29" t="s">
        <v>21</v>
      </c>
      <c r="F141" s="15">
        <f>'9A Sem 1'!E49</f>
        <v>61</v>
      </c>
      <c r="G141" s="15">
        <f>'9A Sem 1'!F49</f>
        <v>47</v>
      </c>
      <c r="H141" s="15">
        <f>'9A Sem 1'!G49</f>
        <v>45</v>
      </c>
      <c r="I141" s="15">
        <f>'9A Sem 1'!H49</f>
        <v>52</v>
      </c>
      <c r="J141" s="15">
        <f>'9A Sem 1'!I49</f>
        <v>52</v>
      </c>
      <c r="K141" s="15">
        <f>'9A Sem 1'!J49</f>
        <v>45</v>
      </c>
      <c r="L141" s="15">
        <f>'9A Sem 1'!K49</f>
        <v>52</v>
      </c>
      <c r="M141" s="15">
        <f>'9A Sem 1'!L49</f>
        <v>51</v>
      </c>
      <c r="N141" s="15">
        <f>'9A Sem 1'!M49</f>
        <v>45</v>
      </c>
      <c r="O141" s="15">
        <f>'9A Sem 1'!N49</f>
        <v>85</v>
      </c>
      <c r="P141" s="15">
        <f>'9A Sem 1'!O49</f>
        <v>87</v>
      </c>
      <c r="Q141" s="15">
        <f>'9A Sem 1'!P49</f>
        <v>622</v>
      </c>
      <c r="R141" s="15">
        <f>'9A Sem 1'!Q49</f>
        <v>56.545454545454547</v>
      </c>
      <c r="S141" s="15">
        <f>'9A Sem 1'!R49</f>
        <v>46</v>
      </c>
      <c r="T141" s="15">
        <f>'9A Sem 1'!S49</f>
        <v>0</v>
      </c>
      <c r="U141" s="15">
        <f>'9A Sem 1'!T49</f>
        <v>0</v>
      </c>
    </row>
    <row r="142" spans="1:26" ht="18" customHeight="1" thickBot="1" x14ac:dyDescent="0.3">
      <c r="A142" s="286"/>
      <c r="B142" s="247"/>
      <c r="C142" s="247">
        <v>14</v>
      </c>
      <c r="D142" s="248" t="s">
        <v>23</v>
      </c>
      <c r="E142" s="29" t="s">
        <v>22</v>
      </c>
      <c r="F142" s="15">
        <f>'9A Sem 2'!E49</f>
        <v>68</v>
      </c>
      <c r="G142" s="15">
        <f>'9A Sem 2'!F49</f>
        <v>56</v>
      </c>
      <c r="H142" s="15">
        <f>'9A Sem 2'!G49</f>
        <v>41</v>
      </c>
      <c r="I142" s="15">
        <f>'9A Sem 2'!H49</f>
        <v>54</v>
      </c>
      <c r="J142" s="15">
        <f>'9A Sem 2'!I49</f>
        <v>40</v>
      </c>
      <c r="K142" s="15">
        <f>'9A Sem 2'!J49</f>
        <v>46</v>
      </c>
      <c r="L142" s="15">
        <f>'9A Sem 2'!K49</f>
        <v>60</v>
      </c>
      <c r="M142" s="15">
        <f>'9A Sem 2'!L49</f>
        <v>58</v>
      </c>
      <c r="N142" s="15">
        <f>'9A Sem 2'!M49</f>
        <v>52</v>
      </c>
      <c r="O142" s="15">
        <f>'9A Sem 2'!N49</f>
        <v>82</v>
      </c>
      <c r="P142" s="15">
        <f>'9A Sem 2'!O49</f>
        <v>88</v>
      </c>
      <c r="Q142" s="15">
        <f>'9A Sem 2'!P49</f>
        <v>645</v>
      </c>
      <c r="R142" s="15">
        <f>'9A Sem 2'!Q49</f>
        <v>58.636363636363633</v>
      </c>
      <c r="S142" s="15">
        <f>'9A Sem 2'!R49</f>
        <v>44</v>
      </c>
      <c r="T142" s="15">
        <f>'9A Sem 2'!S49</f>
        <v>0</v>
      </c>
      <c r="U142" s="15">
        <f>'9A Sem 2'!T49</f>
        <v>0</v>
      </c>
    </row>
    <row r="143" spans="1:26" ht="18" customHeight="1" thickBot="1" x14ac:dyDescent="0.3">
      <c r="A143" s="286"/>
      <c r="B143" s="250"/>
      <c r="C143" s="250">
        <v>14</v>
      </c>
      <c r="D143" s="251" t="s">
        <v>23</v>
      </c>
      <c r="E143" s="108" t="s">
        <v>16</v>
      </c>
      <c r="F143" s="15">
        <f>AVERAGE(F141:F142)</f>
        <v>64.5</v>
      </c>
      <c r="G143" s="15">
        <f t="shared" ref="G143:R143" si="45">AVERAGE(G141:G142)</f>
        <v>51.5</v>
      </c>
      <c r="H143" s="15">
        <f t="shared" si="45"/>
        <v>43</v>
      </c>
      <c r="I143" s="15">
        <f t="shared" si="45"/>
        <v>53</v>
      </c>
      <c r="J143" s="15">
        <f t="shared" si="45"/>
        <v>46</v>
      </c>
      <c r="K143" s="15">
        <f t="shared" si="45"/>
        <v>45.5</v>
      </c>
      <c r="L143" s="15">
        <f t="shared" si="45"/>
        <v>56</v>
      </c>
      <c r="M143" s="15">
        <f t="shared" si="45"/>
        <v>54.5</v>
      </c>
      <c r="N143" s="15">
        <f t="shared" si="45"/>
        <v>48.5</v>
      </c>
      <c r="O143" s="15">
        <f t="shared" si="45"/>
        <v>83.5</v>
      </c>
      <c r="P143" s="15">
        <f t="shared" si="45"/>
        <v>87.5</v>
      </c>
      <c r="Q143" s="15">
        <f t="shared" si="45"/>
        <v>633.5</v>
      </c>
      <c r="R143" s="15">
        <f t="shared" si="45"/>
        <v>57.590909090909093</v>
      </c>
      <c r="S143" s="15">
        <f>'9A Sem avr'!$H$49</f>
        <v>45</v>
      </c>
      <c r="T143" s="15">
        <f>AVERAGE(T141:T142)</f>
        <v>0</v>
      </c>
      <c r="U143" s="15">
        <f>AVERAGE(U141:U142)</f>
        <v>0</v>
      </c>
    </row>
    <row r="144" spans="1:26" ht="18" customHeight="1" thickBot="1" x14ac:dyDescent="0.3">
      <c r="A144" s="286">
        <v>47</v>
      </c>
      <c r="B144" s="247"/>
      <c r="C144" s="247">
        <v>14</v>
      </c>
      <c r="D144" s="248" t="s">
        <v>23</v>
      </c>
      <c r="E144" s="29" t="s">
        <v>21</v>
      </c>
      <c r="F144" s="15">
        <f>'9A Sem 1'!E50</f>
        <v>76</v>
      </c>
      <c r="G144" s="15">
        <f>'9A Sem 1'!F50</f>
        <v>74</v>
      </c>
      <c r="H144" s="15">
        <f>'9A Sem 1'!G50</f>
        <v>43</v>
      </c>
      <c r="I144" s="15">
        <f>'9A Sem 1'!H50</f>
        <v>55</v>
      </c>
      <c r="J144" s="15">
        <f>'9A Sem 1'!I50</f>
        <v>41</v>
      </c>
      <c r="K144" s="15">
        <f>'9A Sem 1'!J50</f>
        <v>52</v>
      </c>
      <c r="L144" s="15">
        <f>'9A Sem 1'!K50</f>
        <v>57</v>
      </c>
      <c r="M144" s="15">
        <f>'9A Sem 1'!L50</f>
        <v>67</v>
      </c>
      <c r="N144" s="15">
        <f>'9A Sem 1'!M50</f>
        <v>67</v>
      </c>
      <c r="O144" s="15">
        <f>'9A Sem 1'!N50</f>
        <v>72</v>
      </c>
      <c r="P144" s="15">
        <f>'9A Sem 1'!O50</f>
        <v>85</v>
      </c>
      <c r="Q144" s="15">
        <f>'9A Sem 1'!P50</f>
        <v>689</v>
      </c>
      <c r="R144" s="15">
        <f>'9A Sem 1'!Q50</f>
        <v>62.636363636363633</v>
      </c>
      <c r="S144" s="15">
        <f>'9A Sem 1'!R50</f>
        <v>36</v>
      </c>
      <c r="T144" s="15">
        <f>'9A Sem 1'!S50</f>
        <v>0</v>
      </c>
      <c r="U144" s="15">
        <f>'9A Sem 1'!T50</f>
        <v>0</v>
      </c>
    </row>
    <row r="145" spans="1:21" ht="18" customHeight="1" thickBot="1" x14ac:dyDescent="0.3">
      <c r="A145" s="286"/>
      <c r="B145" s="247"/>
      <c r="C145" s="247">
        <v>14</v>
      </c>
      <c r="D145" s="248" t="s">
        <v>23</v>
      </c>
      <c r="E145" s="29" t="s">
        <v>22</v>
      </c>
      <c r="F145" s="15">
        <f>'9A Sem 2'!E50</f>
        <v>80</v>
      </c>
      <c r="G145" s="15">
        <f>'9A Sem 2'!F50</f>
        <v>68</v>
      </c>
      <c r="H145" s="15">
        <f>'9A Sem 2'!G50</f>
        <v>41</v>
      </c>
      <c r="I145" s="15">
        <f>'9A Sem 2'!H50</f>
        <v>43</v>
      </c>
      <c r="J145" s="15">
        <f>'9A Sem 2'!I50</f>
        <v>46</v>
      </c>
      <c r="K145" s="15">
        <f>'9A Sem 2'!J50</f>
        <v>58</v>
      </c>
      <c r="L145" s="15">
        <f>'9A Sem 2'!K50</f>
        <v>66</v>
      </c>
      <c r="M145" s="15">
        <f>'9A Sem 2'!L50</f>
        <v>71</v>
      </c>
      <c r="N145" s="15">
        <f>'9A Sem 2'!M50</f>
        <v>80</v>
      </c>
      <c r="O145" s="15">
        <f>'9A Sem 2'!N50</f>
        <v>81</v>
      </c>
      <c r="P145" s="15">
        <f>'9A Sem 2'!O50</f>
        <v>85</v>
      </c>
      <c r="Q145" s="15">
        <f>'9A Sem 2'!P50</f>
        <v>719</v>
      </c>
      <c r="R145" s="15">
        <f>'9A Sem 2'!Q50</f>
        <v>65.36363636363636</v>
      </c>
      <c r="S145" s="15">
        <f>'9A Sem 2'!R50</f>
        <v>37</v>
      </c>
      <c r="T145" s="15">
        <f>'9A Sem 2'!S50</f>
        <v>0</v>
      </c>
      <c r="U145" s="15">
        <f>'9A Sem 2'!T50</f>
        <v>0</v>
      </c>
    </row>
    <row r="146" spans="1:21" ht="18" customHeight="1" thickBot="1" x14ac:dyDescent="0.3">
      <c r="A146" s="287"/>
      <c r="B146" s="250"/>
      <c r="C146" s="250">
        <v>14</v>
      </c>
      <c r="D146" s="251" t="s">
        <v>23</v>
      </c>
      <c r="E146" s="108" t="s">
        <v>16</v>
      </c>
      <c r="F146" s="15">
        <f>AVERAGE(F144:F145)</f>
        <v>78</v>
      </c>
      <c r="G146" s="15">
        <f t="shared" ref="G146:R146" si="46">AVERAGE(G144:G145)</f>
        <v>71</v>
      </c>
      <c r="H146" s="15">
        <f t="shared" si="46"/>
        <v>42</v>
      </c>
      <c r="I146" s="15">
        <f t="shared" si="46"/>
        <v>49</v>
      </c>
      <c r="J146" s="15">
        <f t="shared" si="46"/>
        <v>43.5</v>
      </c>
      <c r="K146" s="15">
        <f t="shared" si="46"/>
        <v>55</v>
      </c>
      <c r="L146" s="15">
        <f t="shared" si="46"/>
        <v>61.5</v>
      </c>
      <c r="M146" s="15">
        <f t="shared" si="46"/>
        <v>69</v>
      </c>
      <c r="N146" s="15">
        <f t="shared" si="46"/>
        <v>73.5</v>
      </c>
      <c r="O146" s="15">
        <f t="shared" si="46"/>
        <v>76.5</v>
      </c>
      <c r="P146" s="15">
        <f t="shared" si="46"/>
        <v>85</v>
      </c>
      <c r="Q146" s="15">
        <f t="shared" si="46"/>
        <v>704</v>
      </c>
      <c r="R146" s="15">
        <f t="shared" si="46"/>
        <v>64</v>
      </c>
      <c r="S146" s="15">
        <f>'9A Sem avr'!$H$50</f>
        <v>36</v>
      </c>
      <c r="T146" s="15">
        <f>AVERAGE(T144:T145)</f>
        <v>0</v>
      </c>
      <c r="U146" s="15">
        <f>AVERAGE(U144:U145)</f>
        <v>0</v>
      </c>
    </row>
    <row r="147" spans="1:21" ht="18" customHeight="1" thickBot="1" x14ac:dyDescent="0.3">
      <c r="A147" s="286">
        <v>48</v>
      </c>
      <c r="B147" s="247"/>
      <c r="C147" s="247">
        <v>14</v>
      </c>
      <c r="D147" s="248" t="s">
        <v>23</v>
      </c>
      <c r="E147" s="29" t="s">
        <v>21</v>
      </c>
      <c r="F147" s="15">
        <f>'9A Sem 1'!E51</f>
        <v>81</v>
      </c>
      <c r="G147" s="15">
        <f>'9A Sem 1'!F51</f>
        <v>63</v>
      </c>
      <c r="H147" s="15">
        <f>'9A Sem 1'!G51</f>
        <v>52</v>
      </c>
      <c r="I147" s="15">
        <f>'9A Sem 1'!H51</f>
        <v>60</v>
      </c>
      <c r="J147" s="15">
        <f>'9A Sem 1'!I51</f>
        <v>53</v>
      </c>
      <c r="K147" s="15">
        <f>'9A Sem 1'!J51</f>
        <v>54</v>
      </c>
      <c r="L147" s="15">
        <f>'9A Sem 1'!K51</f>
        <v>58</v>
      </c>
      <c r="M147" s="15">
        <f>'9A Sem 1'!L51</f>
        <v>72</v>
      </c>
      <c r="N147" s="15">
        <f>'9A Sem 1'!M51</f>
        <v>76</v>
      </c>
      <c r="O147" s="15">
        <f>'9A Sem 1'!N51</f>
        <v>69</v>
      </c>
      <c r="P147" s="15">
        <f>'9A Sem 1'!O51</f>
        <v>90</v>
      </c>
      <c r="Q147" s="15">
        <f>'9A Sem 1'!P51</f>
        <v>728</v>
      </c>
      <c r="R147" s="15">
        <f>'9A Sem 1'!Q51</f>
        <v>66.181818181818187</v>
      </c>
      <c r="S147" s="15">
        <f>'9A Sem 1'!R51</f>
        <v>33</v>
      </c>
      <c r="T147" s="15">
        <f>'9A Sem 1'!S51</f>
        <v>0</v>
      </c>
      <c r="U147" s="15">
        <f>'9A Sem 1'!T51</f>
        <v>0</v>
      </c>
    </row>
    <row r="148" spans="1:21" ht="18" customHeight="1" thickBot="1" x14ac:dyDescent="0.3">
      <c r="A148" s="286"/>
      <c r="B148" s="247"/>
      <c r="C148" s="247">
        <v>14</v>
      </c>
      <c r="D148" s="248" t="s">
        <v>23</v>
      </c>
      <c r="E148" s="29" t="s">
        <v>22</v>
      </c>
      <c r="F148" s="15">
        <f>'9A Sem 2'!E51</f>
        <v>82</v>
      </c>
      <c r="G148" s="15">
        <f>'9A Sem 2'!F51</f>
        <v>71</v>
      </c>
      <c r="H148" s="15">
        <f>'9A Sem 2'!G51</f>
        <v>53</v>
      </c>
      <c r="I148" s="15">
        <f>'9A Sem 2'!H51</f>
        <v>63</v>
      </c>
      <c r="J148" s="15">
        <f>'9A Sem 2'!I51</f>
        <v>43</v>
      </c>
      <c r="K148" s="15">
        <f>'9A Sem 2'!J51</f>
        <v>60</v>
      </c>
      <c r="L148" s="15">
        <f>'9A Sem 2'!K51</f>
        <v>63</v>
      </c>
      <c r="M148" s="15">
        <f>'9A Sem 2'!L51</f>
        <v>59</v>
      </c>
      <c r="N148" s="15">
        <f>'9A Sem 2'!M51</f>
        <v>64</v>
      </c>
      <c r="O148" s="15">
        <f>'9A Sem 2'!N51</f>
        <v>84</v>
      </c>
      <c r="P148" s="15">
        <f>'9A Sem 2'!O51</f>
        <v>94</v>
      </c>
      <c r="Q148" s="15">
        <f>'9A Sem 2'!P51</f>
        <v>736</v>
      </c>
      <c r="R148" s="15">
        <f>'9A Sem 2'!Q51</f>
        <v>66.909090909090907</v>
      </c>
      <c r="S148" s="15">
        <f>'9A Sem 2'!R51</f>
        <v>35</v>
      </c>
      <c r="T148" s="15">
        <f>'9A Sem 2'!S51</f>
        <v>0</v>
      </c>
      <c r="U148" s="15">
        <f>'9A Sem 2'!T51</f>
        <v>0</v>
      </c>
    </row>
    <row r="149" spans="1:21" ht="18" customHeight="1" thickBot="1" x14ac:dyDescent="0.3">
      <c r="A149" s="286"/>
      <c r="B149" s="250"/>
      <c r="C149" s="250">
        <v>14</v>
      </c>
      <c r="D149" s="251" t="s">
        <v>23</v>
      </c>
      <c r="E149" s="108" t="s">
        <v>16</v>
      </c>
      <c r="F149" s="15">
        <v>81.5</v>
      </c>
      <c r="G149" s="15">
        <f>AVERAGE(G146:G147)</f>
        <v>67</v>
      </c>
      <c r="H149" s="15">
        <f t="shared" ref="H149:R149" si="47">AVERAGE(H147:H148)</f>
        <v>52.5</v>
      </c>
      <c r="I149" s="15">
        <f t="shared" si="47"/>
        <v>61.5</v>
      </c>
      <c r="J149" s="15">
        <f t="shared" si="47"/>
        <v>48</v>
      </c>
      <c r="K149" s="15">
        <f t="shared" si="47"/>
        <v>57</v>
      </c>
      <c r="L149" s="15">
        <f t="shared" si="47"/>
        <v>60.5</v>
      </c>
      <c r="M149" s="15">
        <f t="shared" si="47"/>
        <v>65.5</v>
      </c>
      <c r="N149" s="15">
        <f t="shared" si="47"/>
        <v>70</v>
      </c>
      <c r="O149" s="15">
        <f t="shared" si="47"/>
        <v>76.5</v>
      </c>
      <c r="P149" s="15">
        <f t="shared" si="47"/>
        <v>92</v>
      </c>
      <c r="Q149" s="15">
        <f t="shared" si="47"/>
        <v>732</v>
      </c>
      <c r="R149" s="15">
        <f t="shared" si="47"/>
        <v>66.545454545454547</v>
      </c>
      <c r="S149" s="15">
        <f>'9A Sem avr'!$H$51</f>
        <v>33</v>
      </c>
      <c r="T149" s="15">
        <f>AVERAGE(T147:T148)</f>
        <v>0</v>
      </c>
      <c r="U149" s="15">
        <f>AVERAGE(U147:U148)</f>
        <v>0</v>
      </c>
    </row>
    <row r="150" spans="1:21" ht="18" customHeight="1" thickBot="1" x14ac:dyDescent="0.3">
      <c r="A150" s="286">
        <v>49</v>
      </c>
      <c r="B150" s="247"/>
      <c r="C150" s="247">
        <v>14</v>
      </c>
      <c r="D150" s="248" t="s">
        <v>20</v>
      </c>
      <c r="E150" s="29" t="s">
        <v>21</v>
      </c>
      <c r="F150" s="15">
        <f>'9A Sem 1'!E52</f>
        <v>74</v>
      </c>
      <c r="G150" s="15">
        <f>'9A Sem 1'!F52</f>
        <v>76</v>
      </c>
      <c r="H150" s="15">
        <f>'9A Sem 1'!G52</f>
        <v>61</v>
      </c>
      <c r="I150" s="15">
        <f>'9A Sem 1'!H52</f>
        <v>68</v>
      </c>
      <c r="J150" s="15">
        <f>'9A Sem 1'!I52</f>
        <v>50</v>
      </c>
      <c r="K150" s="15">
        <f>'9A Sem 1'!J52</f>
        <v>56</v>
      </c>
      <c r="L150" s="15">
        <f>'9A Sem 1'!K52</f>
        <v>62</v>
      </c>
      <c r="M150" s="15">
        <f>'9A Sem 1'!L52</f>
        <v>61</v>
      </c>
      <c r="N150" s="15">
        <f>'9A Sem 1'!M52</f>
        <v>76</v>
      </c>
      <c r="O150" s="15">
        <f>'9A Sem 1'!N52</f>
        <v>82</v>
      </c>
      <c r="P150" s="15">
        <f>'9A Sem 1'!O52</f>
        <v>83</v>
      </c>
      <c r="Q150" s="15">
        <f>'9A Sem 1'!P52</f>
        <v>749</v>
      </c>
      <c r="R150" s="15">
        <f>'9A Sem 1'!Q52</f>
        <v>68.090909090909093</v>
      </c>
      <c r="S150" s="15">
        <f>'9A Sem 1'!R52</f>
        <v>32</v>
      </c>
      <c r="T150" s="15">
        <f>'9A Sem 1'!S52</f>
        <v>0</v>
      </c>
      <c r="U150" s="15">
        <f>'9A Sem 1'!T52</f>
        <v>0</v>
      </c>
    </row>
    <row r="151" spans="1:21" ht="18" customHeight="1" thickBot="1" x14ac:dyDescent="0.3">
      <c r="A151" s="286"/>
      <c r="B151" s="247"/>
      <c r="C151" s="247">
        <v>14</v>
      </c>
      <c r="D151" s="248" t="s">
        <v>20</v>
      </c>
      <c r="E151" s="29" t="s">
        <v>22</v>
      </c>
      <c r="F151" s="15">
        <f>'9A Sem 2'!E52</f>
        <v>67</v>
      </c>
      <c r="G151" s="15">
        <f>'9A Sem 2'!F52</f>
        <v>86</v>
      </c>
      <c r="H151" s="15">
        <f>'9A Sem 2'!G52</f>
        <v>55</v>
      </c>
      <c r="I151" s="15">
        <f>'9A Sem 2'!H52</f>
        <v>59</v>
      </c>
      <c r="J151" s="15">
        <f>'9A Sem 2'!I52</f>
        <v>64</v>
      </c>
      <c r="K151" s="15">
        <f>'9A Sem 2'!J52</f>
        <v>51</v>
      </c>
      <c r="L151" s="15">
        <f>'9A Sem 2'!K52</f>
        <v>61</v>
      </c>
      <c r="M151" s="15">
        <f>'9A Sem 2'!L52</f>
        <v>69</v>
      </c>
      <c r="N151" s="15">
        <f>'9A Sem 2'!M52</f>
        <v>78</v>
      </c>
      <c r="O151" s="15">
        <f>'9A Sem 2'!N52</f>
        <v>93</v>
      </c>
      <c r="P151" s="15">
        <f>'9A Sem 2'!O52</f>
        <v>84</v>
      </c>
      <c r="Q151" s="15">
        <f>'9A Sem 2'!P52</f>
        <v>767</v>
      </c>
      <c r="R151" s="15">
        <f>'9A Sem 2'!Q52</f>
        <v>69.727272727272734</v>
      </c>
      <c r="S151" s="15">
        <f>'9A Sem 2'!R52</f>
        <v>31</v>
      </c>
      <c r="T151" s="15">
        <f>'9A Sem 2'!S52</f>
        <v>0</v>
      </c>
      <c r="U151" s="15">
        <f>'9A Sem 2'!T52</f>
        <v>0</v>
      </c>
    </row>
    <row r="152" spans="1:21" ht="18" customHeight="1" thickBot="1" x14ac:dyDescent="0.3">
      <c r="A152" s="287"/>
      <c r="B152" s="250"/>
      <c r="C152" s="250">
        <v>14</v>
      </c>
      <c r="D152" s="251" t="s">
        <v>20</v>
      </c>
      <c r="E152" s="108" t="s">
        <v>16</v>
      </c>
      <c r="F152" s="15">
        <f>AVERAGE(F150:F151)</f>
        <v>70.5</v>
      </c>
      <c r="G152" s="15">
        <f t="shared" ref="G152:R152" si="48">AVERAGE(G150:G151)</f>
        <v>81</v>
      </c>
      <c r="H152" s="15">
        <f t="shared" si="48"/>
        <v>58</v>
      </c>
      <c r="I152" s="15">
        <f t="shared" si="48"/>
        <v>63.5</v>
      </c>
      <c r="J152" s="15">
        <f t="shared" si="48"/>
        <v>57</v>
      </c>
      <c r="K152" s="15">
        <f t="shared" si="48"/>
        <v>53.5</v>
      </c>
      <c r="L152" s="15">
        <f t="shared" si="48"/>
        <v>61.5</v>
      </c>
      <c r="M152" s="15">
        <f t="shared" si="48"/>
        <v>65</v>
      </c>
      <c r="N152" s="15">
        <f t="shared" si="48"/>
        <v>77</v>
      </c>
      <c r="O152" s="15">
        <f t="shared" si="48"/>
        <v>87.5</v>
      </c>
      <c r="P152" s="15">
        <f t="shared" si="48"/>
        <v>83.5</v>
      </c>
      <c r="Q152" s="15">
        <f t="shared" si="48"/>
        <v>758</v>
      </c>
      <c r="R152" s="15">
        <f t="shared" si="48"/>
        <v>68.909090909090907</v>
      </c>
      <c r="S152" s="15">
        <f>'9A Sem avr'!$H$52</f>
        <v>30</v>
      </c>
      <c r="T152" s="15">
        <f>AVERAGE(T150:T151)</f>
        <v>0</v>
      </c>
      <c r="U152" s="15">
        <f>AVERAGE(U150:U151)</f>
        <v>0</v>
      </c>
    </row>
    <row r="153" spans="1:21" ht="18" customHeight="1" thickBot="1" x14ac:dyDescent="0.3">
      <c r="A153" s="286">
        <v>50</v>
      </c>
      <c r="B153" s="247"/>
      <c r="C153" s="247">
        <v>15</v>
      </c>
      <c r="D153" s="248" t="s">
        <v>23</v>
      </c>
      <c r="E153" s="29" t="s">
        <v>21</v>
      </c>
      <c r="F153" s="15">
        <f>'9A Sem 1'!E53</f>
        <v>85</v>
      </c>
      <c r="G153" s="15">
        <f>'9A Sem 1'!F53</f>
        <v>58</v>
      </c>
      <c r="H153" s="15">
        <f>'9A Sem 1'!G53</f>
        <v>68</v>
      </c>
      <c r="I153" s="15">
        <f>'9A Sem 1'!H53</f>
        <v>71</v>
      </c>
      <c r="J153" s="15">
        <f>'9A Sem 1'!I53</f>
        <v>62</v>
      </c>
      <c r="K153" s="15">
        <f>'9A Sem 1'!J53</f>
        <v>60</v>
      </c>
      <c r="L153" s="15">
        <f>'9A Sem 1'!K53</f>
        <v>83</v>
      </c>
      <c r="M153" s="15">
        <f>'9A Sem 1'!L53</f>
        <v>85</v>
      </c>
      <c r="N153" s="15">
        <f>'9A Sem 1'!M53</f>
        <v>66</v>
      </c>
      <c r="O153" s="15">
        <f>'9A Sem 1'!N53</f>
        <v>94</v>
      </c>
      <c r="P153" s="15">
        <f>'9A Sem 1'!O53</f>
        <v>95</v>
      </c>
      <c r="Q153" s="15">
        <f>'9A Sem 1'!P53</f>
        <v>827</v>
      </c>
      <c r="R153" s="15">
        <f>'9A Sem 1'!Q53</f>
        <v>75.181818181818187</v>
      </c>
      <c r="S153" s="15">
        <f>'9A Sem 1'!R53</f>
        <v>24</v>
      </c>
      <c r="T153" s="15">
        <f>'9A Sem 1'!S53</f>
        <v>0</v>
      </c>
      <c r="U153" s="15">
        <f>'9A Sem 1'!T53</f>
        <v>0</v>
      </c>
    </row>
    <row r="154" spans="1:21" ht="18" customHeight="1" thickBot="1" x14ac:dyDescent="0.3">
      <c r="A154" s="286"/>
      <c r="B154" s="247"/>
      <c r="C154" s="247">
        <v>15</v>
      </c>
      <c r="D154" s="248" t="s">
        <v>23</v>
      </c>
      <c r="E154" s="29" t="s">
        <v>22</v>
      </c>
      <c r="F154" s="15">
        <f>'9A Sem 2'!E53</f>
        <v>83</v>
      </c>
      <c r="G154" s="15">
        <f>'9A Sem 2'!F53</f>
        <v>64</v>
      </c>
      <c r="H154" s="15">
        <f>'9A Sem 2'!G53</f>
        <v>67</v>
      </c>
      <c r="I154" s="15">
        <f>'9A Sem 2'!H53</f>
        <v>67</v>
      </c>
      <c r="J154" s="15">
        <f>'9A Sem 2'!I53</f>
        <v>58</v>
      </c>
      <c r="K154" s="15">
        <f>'9A Sem 2'!J53</f>
        <v>74</v>
      </c>
      <c r="L154" s="15">
        <f>'9A Sem 2'!K53</f>
        <v>82</v>
      </c>
      <c r="M154" s="15">
        <f>'9A Sem 2'!L53</f>
        <v>86</v>
      </c>
      <c r="N154" s="15">
        <f>'9A Sem 2'!M53</f>
        <v>75</v>
      </c>
      <c r="O154" s="15">
        <f>'9A Sem 2'!N53</f>
        <v>88</v>
      </c>
      <c r="P154" s="15">
        <f>'9A Sem 2'!O53</f>
        <v>94</v>
      </c>
      <c r="Q154" s="15">
        <f>'9A Sem 2'!P53</f>
        <v>838</v>
      </c>
      <c r="R154" s="15">
        <f>'9A Sem 2'!Q53</f>
        <v>76.181818181818187</v>
      </c>
      <c r="S154" s="15">
        <f>'9A Sem 2'!R53</f>
        <v>23</v>
      </c>
      <c r="T154" s="15">
        <f>'9A Sem 2'!S53</f>
        <v>0</v>
      </c>
      <c r="U154" s="15">
        <f>'9A Sem 2'!T53</f>
        <v>0</v>
      </c>
    </row>
    <row r="155" spans="1:21" ht="18" customHeight="1" thickBot="1" x14ac:dyDescent="0.3">
      <c r="A155" s="286"/>
      <c r="B155" s="250"/>
      <c r="C155" s="250">
        <v>15</v>
      </c>
      <c r="D155" s="251" t="s">
        <v>23</v>
      </c>
      <c r="E155" s="108" t="s">
        <v>16</v>
      </c>
      <c r="F155" s="15">
        <f>AVERAGE(F153:F154)</f>
        <v>84</v>
      </c>
      <c r="G155" s="15">
        <f t="shared" ref="G155:R155" si="49">AVERAGE(G153:G154)</f>
        <v>61</v>
      </c>
      <c r="H155" s="15">
        <f t="shared" si="49"/>
        <v>67.5</v>
      </c>
      <c r="I155" s="15">
        <f t="shared" si="49"/>
        <v>69</v>
      </c>
      <c r="J155" s="15">
        <f t="shared" si="49"/>
        <v>60</v>
      </c>
      <c r="K155" s="15">
        <f t="shared" si="49"/>
        <v>67</v>
      </c>
      <c r="L155" s="15">
        <f t="shared" si="49"/>
        <v>82.5</v>
      </c>
      <c r="M155" s="15">
        <f t="shared" si="49"/>
        <v>85.5</v>
      </c>
      <c r="N155" s="15">
        <f t="shared" si="49"/>
        <v>70.5</v>
      </c>
      <c r="O155" s="15">
        <f t="shared" si="49"/>
        <v>91</v>
      </c>
      <c r="P155" s="15">
        <f t="shared" si="49"/>
        <v>94.5</v>
      </c>
      <c r="Q155" s="15">
        <f t="shared" si="49"/>
        <v>832.5</v>
      </c>
      <c r="R155" s="15">
        <f t="shared" si="49"/>
        <v>75.681818181818187</v>
      </c>
      <c r="S155" s="15">
        <f>'9A Sem avr'!$H$53</f>
        <v>23</v>
      </c>
      <c r="T155" s="15">
        <f>AVERAGE(T153:T154)</f>
        <v>0</v>
      </c>
      <c r="U155" s="15">
        <f>AVERAGE(U153:U154)</f>
        <v>0</v>
      </c>
    </row>
    <row r="156" spans="1:21" ht="18" customHeight="1" thickBot="1" x14ac:dyDescent="0.3">
      <c r="A156" s="286">
        <v>51</v>
      </c>
      <c r="B156" s="247"/>
      <c r="C156" s="247">
        <v>16</v>
      </c>
      <c r="D156" s="248" t="s">
        <v>23</v>
      </c>
      <c r="E156" s="29" t="s">
        <v>21</v>
      </c>
      <c r="F156" s="15">
        <f>'9A Sem 1'!E54</f>
        <v>87</v>
      </c>
      <c r="G156" s="15">
        <f>'9A Sem 1'!F54</f>
        <v>72</v>
      </c>
      <c r="H156" s="15">
        <f>'9A Sem 1'!G54</f>
        <v>74</v>
      </c>
      <c r="I156" s="15">
        <f>'9A Sem 1'!H54</f>
        <v>71</v>
      </c>
      <c r="J156" s="15">
        <f>'9A Sem 1'!I54</f>
        <v>80</v>
      </c>
      <c r="K156" s="15">
        <f>'9A Sem 1'!J54</f>
        <v>72</v>
      </c>
      <c r="L156" s="15">
        <f>'9A Sem 1'!K54</f>
        <v>72</v>
      </c>
      <c r="M156" s="15">
        <f>'9A Sem 1'!L54</f>
        <v>82</v>
      </c>
      <c r="N156" s="15">
        <f>'9A Sem 1'!M54</f>
        <v>85</v>
      </c>
      <c r="O156" s="15">
        <f>'9A Sem 1'!N54</f>
        <v>89</v>
      </c>
      <c r="P156" s="15">
        <f>'9A Sem 1'!O54</f>
        <v>99</v>
      </c>
      <c r="Q156" s="15">
        <f>'9A Sem 1'!P54</f>
        <v>883</v>
      </c>
      <c r="R156" s="15">
        <f>'9A Sem 1'!Q54</f>
        <v>80.272727272727266</v>
      </c>
      <c r="S156" s="15">
        <f>'9A Sem 1'!R54</f>
        <v>13</v>
      </c>
      <c r="T156" s="15">
        <f>'9A Sem 1'!S54</f>
        <v>0</v>
      </c>
      <c r="U156" s="15">
        <f>'9A Sem 1'!T54</f>
        <v>0</v>
      </c>
    </row>
    <row r="157" spans="1:21" ht="18" customHeight="1" thickBot="1" x14ac:dyDescent="0.3">
      <c r="A157" s="286"/>
      <c r="B157" s="247"/>
      <c r="C157" s="247">
        <v>16</v>
      </c>
      <c r="D157" s="248" t="s">
        <v>23</v>
      </c>
      <c r="E157" s="29" t="s">
        <v>22</v>
      </c>
      <c r="F157" s="15">
        <f>'9A Sem 2'!E54</f>
        <v>84</v>
      </c>
      <c r="G157" s="15">
        <f>'9A Sem 2'!F54</f>
        <v>78</v>
      </c>
      <c r="H157" s="15">
        <f>'9A Sem 2'!G54</f>
        <v>75</v>
      </c>
      <c r="I157" s="15">
        <f>'9A Sem 2'!H54</f>
        <v>68</v>
      </c>
      <c r="J157" s="15">
        <f>'9A Sem 2'!I54</f>
        <v>64</v>
      </c>
      <c r="K157" s="15">
        <f>'9A Sem 2'!J54</f>
        <v>72</v>
      </c>
      <c r="L157" s="15">
        <f>'9A Sem 2'!K54</f>
        <v>69</v>
      </c>
      <c r="M157" s="15">
        <f>'9A Sem 2'!L54</f>
        <v>71</v>
      </c>
      <c r="N157" s="15">
        <f>'9A Sem 2'!M54</f>
        <v>87</v>
      </c>
      <c r="O157" s="15">
        <f>'9A Sem 2'!N54</f>
        <v>100</v>
      </c>
      <c r="P157" s="15">
        <f>'9A Sem 2'!O54</f>
        <v>92</v>
      </c>
      <c r="Q157" s="15">
        <f>'9A Sem 2'!P54</f>
        <v>860</v>
      </c>
      <c r="R157" s="15">
        <f>'9A Sem 2'!Q54</f>
        <v>78.181818181818187</v>
      </c>
      <c r="S157" s="15">
        <f>'9A Sem 2'!R54</f>
        <v>21</v>
      </c>
      <c r="T157" s="15">
        <f>'9A Sem 2'!S54</f>
        <v>0</v>
      </c>
      <c r="U157" s="15">
        <f>'9A Sem 2'!T54</f>
        <v>0</v>
      </c>
    </row>
    <row r="158" spans="1:21" ht="18" customHeight="1" thickBot="1" x14ac:dyDescent="0.3">
      <c r="A158" s="287"/>
      <c r="B158" s="250"/>
      <c r="C158" s="250">
        <v>16</v>
      </c>
      <c r="D158" s="251" t="s">
        <v>23</v>
      </c>
      <c r="E158" s="108" t="s">
        <v>16</v>
      </c>
      <c r="F158" s="15">
        <f>AVERAGE(F156:F157)</f>
        <v>85.5</v>
      </c>
      <c r="G158" s="15">
        <f t="shared" ref="G158:R158" si="50">AVERAGE(G156:G157)</f>
        <v>75</v>
      </c>
      <c r="H158" s="15">
        <f t="shared" si="50"/>
        <v>74.5</v>
      </c>
      <c r="I158" s="15">
        <f t="shared" si="50"/>
        <v>69.5</v>
      </c>
      <c r="J158" s="15">
        <f t="shared" si="50"/>
        <v>72</v>
      </c>
      <c r="K158" s="15">
        <f t="shared" si="50"/>
        <v>72</v>
      </c>
      <c r="L158" s="15">
        <f t="shared" si="50"/>
        <v>70.5</v>
      </c>
      <c r="M158" s="15">
        <f t="shared" si="50"/>
        <v>76.5</v>
      </c>
      <c r="N158" s="15">
        <f t="shared" si="50"/>
        <v>86</v>
      </c>
      <c r="O158" s="15">
        <f t="shared" si="50"/>
        <v>94.5</v>
      </c>
      <c r="P158" s="15">
        <f t="shared" si="50"/>
        <v>95.5</v>
      </c>
      <c r="Q158" s="15">
        <f t="shared" si="50"/>
        <v>871.5</v>
      </c>
      <c r="R158" s="15">
        <f t="shared" si="50"/>
        <v>79.22727272727272</v>
      </c>
      <c r="S158" s="15">
        <f>'9A Sem avr'!$H$54</f>
        <v>17</v>
      </c>
      <c r="T158" s="15">
        <f>AVERAGE(T156:T157)</f>
        <v>0</v>
      </c>
      <c r="U158" s="15">
        <f>AVERAGE(U156:U157)</f>
        <v>0</v>
      </c>
    </row>
    <row r="159" spans="1:21" ht="18" customHeight="1" thickBot="1" x14ac:dyDescent="0.3">
      <c r="A159" s="286">
        <v>52</v>
      </c>
      <c r="B159" s="247"/>
      <c r="C159" s="247">
        <v>15</v>
      </c>
      <c r="D159" s="248" t="s">
        <v>20</v>
      </c>
      <c r="E159" s="29" t="s">
        <v>21</v>
      </c>
      <c r="F159" s="15">
        <f>'9A Sem 1'!E55</f>
        <v>72</v>
      </c>
      <c r="G159" s="15">
        <f>'9A Sem 1'!F55</f>
        <v>51</v>
      </c>
      <c r="H159" s="15">
        <f>'9A Sem 1'!G55</f>
        <v>50</v>
      </c>
      <c r="I159" s="15">
        <f>'9A Sem 1'!H55</f>
        <v>51</v>
      </c>
      <c r="J159" s="15">
        <f>'9A Sem 1'!I55</f>
        <v>53</v>
      </c>
      <c r="K159" s="15">
        <f>'9A Sem 1'!J55</f>
        <v>56</v>
      </c>
      <c r="L159" s="15">
        <f>'9A Sem 1'!K55</f>
        <v>47</v>
      </c>
      <c r="M159" s="15">
        <f>'9A Sem 1'!L55</f>
        <v>55</v>
      </c>
      <c r="N159" s="15">
        <f>'9A Sem 1'!M55</f>
        <v>63</v>
      </c>
      <c r="O159" s="15">
        <f>'9A Sem 1'!N55</f>
        <v>78</v>
      </c>
      <c r="P159" s="15">
        <f>'9A Sem 1'!O55</f>
        <v>80</v>
      </c>
      <c r="Q159" s="15">
        <f>'9A Sem 1'!P55</f>
        <v>656</v>
      </c>
      <c r="R159" s="15">
        <f>'9A Sem 1'!Q55</f>
        <v>59.636363636363633</v>
      </c>
      <c r="S159" s="15">
        <f>'9A Sem 1'!R55</f>
        <v>42</v>
      </c>
      <c r="T159" s="15">
        <f>'9A Sem 1'!S55</f>
        <v>0</v>
      </c>
      <c r="U159" s="15">
        <f>'9A Sem 1'!T55</f>
        <v>0</v>
      </c>
    </row>
    <row r="160" spans="1:21" ht="18" customHeight="1" thickBot="1" x14ac:dyDescent="0.3">
      <c r="A160" s="286"/>
      <c r="B160" s="247"/>
      <c r="C160" s="247">
        <v>15</v>
      </c>
      <c r="D160" s="248" t="s">
        <v>20</v>
      </c>
      <c r="E160" s="29" t="s">
        <v>22</v>
      </c>
      <c r="F160" s="15">
        <f>'9A Sem 2'!E55</f>
        <v>75</v>
      </c>
      <c r="G160" s="15">
        <f>'9A Sem 2'!F55</f>
        <v>61</v>
      </c>
      <c r="H160" s="15">
        <f>'9A Sem 2'!G55</f>
        <v>53</v>
      </c>
      <c r="I160" s="15">
        <f>'9A Sem 2'!H55</f>
        <v>52</v>
      </c>
      <c r="J160" s="15">
        <f>'9A Sem 2'!I55</f>
        <v>55</v>
      </c>
      <c r="K160" s="15">
        <f>'9A Sem 2'!J55</f>
        <v>57</v>
      </c>
      <c r="L160" s="15">
        <f>'9A Sem 2'!K55</f>
        <v>59</v>
      </c>
      <c r="M160" s="15">
        <f>'9A Sem 2'!L55</f>
        <v>63</v>
      </c>
      <c r="N160" s="15">
        <f>'9A Sem 2'!M55</f>
        <v>65</v>
      </c>
      <c r="O160" s="15">
        <f>'9A Sem 2'!N55</f>
        <v>86</v>
      </c>
      <c r="P160" s="15">
        <f>'9A Sem 2'!O55</f>
        <v>93</v>
      </c>
      <c r="Q160" s="15">
        <f>'9A Sem 2'!P55</f>
        <v>719</v>
      </c>
      <c r="R160" s="15">
        <f>'9A Sem 2'!Q55</f>
        <v>65.36363636363636</v>
      </c>
      <c r="S160" s="15">
        <f>'9A Sem 2'!R55</f>
        <v>37</v>
      </c>
      <c r="T160" s="15">
        <f>'9A Sem 2'!S55</f>
        <v>0</v>
      </c>
      <c r="U160" s="15">
        <f>'9A Sem 2'!T55</f>
        <v>0</v>
      </c>
    </row>
    <row r="161" spans="1:21" ht="18" customHeight="1" thickBot="1" x14ac:dyDescent="0.3">
      <c r="A161" s="286"/>
      <c r="B161" s="250"/>
      <c r="C161" s="250">
        <v>15</v>
      </c>
      <c r="D161" s="251" t="s">
        <v>20</v>
      </c>
      <c r="E161" s="108" t="s">
        <v>16</v>
      </c>
      <c r="F161" s="15">
        <f>AVERAGE(F159:F160)</f>
        <v>73.5</v>
      </c>
      <c r="G161" s="15">
        <f t="shared" ref="G161:R161" si="51">AVERAGE(G159:G160)</f>
        <v>56</v>
      </c>
      <c r="H161" s="15">
        <f t="shared" si="51"/>
        <v>51.5</v>
      </c>
      <c r="I161" s="15">
        <f t="shared" si="51"/>
        <v>51.5</v>
      </c>
      <c r="J161" s="15">
        <f t="shared" si="51"/>
        <v>54</v>
      </c>
      <c r="K161" s="15">
        <f t="shared" si="51"/>
        <v>56.5</v>
      </c>
      <c r="L161" s="15">
        <f t="shared" si="51"/>
        <v>53</v>
      </c>
      <c r="M161" s="15">
        <f t="shared" si="51"/>
        <v>59</v>
      </c>
      <c r="N161" s="15">
        <f t="shared" si="51"/>
        <v>64</v>
      </c>
      <c r="O161" s="15">
        <f t="shared" si="51"/>
        <v>82</v>
      </c>
      <c r="P161" s="15">
        <f t="shared" si="51"/>
        <v>86.5</v>
      </c>
      <c r="Q161" s="15">
        <f t="shared" si="51"/>
        <v>687.5</v>
      </c>
      <c r="R161" s="15">
        <f t="shared" si="51"/>
        <v>62.5</v>
      </c>
      <c r="S161" s="15">
        <f>'9A Sem avr'!$H$55</f>
        <v>39</v>
      </c>
      <c r="T161" s="15">
        <f>AVERAGE(T159:T160)</f>
        <v>0</v>
      </c>
      <c r="U161" s="15">
        <f>AVERAGE(U159:U160)</f>
        <v>0</v>
      </c>
    </row>
    <row r="162" spans="1:21" ht="18" customHeight="1" x14ac:dyDescent="0.25">
      <c r="A162" s="8"/>
      <c r="C162"/>
      <c r="D162"/>
    </row>
    <row r="163" spans="1:21" ht="18" customHeight="1" x14ac:dyDescent="0.25">
      <c r="A163" s="8"/>
      <c r="C163" s="9"/>
      <c r="D163" s="9"/>
    </row>
    <row r="164" spans="1:21" ht="18" customHeight="1" x14ac:dyDescent="0.25">
      <c r="A164" s="8"/>
      <c r="B164" s="9"/>
      <c r="C164" s="9"/>
      <c r="D164" s="9"/>
    </row>
    <row r="165" spans="1:21" ht="18" customHeight="1" x14ac:dyDescent="0.25">
      <c r="A165" s="8"/>
      <c r="B165" s="9"/>
      <c r="C165" s="9"/>
      <c r="D165" s="9"/>
    </row>
    <row r="166" spans="1:21" ht="18" customHeight="1" x14ac:dyDescent="0.25">
      <c r="A166" s="8"/>
      <c r="B166" s="9"/>
      <c r="C166" s="9"/>
      <c r="D166" s="9"/>
    </row>
    <row r="167" spans="1:21" ht="19.5" customHeight="1" x14ac:dyDescent="0.25">
      <c r="A167" s="8"/>
      <c r="B167" s="9"/>
      <c r="C167" s="9"/>
      <c r="D167" s="9"/>
    </row>
    <row r="168" spans="1:21" ht="18.75" customHeight="1" x14ac:dyDescent="0.25">
      <c r="A168" s="8"/>
      <c r="B168" s="9"/>
      <c r="C168" s="9"/>
      <c r="D168" s="9"/>
    </row>
    <row r="169" spans="1:21" ht="18" customHeight="1" x14ac:dyDescent="0.25">
      <c r="A169" s="8"/>
      <c r="B169" s="9"/>
      <c r="C169" s="9"/>
      <c r="D169" s="9"/>
    </row>
    <row r="170" spans="1:21" ht="18" customHeight="1" x14ac:dyDescent="0.25">
      <c r="A170" s="8"/>
      <c r="B170" s="9"/>
      <c r="C170" s="9"/>
      <c r="D170" s="9"/>
    </row>
    <row r="171" spans="1:21" ht="18" customHeight="1" x14ac:dyDescent="0.25">
      <c r="A171" s="8"/>
      <c r="B171" s="9"/>
      <c r="C171" s="9"/>
      <c r="D171" s="9"/>
    </row>
    <row r="172" spans="1:21" ht="18" customHeight="1" x14ac:dyDescent="0.25">
      <c r="A172" s="8"/>
      <c r="B172" s="9"/>
      <c r="C172" s="9"/>
      <c r="D172" s="9"/>
    </row>
    <row r="173" spans="1:21" ht="18" customHeight="1" x14ac:dyDescent="0.25">
      <c r="A173" s="8"/>
      <c r="B173" s="9"/>
      <c r="C173" s="9"/>
      <c r="D173" s="9"/>
    </row>
    <row r="174" spans="1:21" ht="18" customHeight="1" x14ac:dyDescent="0.25">
      <c r="B174" s="9"/>
      <c r="C174" s="9"/>
      <c r="D174" s="9"/>
    </row>
    <row r="175" spans="1:21" ht="18" customHeight="1" x14ac:dyDescent="0.25">
      <c r="B175" s="9"/>
      <c r="C175" s="9"/>
      <c r="D175" s="9"/>
    </row>
    <row r="176" spans="1:21" ht="18" customHeight="1" x14ac:dyDescent="0.25">
      <c r="A176" s="7"/>
      <c r="B176" s="9"/>
      <c r="C176" s="9"/>
      <c r="D176" s="9"/>
    </row>
    <row r="177" spans="1:5" ht="18" customHeight="1" x14ac:dyDescent="0.25">
      <c r="A177" s="7"/>
      <c r="B177" s="9"/>
      <c r="C177"/>
      <c r="D177"/>
    </row>
    <row r="178" spans="1:5" ht="18" customHeight="1" x14ac:dyDescent="0.25">
      <c r="A178" s="7"/>
      <c r="C178"/>
      <c r="D178"/>
    </row>
    <row r="179" spans="1:5" ht="18" customHeight="1" x14ac:dyDescent="0.25">
      <c r="A179" s="7"/>
      <c r="C179" s="6"/>
      <c r="D179" s="6"/>
      <c r="E179" s="6"/>
    </row>
    <row r="180" spans="1:5" ht="18" customHeight="1" x14ac:dyDescent="0.25">
      <c r="A180" s="7"/>
      <c r="B180" s="6"/>
      <c r="C180" s="6"/>
      <c r="D180" s="6"/>
      <c r="E180" s="6"/>
    </row>
    <row r="181" spans="1:5" ht="18" customHeight="1" x14ac:dyDescent="0.25">
      <c r="A181" s="7"/>
      <c r="B181" s="6"/>
      <c r="C181" s="6"/>
      <c r="D181" s="6"/>
      <c r="E181" s="6"/>
    </row>
    <row r="182" spans="1:5" ht="18" customHeight="1" x14ac:dyDescent="0.25">
      <c r="A182" s="7"/>
      <c r="B182" s="6"/>
      <c r="C182" s="6"/>
      <c r="D182" s="6"/>
      <c r="E182" s="6"/>
    </row>
    <row r="183" spans="1:5" ht="18" customHeight="1" x14ac:dyDescent="0.25">
      <c r="A183" s="7"/>
      <c r="B183" s="6"/>
      <c r="C183" s="6"/>
      <c r="D183" s="6"/>
      <c r="E183" s="6"/>
    </row>
    <row r="184" spans="1:5" ht="18" customHeight="1" x14ac:dyDescent="0.25">
      <c r="A184" s="7"/>
      <c r="B184" s="6"/>
      <c r="C184" s="6"/>
      <c r="D184" s="6"/>
      <c r="E184" s="6"/>
    </row>
    <row r="185" spans="1:5" ht="18" customHeight="1" x14ac:dyDescent="0.25">
      <c r="A185" s="7"/>
      <c r="B185" s="6"/>
      <c r="C185" s="6"/>
      <c r="D185" s="6"/>
      <c r="E185" s="6"/>
    </row>
    <row r="186" spans="1:5" ht="18" customHeight="1" x14ac:dyDescent="0.25">
      <c r="A186" s="7"/>
      <c r="B186" s="6"/>
      <c r="C186" s="6"/>
      <c r="D186" s="6"/>
      <c r="E186" s="6"/>
    </row>
    <row r="187" spans="1:5" ht="18" customHeight="1" x14ac:dyDescent="0.25">
      <c r="A187" s="7"/>
      <c r="B187" s="6"/>
      <c r="C187" s="6"/>
      <c r="D187" s="6"/>
      <c r="E187" s="6"/>
    </row>
    <row r="188" spans="1:5" ht="18" customHeight="1" x14ac:dyDescent="0.25">
      <c r="A188" s="7"/>
      <c r="B188" s="6"/>
      <c r="C188" s="6"/>
      <c r="D188" s="6"/>
      <c r="E188" s="6"/>
    </row>
    <row r="189" spans="1:5" ht="18" customHeight="1" x14ac:dyDescent="0.25">
      <c r="A189" s="7"/>
      <c r="B189" s="6"/>
      <c r="C189" s="6"/>
      <c r="D189" s="6"/>
      <c r="E189" s="6"/>
    </row>
    <row r="190" spans="1:5" ht="18" customHeight="1" x14ac:dyDescent="0.25">
      <c r="A190" s="7"/>
      <c r="B190" s="6"/>
      <c r="C190" s="6"/>
      <c r="D190" s="6"/>
      <c r="E190" s="6"/>
    </row>
    <row r="191" spans="1:5" ht="18" customHeight="1" x14ac:dyDescent="0.25">
      <c r="A191" s="7"/>
      <c r="B191" s="6"/>
      <c r="C191" s="6"/>
      <c r="D191" s="6"/>
      <c r="E191" s="6"/>
    </row>
    <row r="192" spans="1:5" ht="18" customHeight="1" x14ac:dyDescent="0.25">
      <c r="A192" s="7"/>
      <c r="B192" s="6"/>
      <c r="C192" s="6"/>
      <c r="D192" s="6"/>
      <c r="E192" s="6"/>
    </row>
    <row r="193" spans="1:5" ht="18" customHeight="1" x14ac:dyDescent="0.25">
      <c r="A193" s="7"/>
      <c r="B193" s="6"/>
      <c r="C193" s="6"/>
      <c r="D193" s="6"/>
      <c r="E193" s="6"/>
    </row>
    <row r="194" spans="1:5" ht="18" customHeight="1" x14ac:dyDescent="0.25">
      <c r="A194" s="7"/>
      <c r="B194" s="6"/>
      <c r="C194" s="6"/>
      <c r="D194" s="6"/>
      <c r="E194" s="6"/>
    </row>
    <row r="195" spans="1:5" ht="18.75" customHeight="1" x14ac:dyDescent="0.25">
      <c r="A195" s="7"/>
      <c r="B195" s="6"/>
      <c r="C195" s="6"/>
      <c r="D195" s="6"/>
      <c r="E195" s="6"/>
    </row>
    <row r="196" spans="1:5" ht="18.75" customHeight="1" x14ac:dyDescent="0.25">
      <c r="A196" s="7"/>
      <c r="B196" s="6"/>
      <c r="C196" s="6"/>
      <c r="D196" s="6"/>
      <c r="E196" s="6"/>
    </row>
    <row r="197" spans="1:5" ht="18.75" customHeight="1" x14ac:dyDescent="0.25">
      <c r="A197" s="7"/>
      <c r="B197" s="6"/>
      <c r="C197" s="6"/>
      <c r="D197" s="6"/>
      <c r="E197" s="6"/>
    </row>
    <row r="198" spans="1:5" ht="18.75" customHeight="1" x14ac:dyDescent="0.25">
      <c r="A198" s="7"/>
      <c r="B198" s="6"/>
      <c r="C198" s="6"/>
      <c r="D198" s="6"/>
      <c r="E198" s="6"/>
    </row>
    <row r="199" spans="1:5" ht="18.75" customHeight="1" x14ac:dyDescent="0.25">
      <c r="A199" s="7"/>
      <c r="B199" s="6"/>
      <c r="C199" s="6"/>
      <c r="D199" s="6"/>
      <c r="E199" s="6"/>
    </row>
    <row r="200" spans="1:5" ht="18.75" customHeight="1" x14ac:dyDescent="0.25">
      <c r="A200" s="7"/>
      <c r="B200" s="6"/>
      <c r="C200" s="6"/>
      <c r="D200" s="6"/>
      <c r="E200" s="6"/>
    </row>
    <row r="201" spans="1:5" ht="18.75" customHeight="1" x14ac:dyDescent="0.25">
      <c r="B201" s="6"/>
      <c r="C201" s="6"/>
      <c r="D201" s="6"/>
      <c r="E201" s="6"/>
    </row>
    <row r="202" spans="1:5" ht="18.75" customHeight="1" x14ac:dyDescent="0.25">
      <c r="B202" s="6"/>
      <c r="C202" s="6"/>
      <c r="D202" s="6"/>
      <c r="E202" s="6"/>
    </row>
    <row r="203" spans="1:5" ht="18.75" customHeight="1" x14ac:dyDescent="0.25">
      <c r="B203" s="6"/>
      <c r="C203" s="6"/>
      <c r="D203" s="6"/>
      <c r="E203" s="6"/>
    </row>
    <row r="204" spans="1:5" ht="18.75" customHeight="1" x14ac:dyDescent="0.25">
      <c r="B204" s="6"/>
      <c r="C204"/>
      <c r="D204"/>
    </row>
    <row r="205" spans="1:5" ht="18.75" customHeight="1" x14ac:dyDescent="0.25">
      <c r="C205"/>
      <c r="D205"/>
    </row>
    <row r="206" spans="1:5" ht="18.75" customHeight="1" x14ac:dyDescent="0.25">
      <c r="C206"/>
      <c r="D206"/>
    </row>
    <row r="207" spans="1:5" ht="18.75" customHeight="1" x14ac:dyDescent="0.25">
      <c r="C207"/>
      <c r="D207"/>
    </row>
    <row r="208" spans="1:5" ht="18.75" customHeight="1" x14ac:dyDescent="0.25">
      <c r="C208"/>
      <c r="D208"/>
    </row>
    <row r="209" spans="3:4" ht="18.75" customHeight="1" x14ac:dyDescent="0.25">
      <c r="C209"/>
      <c r="D209"/>
    </row>
    <row r="210" spans="3:4" ht="18.75" customHeight="1" x14ac:dyDescent="0.25">
      <c r="C210"/>
      <c r="D210"/>
    </row>
    <row r="211" spans="3:4" ht="18.75" customHeight="1" x14ac:dyDescent="0.25">
      <c r="C211"/>
      <c r="D211"/>
    </row>
    <row r="212" spans="3:4" ht="18.75" customHeight="1" x14ac:dyDescent="0.25">
      <c r="C212"/>
      <c r="D212"/>
    </row>
    <row r="213" spans="3:4" ht="18.75" customHeight="1" x14ac:dyDescent="0.25">
      <c r="C213"/>
      <c r="D213"/>
    </row>
    <row r="214" spans="3:4" ht="18.75" customHeight="1" x14ac:dyDescent="0.25">
      <c r="C214"/>
      <c r="D214"/>
    </row>
    <row r="215" spans="3:4" ht="18.75" customHeight="1" x14ac:dyDescent="0.25">
      <c r="C215"/>
      <c r="D215"/>
    </row>
    <row r="216" spans="3:4" ht="18.75" customHeight="1" x14ac:dyDescent="0.25">
      <c r="C216"/>
      <c r="D216"/>
    </row>
    <row r="217" spans="3:4" x14ac:dyDescent="0.25">
      <c r="C217"/>
      <c r="D217"/>
    </row>
    <row r="218" spans="3:4" x14ac:dyDescent="0.25">
      <c r="C218"/>
      <c r="D218"/>
    </row>
    <row r="219" spans="3:4" x14ac:dyDescent="0.25">
      <c r="C219"/>
      <c r="D219"/>
    </row>
    <row r="220" spans="3:4" ht="19.5" customHeight="1" x14ac:dyDescent="0.25">
      <c r="C220"/>
      <c r="D220"/>
    </row>
    <row r="221" spans="3:4" x14ac:dyDescent="0.25">
      <c r="C221"/>
      <c r="D221"/>
    </row>
    <row r="222" spans="3:4" x14ac:dyDescent="0.25">
      <c r="C222"/>
      <c r="D222"/>
    </row>
    <row r="223" spans="3:4" ht="16.5" customHeight="1" x14ac:dyDescent="0.25">
      <c r="C223"/>
      <c r="D223"/>
    </row>
    <row r="224" spans="3:4" x14ac:dyDescent="0.25">
      <c r="C224"/>
      <c r="D224"/>
    </row>
    <row r="225" spans="3:4" x14ac:dyDescent="0.25">
      <c r="C225"/>
      <c r="D225"/>
    </row>
    <row r="226" spans="3:4" x14ac:dyDescent="0.25">
      <c r="C226"/>
      <c r="D226"/>
    </row>
    <row r="227" spans="3:4" x14ac:dyDescent="0.25">
      <c r="C227"/>
      <c r="D227"/>
    </row>
    <row r="228" spans="3:4" x14ac:dyDescent="0.25">
      <c r="C228"/>
      <c r="D228"/>
    </row>
    <row r="229" spans="3:4" x14ac:dyDescent="0.25">
      <c r="C229"/>
      <c r="D229"/>
    </row>
    <row r="230" spans="3:4" x14ac:dyDescent="0.25">
      <c r="C230"/>
      <c r="D230"/>
    </row>
    <row r="232" spans="3:4" ht="17.25" customHeight="1" x14ac:dyDescent="0.25"/>
    <row r="235" spans="3:4" ht="19.5" customHeight="1" x14ac:dyDescent="0.25"/>
  </sheetData>
  <mergeCells count="210">
    <mergeCell ref="C156:C158"/>
    <mergeCell ref="D156:D158"/>
    <mergeCell ref="C159:C161"/>
    <mergeCell ref="D159:D161"/>
    <mergeCell ref="B159:B161"/>
    <mergeCell ref="A156:A158"/>
    <mergeCell ref="A159:A161"/>
    <mergeCell ref="C135:C137"/>
    <mergeCell ref="D135:D137"/>
    <mergeCell ref="C138:C140"/>
    <mergeCell ref="D138:D140"/>
    <mergeCell ref="C141:C143"/>
    <mergeCell ref="D141:D143"/>
    <mergeCell ref="C144:C146"/>
    <mergeCell ref="D144:D146"/>
    <mergeCell ref="B156:B158"/>
    <mergeCell ref="B135:B137"/>
    <mergeCell ref="B138:B140"/>
    <mergeCell ref="B141:B143"/>
    <mergeCell ref="B144:B146"/>
    <mergeCell ref="B147:B149"/>
    <mergeCell ref="B150:B152"/>
    <mergeCell ref="B153:B155"/>
    <mergeCell ref="C147:C149"/>
    <mergeCell ref="D147:D149"/>
    <mergeCell ref="C150:C152"/>
    <mergeCell ref="D150:D152"/>
    <mergeCell ref="C153:C155"/>
    <mergeCell ref="A135:A137"/>
    <mergeCell ref="A138:A140"/>
    <mergeCell ref="A141:A143"/>
    <mergeCell ref="A144:A146"/>
    <mergeCell ref="A147:A149"/>
    <mergeCell ref="A150:A152"/>
    <mergeCell ref="A153:A155"/>
    <mergeCell ref="D153:D155"/>
    <mergeCell ref="A1:U1"/>
    <mergeCell ref="A3:U3"/>
    <mergeCell ref="A6:A8"/>
    <mergeCell ref="B6:B8"/>
    <mergeCell ref="C6:C8"/>
    <mergeCell ref="D6:D8"/>
    <mergeCell ref="A15:A17"/>
    <mergeCell ref="B15:B17"/>
    <mergeCell ref="C15:C17"/>
    <mergeCell ref="D15:D17"/>
    <mergeCell ref="A18:A20"/>
    <mergeCell ref="B18:B20"/>
    <mergeCell ref="C18:C20"/>
    <mergeCell ref="D18:D20"/>
    <mergeCell ref="A9:A11"/>
    <mergeCell ref="B9:B11"/>
    <mergeCell ref="C9:C11"/>
    <mergeCell ref="D9:D11"/>
    <mergeCell ref="A12:A14"/>
    <mergeCell ref="B12:B14"/>
    <mergeCell ref="C12:C14"/>
    <mergeCell ref="D12:D14"/>
    <mergeCell ref="A27:A29"/>
    <mergeCell ref="B27:B29"/>
    <mergeCell ref="C27:C29"/>
    <mergeCell ref="D27:D29"/>
    <mergeCell ref="A30:A32"/>
    <mergeCell ref="B30:B32"/>
    <mergeCell ref="C30:C32"/>
    <mergeCell ref="D30:D32"/>
    <mergeCell ref="A21:A23"/>
    <mergeCell ref="B21:B23"/>
    <mergeCell ref="C21:C23"/>
    <mergeCell ref="D21:D23"/>
    <mergeCell ref="A24:A26"/>
    <mergeCell ref="B24:B26"/>
    <mergeCell ref="C24:C26"/>
    <mergeCell ref="D24:D26"/>
    <mergeCell ref="A39:A41"/>
    <mergeCell ref="B39:B41"/>
    <mergeCell ref="C39:C41"/>
    <mergeCell ref="D39:D41"/>
    <mergeCell ref="A42:A44"/>
    <mergeCell ref="B42:B44"/>
    <mergeCell ref="C42:C44"/>
    <mergeCell ref="D42:D44"/>
    <mergeCell ref="A33:A35"/>
    <mergeCell ref="B33:B35"/>
    <mergeCell ref="C33:C35"/>
    <mergeCell ref="D33:D35"/>
    <mergeCell ref="A36:A38"/>
    <mergeCell ref="B36:B38"/>
    <mergeCell ref="C36:C38"/>
    <mergeCell ref="D36:D38"/>
    <mergeCell ref="A51:A53"/>
    <mergeCell ref="B51:B53"/>
    <mergeCell ref="C51:C53"/>
    <mergeCell ref="D51:D53"/>
    <mergeCell ref="A54:A56"/>
    <mergeCell ref="B54:B56"/>
    <mergeCell ref="C54:C56"/>
    <mergeCell ref="D54:D56"/>
    <mergeCell ref="A45:A47"/>
    <mergeCell ref="B45:B47"/>
    <mergeCell ref="C45:C47"/>
    <mergeCell ref="D45:D47"/>
    <mergeCell ref="A48:A50"/>
    <mergeCell ref="B48:B50"/>
    <mergeCell ref="C48:C50"/>
    <mergeCell ref="D48:D50"/>
    <mergeCell ref="D57:D59"/>
    <mergeCell ref="A69:A71"/>
    <mergeCell ref="B69:B71"/>
    <mergeCell ref="C69:C71"/>
    <mergeCell ref="D69:D71"/>
    <mergeCell ref="A72:A74"/>
    <mergeCell ref="B72:B74"/>
    <mergeCell ref="C72:C74"/>
    <mergeCell ref="D72:D74"/>
    <mergeCell ref="D60:D62"/>
    <mergeCell ref="A63:A65"/>
    <mergeCell ref="B63:B65"/>
    <mergeCell ref="C63:C65"/>
    <mergeCell ref="D63:D65"/>
    <mergeCell ref="A66:A68"/>
    <mergeCell ref="B66:B68"/>
    <mergeCell ref="C66:C68"/>
    <mergeCell ref="D66:D68"/>
    <mergeCell ref="A57:A59"/>
    <mergeCell ref="B57:B59"/>
    <mergeCell ref="C57:C59"/>
    <mergeCell ref="A60:A62"/>
    <mergeCell ref="B60:B62"/>
    <mergeCell ref="C60:C62"/>
    <mergeCell ref="A81:A83"/>
    <mergeCell ref="B81:B83"/>
    <mergeCell ref="C81:C83"/>
    <mergeCell ref="D81:D83"/>
    <mergeCell ref="A84:A86"/>
    <mergeCell ref="B84:B86"/>
    <mergeCell ref="C84:C86"/>
    <mergeCell ref="D84:D86"/>
    <mergeCell ref="A75:A77"/>
    <mergeCell ref="B75:B77"/>
    <mergeCell ref="C75:C77"/>
    <mergeCell ref="D75:D77"/>
    <mergeCell ref="A78:A80"/>
    <mergeCell ref="B78:B80"/>
    <mergeCell ref="C78:C80"/>
    <mergeCell ref="D78:D80"/>
    <mergeCell ref="A93:A95"/>
    <mergeCell ref="B93:B95"/>
    <mergeCell ref="C93:C95"/>
    <mergeCell ref="D93:D95"/>
    <mergeCell ref="A96:A98"/>
    <mergeCell ref="B96:B98"/>
    <mergeCell ref="C96:C98"/>
    <mergeCell ref="D96:D98"/>
    <mergeCell ref="A87:A89"/>
    <mergeCell ref="B87:B89"/>
    <mergeCell ref="C87:C89"/>
    <mergeCell ref="D87:D89"/>
    <mergeCell ref="A90:A92"/>
    <mergeCell ref="B90:B92"/>
    <mergeCell ref="C90:C92"/>
    <mergeCell ref="D90:D92"/>
    <mergeCell ref="A105:A107"/>
    <mergeCell ref="B105:B107"/>
    <mergeCell ref="C105:C107"/>
    <mergeCell ref="D105:D107"/>
    <mergeCell ref="A108:A110"/>
    <mergeCell ref="B108:B110"/>
    <mergeCell ref="C108:C110"/>
    <mergeCell ref="D108:D110"/>
    <mergeCell ref="A99:A101"/>
    <mergeCell ref="B99:B101"/>
    <mergeCell ref="C99:C101"/>
    <mergeCell ref="D99:D101"/>
    <mergeCell ref="A102:A104"/>
    <mergeCell ref="B102:B104"/>
    <mergeCell ref="C102:C104"/>
    <mergeCell ref="D102:D104"/>
    <mergeCell ref="A117:A119"/>
    <mergeCell ref="B117:B119"/>
    <mergeCell ref="C117:C119"/>
    <mergeCell ref="D117:D119"/>
    <mergeCell ref="A120:A122"/>
    <mergeCell ref="B120:B122"/>
    <mergeCell ref="C120:C122"/>
    <mergeCell ref="D120:D122"/>
    <mergeCell ref="A111:A113"/>
    <mergeCell ref="B111:B113"/>
    <mergeCell ref="C111:C113"/>
    <mergeCell ref="D111:D113"/>
    <mergeCell ref="A114:A116"/>
    <mergeCell ref="B114:B116"/>
    <mergeCell ref="C114:C116"/>
    <mergeCell ref="D114:D116"/>
    <mergeCell ref="A129:A131"/>
    <mergeCell ref="B129:B131"/>
    <mergeCell ref="C129:C131"/>
    <mergeCell ref="D129:D131"/>
    <mergeCell ref="A132:A134"/>
    <mergeCell ref="B132:B134"/>
    <mergeCell ref="C132:C134"/>
    <mergeCell ref="D132:D134"/>
    <mergeCell ref="A123:A125"/>
    <mergeCell ref="B123:B125"/>
    <mergeCell ref="C123:C125"/>
    <mergeCell ref="D123:D125"/>
    <mergeCell ref="A126:A128"/>
    <mergeCell ref="B126:B128"/>
    <mergeCell ref="C126:C128"/>
    <mergeCell ref="D126:D128"/>
  </mergeCells>
  <pageMargins left="0.7" right="0.7" top="0.75" bottom="0.75" header="0.3" footer="0.3"/>
  <pageSetup paperSize="9" scale="84" fitToHeight="0" orientation="landscape" verticalDpi="4294967295" r:id="rId1"/>
  <rowBreaks count="3" manualBreakCount="3">
    <brk id="26" max="16383" man="1"/>
    <brk id="83" max="16383" man="1"/>
    <brk id="110" max="16383" man="1"/>
  </rowBreaks>
  <ignoredErrors>
    <ignoredError sqref="S8:S161" 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58"/>
  <sheetViews>
    <sheetView workbookViewId="0">
      <selection activeCell="B4" sqref="B4:B55"/>
    </sheetView>
  </sheetViews>
  <sheetFormatPr defaultRowHeight="15" x14ac:dyDescent="0.25"/>
  <cols>
    <col min="1" max="1" width="6.7109375" style="14" customWidth="1"/>
    <col min="2" max="2" width="35.140625" bestFit="1" customWidth="1"/>
    <col min="3" max="3" width="4.7109375" customWidth="1"/>
    <col min="4" max="4" width="4.140625" customWidth="1"/>
    <col min="5" max="15" width="7.7109375" customWidth="1"/>
    <col min="16" max="20" width="7.7109375" style="14" customWidth="1"/>
  </cols>
  <sheetData>
    <row r="1" spans="1:20" ht="20.25" x14ac:dyDescent="0.25">
      <c r="A1" s="272" t="s">
        <v>33</v>
      </c>
      <c r="B1" s="273"/>
      <c r="C1" s="273"/>
      <c r="D1" s="273"/>
      <c r="E1" s="273"/>
      <c r="F1" s="273"/>
      <c r="G1" s="273"/>
      <c r="H1" s="273"/>
      <c r="I1" s="273"/>
      <c r="J1" s="273"/>
      <c r="K1" s="273"/>
      <c r="L1" s="273"/>
      <c r="M1" s="273"/>
      <c r="N1" s="273"/>
      <c r="O1" s="273"/>
      <c r="P1" s="273"/>
      <c r="Q1" s="273"/>
      <c r="R1" s="273"/>
      <c r="S1" s="273"/>
      <c r="T1" s="274"/>
    </row>
    <row r="2" spans="1:20" ht="18" thickBot="1" x14ac:dyDescent="0.3">
      <c r="A2" s="275" t="s">
        <v>35</v>
      </c>
      <c r="B2" s="275"/>
      <c r="C2" s="275"/>
      <c r="D2" s="275"/>
      <c r="E2" s="275"/>
      <c r="F2" s="275"/>
      <c r="G2" s="275"/>
      <c r="H2" s="275"/>
      <c r="I2" s="275"/>
      <c r="J2" s="275"/>
      <c r="K2" s="275"/>
      <c r="L2" s="275"/>
      <c r="M2" s="275"/>
      <c r="N2" s="275"/>
      <c r="O2" s="275"/>
      <c r="P2" s="275"/>
      <c r="Q2" s="275"/>
      <c r="R2" s="275"/>
      <c r="S2" s="275"/>
      <c r="T2" s="275"/>
    </row>
    <row r="3" spans="1:20" ht="67.5" customHeight="1" thickBot="1" x14ac:dyDescent="0.3">
      <c r="A3" s="63" t="s">
        <v>24</v>
      </c>
      <c r="B3" s="64" t="s">
        <v>1</v>
      </c>
      <c r="C3" s="65" t="s">
        <v>2</v>
      </c>
      <c r="D3" s="64" t="s">
        <v>3</v>
      </c>
      <c r="E3" s="66" t="s">
        <v>4</v>
      </c>
      <c r="F3" s="66" t="s">
        <v>5</v>
      </c>
      <c r="G3" s="66" t="s">
        <v>6</v>
      </c>
      <c r="H3" s="66" t="s">
        <v>7</v>
      </c>
      <c r="I3" s="66" t="s">
        <v>8</v>
      </c>
      <c r="J3" s="66" t="s">
        <v>9</v>
      </c>
      <c r="K3" s="67" t="s">
        <v>10</v>
      </c>
      <c r="L3" s="66" t="s">
        <v>11</v>
      </c>
      <c r="M3" s="68" t="s">
        <v>12</v>
      </c>
      <c r="N3" s="68" t="s">
        <v>13</v>
      </c>
      <c r="O3" s="66" t="s">
        <v>14</v>
      </c>
      <c r="P3" s="68" t="s">
        <v>15</v>
      </c>
      <c r="Q3" s="66" t="s">
        <v>16</v>
      </c>
      <c r="R3" s="66" t="s">
        <v>17</v>
      </c>
      <c r="S3" s="67" t="s">
        <v>18</v>
      </c>
      <c r="T3" s="28" t="s">
        <v>19</v>
      </c>
    </row>
    <row r="4" spans="1:20" ht="20.100000000000001" customHeight="1" x14ac:dyDescent="0.25">
      <c r="A4" s="136">
        <v>1</v>
      </c>
      <c r="B4" s="143"/>
      <c r="C4" s="144">
        <v>14</v>
      </c>
      <c r="D4" s="144" t="s">
        <v>23</v>
      </c>
      <c r="E4" s="145">
        <v>71</v>
      </c>
      <c r="F4" s="75">
        <v>50</v>
      </c>
      <c r="G4" s="75">
        <v>50</v>
      </c>
      <c r="H4" s="75">
        <v>70</v>
      </c>
      <c r="I4" s="75">
        <v>54</v>
      </c>
      <c r="J4" s="75">
        <v>53</v>
      </c>
      <c r="K4" s="75">
        <v>68</v>
      </c>
      <c r="L4" s="75">
        <v>65</v>
      </c>
      <c r="M4" s="75">
        <v>52</v>
      </c>
      <c r="N4" s="75">
        <v>74</v>
      </c>
      <c r="O4" s="75">
        <v>70</v>
      </c>
      <c r="P4" s="59">
        <f>SUM(E4:O4)</f>
        <v>677</v>
      </c>
      <c r="Q4" s="62">
        <f>AVERAGE(E4:O4)</f>
        <v>61.545454545454547</v>
      </c>
      <c r="R4" s="59">
        <f>RANK(Q4,$Q$4:$Q$55)</f>
        <v>38</v>
      </c>
      <c r="S4" s="59"/>
      <c r="T4" s="24"/>
    </row>
    <row r="5" spans="1:20" ht="20.100000000000001" customHeight="1" x14ac:dyDescent="0.25">
      <c r="A5" s="121">
        <v>2</v>
      </c>
      <c r="B5" s="140"/>
      <c r="C5" s="141">
        <v>16</v>
      </c>
      <c r="D5" s="141" t="s">
        <v>20</v>
      </c>
      <c r="E5" s="138">
        <v>92</v>
      </c>
      <c r="F5" s="30">
        <v>93</v>
      </c>
      <c r="G5" s="30">
        <v>95</v>
      </c>
      <c r="H5" s="30">
        <v>100</v>
      </c>
      <c r="I5" s="30">
        <v>96</v>
      </c>
      <c r="J5" s="30">
        <v>98</v>
      </c>
      <c r="K5" s="30">
        <v>95</v>
      </c>
      <c r="L5" s="30">
        <v>98</v>
      </c>
      <c r="M5" s="30">
        <v>93</v>
      </c>
      <c r="N5" s="30">
        <v>100</v>
      </c>
      <c r="O5" s="30">
        <v>100</v>
      </c>
      <c r="P5" s="59">
        <f t="shared" ref="P5:P55" si="0">SUM(E5:O5)</f>
        <v>1060</v>
      </c>
      <c r="Q5" s="62">
        <f t="shared" ref="Q5:Q55" si="1">AVERAGE(E5:O5)</f>
        <v>96.36363636363636</v>
      </c>
      <c r="R5" s="59">
        <f t="shared" ref="R5:R55" si="2">RANK(Q5,$Q$4:$Q$55)</f>
        <v>1</v>
      </c>
      <c r="S5" s="15"/>
      <c r="T5" s="15"/>
    </row>
    <row r="6" spans="1:20" ht="20.100000000000001" customHeight="1" x14ac:dyDescent="0.25">
      <c r="A6" s="137">
        <v>3</v>
      </c>
      <c r="B6" s="140"/>
      <c r="C6" s="141">
        <v>14</v>
      </c>
      <c r="D6" s="141" t="s">
        <v>23</v>
      </c>
      <c r="E6" s="138">
        <v>83</v>
      </c>
      <c r="F6" s="228">
        <v>46</v>
      </c>
      <c r="G6" s="30">
        <v>54</v>
      </c>
      <c r="H6" s="30">
        <v>53</v>
      </c>
      <c r="I6" s="30">
        <v>57</v>
      </c>
      <c r="J6" s="228">
        <v>40</v>
      </c>
      <c r="K6" s="228">
        <v>38</v>
      </c>
      <c r="L6" s="30">
        <v>63</v>
      </c>
      <c r="M6" s="30">
        <v>52</v>
      </c>
      <c r="N6" s="30">
        <v>67</v>
      </c>
      <c r="O6" s="30">
        <v>80</v>
      </c>
      <c r="P6" s="59">
        <f t="shared" si="0"/>
        <v>633</v>
      </c>
      <c r="Q6" s="62">
        <f t="shared" si="1"/>
        <v>57.545454545454547</v>
      </c>
      <c r="R6" s="59">
        <f t="shared" si="2"/>
        <v>44</v>
      </c>
      <c r="S6" s="15"/>
      <c r="T6" s="15"/>
    </row>
    <row r="7" spans="1:20" ht="20.100000000000001" customHeight="1" x14ac:dyDescent="0.25">
      <c r="A7" s="121">
        <v>4</v>
      </c>
      <c r="B7" s="140"/>
      <c r="C7" s="141">
        <v>14</v>
      </c>
      <c r="D7" s="141" t="s">
        <v>20</v>
      </c>
      <c r="E7" s="138">
        <v>89</v>
      </c>
      <c r="F7" s="30">
        <v>70</v>
      </c>
      <c r="G7" s="30">
        <v>55</v>
      </c>
      <c r="H7" s="30">
        <v>69</v>
      </c>
      <c r="I7" s="30">
        <v>59</v>
      </c>
      <c r="J7" s="30">
        <v>72</v>
      </c>
      <c r="K7" s="30">
        <v>76</v>
      </c>
      <c r="L7" s="30">
        <v>91</v>
      </c>
      <c r="M7" s="30">
        <v>82</v>
      </c>
      <c r="N7" s="30">
        <v>77</v>
      </c>
      <c r="O7" s="30">
        <v>88</v>
      </c>
      <c r="P7" s="59">
        <f t="shared" si="0"/>
        <v>828</v>
      </c>
      <c r="Q7" s="62">
        <f t="shared" si="1"/>
        <v>75.272727272727266</v>
      </c>
      <c r="R7" s="59">
        <f t="shared" si="2"/>
        <v>22</v>
      </c>
      <c r="S7" s="15"/>
      <c r="T7" s="15"/>
    </row>
    <row r="8" spans="1:20" ht="20.100000000000001" customHeight="1" x14ac:dyDescent="0.25">
      <c r="A8" s="121">
        <v>5</v>
      </c>
      <c r="B8" s="140"/>
      <c r="C8" s="141">
        <v>14</v>
      </c>
      <c r="D8" s="141" t="s">
        <v>23</v>
      </c>
      <c r="E8" s="138">
        <v>92</v>
      </c>
      <c r="F8" s="30">
        <v>87</v>
      </c>
      <c r="G8" s="30">
        <v>90</v>
      </c>
      <c r="H8" s="30">
        <v>88</v>
      </c>
      <c r="I8" s="30">
        <v>91</v>
      </c>
      <c r="J8" s="30">
        <v>92</v>
      </c>
      <c r="K8" s="30">
        <v>92</v>
      </c>
      <c r="L8" s="30">
        <v>93</v>
      </c>
      <c r="M8" s="30">
        <v>92</v>
      </c>
      <c r="N8" s="30">
        <v>96</v>
      </c>
      <c r="O8" s="30">
        <v>91</v>
      </c>
      <c r="P8" s="59">
        <f t="shared" si="0"/>
        <v>1004</v>
      </c>
      <c r="Q8" s="62">
        <f t="shared" si="1"/>
        <v>91.272727272727266</v>
      </c>
      <c r="R8" s="59">
        <f t="shared" si="2"/>
        <v>2</v>
      </c>
      <c r="S8" s="15"/>
      <c r="T8" s="15"/>
    </row>
    <row r="9" spans="1:20" ht="20.100000000000001" customHeight="1" x14ac:dyDescent="0.25">
      <c r="A9" s="137">
        <v>6</v>
      </c>
      <c r="B9" s="140"/>
      <c r="C9" s="141">
        <v>16</v>
      </c>
      <c r="D9" s="141" t="s">
        <v>23</v>
      </c>
      <c r="E9" s="138">
        <v>55</v>
      </c>
      <c r="F9" s="228">
        <v>38</v>
      </c>
      <c r="G9" s="30">
        <v>51</v>
      </c>
      <c r="H9" s="228">
        <v>39</v>
      </c>
      <c r="I9" s="30">
        <v>51</v>
      </c>
      <c r="J9" s="228">
        <v>36</v>
      </c>
      <c r="K9" s="228">
        <v>41</v>
      </c>
      <c r="L9" s="228">
        <v>40</v>
      </c>
      <c r="M9" s="30">
        <v>50</v>
      </c>
      <c r="N9" s="30">
        <v>52</v>
      </c>
      <c r="O9" s="30">
        <v>79</v>
      </c>
      <c r="P9" s="59">
        <f t="shared" si="0"/>
        <v>532</v>
      </c>
      <c r="Q9" s="62">
        <f t="shared" si="1"/>
        <v>48.363636363636367</v>
      </c>
      <c r="R9" s="59">
        <f t="shared" si="2"/>
        <v>49</v>
      </c>
      <c r="S9" s="15"/>
      <c r="T9" s="15"/>
    </row>
    <row r="10" spans="1:20" ht="20.100000000000001" customHeight="1" x14ac:dyDescent="0.25">
      <c r="A10" s="121">
        <v>7</v>
      </c>
      <c r="B10" s="140"/>
      <c r="C10" s="141">
        <v>14</v>
      </c>
      <c r="D10" s="141" t="s">
        <v>23</v>
      </c>
      <c r="E10" s="138">
        <v>90</v>
      </c>
      <c r="F10" s="30">
        <v>82</v>
      </c>
      <c r="G10" s="30">
        <v>63</v>
      </c>
      <c r="H10" s="30">
        <v>66</v>
      </c>
      <c r="I10" s="30">
        <v>69</v>
      </c>
      <c r="J10" s="30">
        <v>77</v>
      </c>
      <c r="K10" s="30">
        <v>80</v>
      </c>
      <c r="L10" s="30">
        <v>83</v>
      </c>
      <c r="M10" s="30">
        <v>88</v>
      </c>
      <c r="N10" s="30">
        <v>88</v>
      </c>
      <c r="O10" s="30">
        <v>90</v>
      </c>
      <c r="P10" s="59">
        <f t="shared" si="0"/>
        <v>876</v>
      </c>
      <c r="Q10" s="62">
        <f t="shared" si="1"/>
        <v>79.63636363636364</v>
      </c>
      <c r="R10" s="59">
        <f t="shared" si="2"/>
        <v>14</v>
      </c>
      <c r="S10" s="15"/>
      <c r="T10" s="15"/>
    </row>
    <row r="11" spans="1:20" ht="20.100000000000001" customHeight="1" x14ac:dyDescent="0.25">
      <c r="A11" s="121">
        <v>8</v>
      </c>
      <c r="B11" s="140"/>
      <c r="C11" s="141">
        <v>14</v>
      </c>
      <c r="D11" s="141" t="s">
        <v>20</v>
      </c>
      <c r="E11" s="138">
        <v>88</v>
      </c>
      <c r="F11" s="30">
        <v>73</v>
      </c>
      <c r="G11" s="30">
        <v>61</v>
      </c>
      <c r="H11" s="30">
        <v>67</v>
      </c>
      <c r="I11" s="30">
        <v>68</v>
      </c>
      <c r="J11" s="30">
        <v>70</v>
      </c>
      <c r="K11" s="30">
        <v>66</v>
      </c>
      <c r="L11" s="30">
        <v>85</v>
      </c>
      <c r="M11" s="30">
        <v>79</v>
      </c>
      <c r="N11" s="30">
        <v>93</v>
      </c>
      <c r="O11" s="30">
        <v>78</v>
      </c>
      <c r="P11" s="59">
        <f t="shared" si="0"/>
        <v>828</v>
      </c>
      <c r="Q11" s="62">
        <f t="shared" si="1"/>
        <v>75.272727272727266</v>
      </c>
      <c r="R11" s="59">
        <f t="shared" si="2"/>
        <v>22</v>
      </c>
      <c r="S11" s="15"/>
      <c r="T11" s="15"/>
    </row>
    <row r="12" spans="1:20" ht="20.100000000000001" customHeight="1" x14ac:dyDescent="0.25">
      <c r="A12" s="137">
        <v>9</v>
      </c>
      <c r="B12" s="142"/>
      <c r="C12" s="141">
        <v>15</v>
      </c>
      <c r="D12" s="141" t="s">
        <v>20</v>
      </c>
      <c r="E12" s="138">
        <v>77</v>
      </c>
      <c r="F12" s="30">
        <v>52</v>
      </c>
      <c r="G12" s="228">
        <v>33</v>
      </c>
      <c r="H12" s="228">
        <v>40</v>
      </c>
      <c r="I12" s="228">
        <v>40</v>
      </c>
      <c r="J12" s="228">
        <v>44</v>
      </c>
      <c r="K12" s="30">
        <v>50</v>
      </c>
      <c r="L12" s="30">
        <v>57</v>
      </c>
      <c r="M12" s="30">
        <v>51</v>
      </c>
      <c r="N12" s="30">
        <v>55</v>
      </c>
      <c r="O12" s="30">
        <v>78</v>
      </c>
      <c r="P12" s="59">
        <f t="shared" si="0"/>
        <v>577</v>
      </c>
      <c r="Q12" s="62">
        <f t="shared" si="1"/>
        <v>52.454545454545453</v>
      </c>
      <c r="R12" s="59">
        <f t="shared" si="2"/>
        <v>47</v>
      </c>
      <c r="S12" s="15"/>
      <c r="T12" s="15"/>
    </row>
    <row r="13" spans="1:20" ht="20.100000000000001" customHeight="1" x14ac:dyDescent="0.25">
      <c r="A13" s="121">
        <v>10</v>
      </c>
      <c r="B13" s="140"/>
      <c r="C13" s="141">
        <v>15</v>
      </c>
      <c r="D13" s="141" t="s">
        <v>20</v>
      </c>
      <c r="E13" s="138">
        <v>89</v>
      </c>
      <c r="F13" s="30">
        <v>64</v>
      </c>
      <c r="G13" s="30">
        <v>56</v>
      </c>
      <c r="H13" s="30">
        <v>66</v>
      </c>
      <c r="I13" s="30">
        <v>58</v>
      </c>
      <c r="J13" s="30">
        <v>72</v>
      </c>
      <c r="K13" s="30">
        <v>82</v>
      </c>
      <c r="L13" s="30">
        <v>90</v>
      </c>
      <c r="M13" s="30">
        <v>77</v>
      </c>
      <c r="N13" s="30">
        <v>90</v>
      </c>
      <c r="O13" s="30">
        <v>100</v>
      </c>
      <c r="P13" s="59">
        <f t="shared" si="0"/>
        <v>844</v>
      </c>
      <c r="Q13" s="62">
        <f t="shared" si="1"/>
        <v>76.727272727272734</v>
      </c>
      <c r="R13" s="59">
        <f t="shared" si="2"/>
        <v>19</v>
      </c>
      <c r="S13" s="15"/>
      <c r="T13" s="15"/>
    </row>
    <row r="14" spans="1:20" ht="20.100000000000001" customHeight="1" x14ac:dyDescent="0.25">
      <c r="A14" s="137">
        <v>11</v>
      </c>
      <c r="B14" s="140"/>
      <c r="C14" s="141">
        <v>14</v>
      </c>
      <c r="D14" s="141" t="s">
        <v>23</v>
      </c>
      <c r="E14" s="138">
        <v>84</v>
      </c>
      <c r="F14" s="30">
        <v>82</v>
      </c>
      <c r="G14" s="30">
        <v>84</v>
      </c>
      <c r="H14" s="30">
        <v>78</v>
      </c>
      <c r="I14" s="30">
        <v>68</v>
      </c>
      <c r="J14" s="30">
        <v>68</v>
      </c>
      <c r="K14" s="30">
        <v>82</v>
      </c>
      <c r="L14" s="30">
        <v>81</v>
      </c>
      <c r="M14" s="30">
        <v>81</v>
      </c>
      <c r="N14" s="30">
        <v>99</v>
      </c>
      <c r="O14" s="30">
        <v>94</v>
      </c>
      <c r="P14" s="59">
        <f t="shared" si="0"/>
        <v>901</v>
      </c>
      <c r="Q14" s="62">
        <f t="shared" si="1"/>
        <v>81.909090909090907</v>
      </c>
      <c r="R14" s="59">
        <f t="shared" si="2"/>
        <v>11</v>
      </c>
      <c r="S14" s="15"/>
      <c r="T14" s="15"/>
    </row>
    <row r="15" spans="1:20" ht="20.100000000000001" customHeight="1" x14ac:dyDescent="0.25">
      <c r="A15" s="137">
        <v>12</v>
      </c>
      <c r="B15" s="140"/>
      <c r="C15" s="141">
        <v>15</v>
      </c>
      <c r="D15" s="141" t="s">
        <v>23</v>
      </c>
      <c r="E15" s="138">
        <v>71</v>
      </c>
      <c r="F15" s="30">
        <v>66</v>
      </c>
      <c r="G15" s="30">
        <v>55</v>
      </c>
      <c r="H15" s="228">
        <v>45</v>
      </c>
      <c r="I15" s="228">
        <v>54</v>
      </c>
      <c r="J15" s="228">
        <v>41</v>
      </c>
      <c r="K15" s="30">
        <v>51</v>
      </c>
      <c r="L15" s="30">
        <v>56</v>
      </c>
      <c r="M15" s="30">
        <v>60</v>
      </c>
      <c r="N15" s="30">
        <v>77</v>
      </c>
      <c r="O15" s="30">
        <v>85</v>
      </c>
      <c r="P15" s="59">
        <f t="shared" si="0"/>
        <v>661</v>
      </c>
      <c r="Q15" s="62">
        <f t="shared" si="1"/>
        <v>60.090909090909093</v>
      </c>
      <c r="R15" s="59">
        <f t="shared" si="2"/>
        <v>39</v>
      </c>
      <c r="S15" s="15"/>
      <c r="T15" s="15"/>
    </row>
    <row r="16" spans="1:20" ht="20.100000000000001" customHeight="1" x14ac:dyDescent="0.25">
      <c r="A16" s="137">
        <v>13</v>
      </c>
      <c r="B16" s="140"/>
      <c r="C16" s="141">
        <v>14</v>
      </c>
      <c r="D16" s="141" t="s">
        <v>23</v>
      </c>
      <c r="E16" s="138">
        <v>87</v>
      </c>
      <c r="F16" s="30">
        <v>70</v>
      </c>
      <c r="G16" s="30">
        <v>56</v>
      </c>
      <c r="H16" s="30">
        <v>64</v>
      </c>
      <c r="I16" s="30">
        <v>56</v>
      </c>
      <c r="J16" s="30">
        <v>57</v>
      </c>
      <c r="K16" s="30">
        <v>68</v>
      </c>
      <c r="L16" s="30">
        <v>73</v>
      </c>
      <c r="M16" s="30">
        <v>71</v>
      </c>
      <c r="N16" s="30">
        <v>83</v>
      </c>
      <c r="O16" s="30">
        <v>80</v>
      </c>
      <c r="P16" s="59">
        <f t="shared" si="0"/>
        <v>765</v>
      </c>
      <c r="Q16" s="62">
        <f t="shared" si="1"/>
        <v>69.545454545454547</v>
      </c>
      <c r="R16" s="59">
        <f t="shared" si="2"/>
        <v>29</v>
      </c>
      <c r="S16" s="15"/>
      <c r="T16" s="15"/>
    </row>
    <row r="17" spans="1:20" ht="20.100000000000001" customHeight="1" x14ac:dyDescent="0.25">
      <c r="A17" s="121">
        <v>14</v>
      </c>
      <c r="B17" s="140"/>
      <c r="C17" s="141">
        <v>15</v>
      </c>
      <c r="D17" s="141" t="s">
        <v>23</v>
      </c>
      <c r="E17" s="138">
        <v>88</v>
      </c>
      <c r="F17" s="30">
        <v>78</v>
      </c>
      <c r="G17" s="30">
        <v>74</v>
      </c>
      <c r="H17" s="30">
        <v>78</v>
      </c>
      <c r="I17" s="30">
        <v>90</v>
      </c>
      <c r="J17" s="30">
        <v>97</v>
      </c>
      <c r="K17" s="30">
        <v>93</v>
      </c>
      <c r="L17" s="30">
        <v>94</v>
      </c>
      <c r="M17" s="30">
        <v>92</v>
      </c>
      <c r="N17" s="30">
        <v>95</v>
      </c>
      <c r="O17" s="30">
        <v>98</v>
      </c>
      <c r="P17" s="59">
        <f t="shared" si="0"/>
        <v>977</v>
      </c>
      <c r="Q17" s="62">
        <f t="shared" si="1"/>
        <v>88.818181818181813</v>
      </c>
      <c r="R17" s="59">
        <f t="shared" si="2"/>
        <v>4</v>
      </c>
      <c r="S17" s="15"/>
      <c r="T17" s="15"/>
    </row>
    <row r="18" spans="1:20" ht="20.100000000000001" customHeight="1" x14ac:dyDescent="0.25">
      <c r="A18" s="137">
        <v>15</v>
      </c>
      <c r="B18" s="140"/>
      <c r="C18" s="141">
        <v>15</v>
      </c>
      <c r="D18" s="141" t="s">
        <v>20</v>
      </c>
      <c r="E18" s="138">
        <v>77</v>
      </c>
      <c r="F18" s="30">
        <v>79</v>
      </c>
      <c r="G18" s="31">
        <v>84</v>
      </c>
      <c r="H18" s="30">
        <v>72</v>
      </c>
      <c r="I18" s="30">
        <v>89</v>
      </c>
      <c r="J18" s="30">
        <v>84</v>
      </c>
      <c r="K18" s="30">
        <v>92</v>
      </c>
      <c r="L18" s="30">
        <v>82</v>
      </c>
      <c r="M18" s="30">
        <v>81</v>
      </c>
      <c r="N18" s="30">
        <v>99</v>
      </c>
      <c r="O18" s="30">
        <v>96</v>
      </c>
      <c r="P18" s="59">
        <f t="shared" si="0"/>
        <v>935</v>
      </c>
      <c r="Q18" s="62">
        <f t="shared" si="1"/>
        <v>85</v>
      </c>
      <c r="R18" s="59">
        <f t="shared" si="2"/>
        <v>8</v>
      </c>
      <c r="S18" s="15"/>
      <c r="T18" s="15"/>
    </row>
    <row r="19" spans="1:20" ht="20.100000000000001" customHeight="1" x14ac:dyDescent="0.25">
      <c r="A19" s="121">
        <v>16</v>
      </c>
      <c r="B19" s="140"/>
      <c r="C19" s="141">
        <v>15</v>
      </c>
      <c r="D19" s="141" t="s">
        <v>20</v>
      </c>
      <c r="E19" s="138">
        <v>88</v>
      </c>
      <c r="F19" s="30">
        <v>82</v>
      </c>
      <c r="G19" s="30">
        <v>90</v>
      </c>
      <c r="H19" s="30">
        <v>91</v>
      </c>
      <c r="I19" s="30">
        <v>95</v>
      </c>
      <c r="J19" s="30">
        <v>95</v>
      </c>
      <c r="K19" s="30">
        <v>86</v>
      </c>
      <c r="L19" s="30">
        <v>86</v>
      </c>
      <c r="M19" s="30">
        <v>88</v>
      </c>
      <c r="N19" s="30">
        <v>95</v>
      </c>
      <c r="O19" s="30">
        <v>88</v>
      </c>
      <c r="P19" s="59">
        <f t="shared" si="0"/>
        <v>984</v>
      </c>
      <c r="Q19" s="62">
        <f t="shared" si="1"/>
        <v>89.454545454545453</v>
      </c>
      <c r="R19" s="59">
        <f t="shared" si="2"/>
        <v>3</v>
      </c>
      <c r="S19" s="15"/>
      <c r="T19" s="15"/>
    </row>
    <row r="20" spans="1:20" ht="20.100000000000001" customHeight="1" x14ac:dyDescent="0.25">
      <c r="A20" s="121">
        <v>17</v>
      </c>
      <c r="B20" s="140"/>
      <c r="C20" s="141">
        <v>15</v>
      </c>
      <c r="D20" s="141" t="s">
        <v>23</v>
      </c>
      <c r="E20" s="138">
        <v>83</v>
      </c>
      <c r="F20" s="30">
        <v>68</v>
      </c>
      <c r="G20" s="30">
        <v>74</v>
      </c>
      <c r="H20" s="30">
        <v>60</v>
      </c>
      <c r="I20" s="30">
        <v>56</v>
      </c>
      <c r="J20" s="30">
        <v>61</v>
      </c>
      <c r="K20" s="30">
        <v>68</v>
      </c>
      <c r="L20" s="30">
        <v>81</v>
      </c>
      <c r="M20" s="30">
        <v>85</v>
      </c>
      <c r="N20" s="30">
        <v>81</v>
      </c>
      <c r="O20" s="30">
        <v>86</v>
      </c>
      <c r="P20" s="59">
        <f t="shared" si="0"/>
        <v>803</v>
      </c>
      <c r="Q20" s="62">
        <f t="shared" si="1"/>
        <v>73</v>
      </c>
      <c r="R20" s="59">
        <f t="shared" si="2"/>
        <v>27</v>
      </c>
      <c r="S20" s="15"/>
      <c r="T20" s="15"/>
    </row>
    <row r="21" spans="1:20" ht="20.100000000000001" customHeight="1" x14ac:dyDescent="0.25">
      <c r="A21" s="121">
        <v>18</v>
      </c>
      <c r="B21" s="140"/>
      <c r="C21" s="141">
        <v>14</v>
      </c>
      <c r="D21" s="141" t="s">
        <v>23</v>
      </c>
      <c r="E21" s="138">
        <v>88</v>
      </c>
      <c r="F21" s="30">
        <v>66</v>
      </c>
      <c r="G21" s="31">
        <v>72</v>
      </c>
      <c r="H21" s="30">
        <v>63</v>
      </c>
      <c r="I21" s="30">
        <v>70</v>
      </c>
      <c r="J21" s="30">
        <v>76</v>
      </c>
      <c r="K21" s="30">
        <v>67</v>
      </c>
      <c r="L21" s="30">
        <v>77</v>
      </c>
      <c r="M21" s="30">
        <v>75</v>
      </c>
      <c r="N21" s="30">
        <v>86</v>
      </c>
      <c r="O21" s="30">
        <v>82</v>
      </c>
      <c r="P21" s="59">
        <f t="shared" si="0"/>
        <v>822</v>
      </c>
      <c r="Q21" s="62">
        <f t="shared" si="1"/>
        <v>74.727272727272734</v>
      </c>
      <c r="R21" s="59">
        <f t="shared" si="2"/>
        <v>25</v>
      </c>
      <c r="S21" s="15"/>
      <c r="T21" s="15"/>
    </row>
    <row r="22" spans="1:20" ht="20.100000000000001" customHeight="1" x14ac:dyDescent="0.25">
      <c r="A22" s="137">
        <v>19</v>
      </c>
      <c r="B22" s="140"/>
      <c r="C22" s="141">
        <v>15</v>
      </c>
      <c r="D22" s="141" t="s">
        <v>20</v>
      </c>
      <c r="E22" s="138">
        <v>71</v>
      </c>
      <c r="F22" s="30">
        <v>53</v>
      </c>
      <c r="G22" s="30">
        <v>51</v>
      </c>
      <c r="H22" s="30">
        <v>57</v>
      </c>
      <c r="I22" s="30">
        <v>61</v>
      </c>
      <c r="J22" s="30">
        <v>61</v>
      </c>
      <c r="K22" s="30">
        <v>64</v>
      </c>
      <c r="L22" s="30">
        <v>76</v>
      </c>
      <c r="M22" s="30">
        <v>63</v>
      </c>
      <c r="N22" s="30">
        <v>84</v>
      </c>
      <c r="O22" s="30">
        <v>82</v>
      </c>
      <c r="P22" s="59">
        <f t="shared" si="0"/>
        <v>723</v>
      </c>
      <c r="Q22" s="62">
        <f t="shared" si="1"/>
        <v>65.727272727272734</v>
      </c>
      <c r="R22" s="59">
        <f t="shared" si="2"/>
        <v>34</v>
      </c>
      <c r="S22" s="15"/>
      <c r="T22" s="15"/>
    </row>
    <row r="23" spans="1:20" ht="20.100000000000001" customHeight="1" x14ac:dyDescent="0.25">
      <c r="A23" s="137">
        <v>20</v>
      </c>
      <c r="B23" s="140"/>
      <c r="C23" s="141">
        <v>14</v>
      </c>
      <c r="D23" s="141" t="s">
        <v>23</v>
      </c>
      <c r="E23" s="138">
        <v>89</v>
      </c>
      <c r="F23" s="30">
        <v>79</v>
      </c>
      <c r="G23" s="30">
        <v>81</v>
      </c>
      <c r="H23" s="30">
        <v>84</v>
      </c>
      <c r="I23" s="30">
        <v>85</v>
      </c>
      <c r="J23" s="30">
        <v>86</v>
      </c>
      <c r="K23" s="30">
        <v>82</v>
      </c>
      <c r="L23" s="30">
        <v>82</v>
      </c>
      <c r="M23" s="30">
        <v>89</v>
      </c>
      <c r="N23" s="30">
        <v>96</v>
      </c>
      <c r="O23" s="30">
        <v>95</v>
      </c>
      <c r="P23" s="59">
        <f t="shared" si="0"/>
        <v>948</v>
      </c>
      <c r="Q23" s="62">
        <f t="shared" si="1"/>
        <v>86.181818181818187</v>
      </c>
      <c r="R23" s="59">
        <f t="shared" si="2"/>
        <v>7</v>
      </c>
      <c r="S23" s="15"/>
      <c r="T23" s="15"/>
    </row>
    <row r="24" spans="1:20" ht="20.100000000000001" customHeight="1" x14ac:dyDescent="0.25">
      <c r="A24" s="137">
        <v>21</v>
      </c>
      <c r="B24" s="140"/>
      <c r="C24" s="141">
        <v>15</v>
      </c>
      <c r="D24" s="141" t="s">
        <v>20</v>
      </c>
      <c r="E24" s="138">
        <v>71</v>
      </c>
      <c r="F24" s="30">
        <v>80</v>
      </c>
      <c r="G24" s="30">
        <v>78</v>
      </c>
      <c r="H24" s="30">
        <v>90</v>
      </c>
      <c r="I24" s="30">
        <v>85</v>
      </c>
      <c r="J24" s="30">
        <v>85</v>
      </c>
      <c r="K24" s="30">
        <v>92</v>
      </c>
      <c r="L24" s="30">
        <v>96</v>
      </c>
      <c r="M24" s="30">
        <v>82</v>
      </c>
      <c r="N24" s="30">
        <v>96</v>
      </c>
      <c r="O24" s="30">
        <v>99</v>
      </c>
      <c r="P24" s="59">
        <f t="shared" si="0"/>
        <v>954</v>
      </c>
      <c r="Q24" s="62">
        <f t="shared" si="1"/>
        <v>86.727272727272734</v>
      </c>
      <c r="R24" s="59">
        <f t="shared" si="2"/>
        <v>6</v>
      </c>
      <c r="S24" s="15"/>
      <c r="T24" s="15"/>
    </row>
    <row r="25" spans="1:20" ht="20.100000000000001" customHeight="1" x14ac:dyDescent="0.25">
      <c r="A25" s="121">
        <v>22</v>
      </c>
      <c r="B25" s="140"/>
      <c r="C25" s="141">
        <v>14</v>
      </c>
      <c r="D25" s="141" t="s">
        <v>23</v>
      </c>
      <c r="E25" s="138">
        <v>84</v>
      </c>
      <c r="F25" s="30">
        <v>80</v>
      </c>
      <c r="G25" s="30">
        <v>64</v>
      </c>
      <c r="H25" s="30">
        <v>74</v>
      </c>
      <c r="I25" s="30">
        <v>56</v>
      </c>
      <c r="J25" s="30">
        <v>76</v>
      </c>
      <c r="K25" s="30">
        <v>76</v>
      </c>
      <c r="L25" s="30">
        <v>74</v>
      </c>
      <c r="M25" s="30">
        <v>85</v>
      </c>
      <c r="N25" s="30">
        <v>88</v>
      </c>
      <c r="O25" s="30">
        <v>85</v>
      </c>
      <c r="P25" s="59">
        <f t="shared" si="0"/>
        <v>842</v>
      </c>
      <c r="Q25" s="62">
        <f t="shared" si="1"/>
        <v>76.545454545454547</v>
      </c>
      <c r="R25" s="59">
        <f t="shared" si="2"/>
        <v>20</v>
      </c>
      <c r="S25" s="15"/>
      <c r="T25" s="15"/>
    </row>
    <row r="26" spans="1:20" ht="20.100000000000001" customHeight="1" x14ac:dyDescent="0.25">
      <c r="A26" s="121">
        <v>23</v>
      </c>
      <c r="B26" s="140"/>
      <c r="C26" s="141">
        <v>15</v>
      </c>
      <c r="D26" s="141" t="s">
        <v>23</v>
      </c>
      <c r="E26" s="138">
        <v>91</v>
      </c>
      <c r="F26" s="30">
        <v>75</v>
      </c>
      <c r="G26" s="30">
        <v>77</v>
      </c>
      <c r="H26" s="30">
        <v>76</v>
      </c>
      <c r="I26" s="30">
        <v>65</v>
      </c>
      <c r="J26" s="30">
        <v>79</v>
      </c>
      <c r="K26" s="30">
        <v>80</v>
      </c>
      <c r="L26" s="30">
        <v>82</v>
      </c>
      <c r="M26" s="30">
        <v>89</v>
      </c>
      <c r="N26" s="30">
        <v>96</v>
      </c>
      <c r="O26" s="30">
        <v>92</v>
      </c>
      <c r="P26" s="59">
        <f t="shared" si="0"/>
        <v>902</v>
      </c>
      <c r="Q26" s="62">
        <f t="shared" si="1"/>
        <v>82</v>
      </c>
      <c r="R26" s="59">
        <f t="shared" si="2"/>
        <v>10</v>
      </c>
      <c r="S26" s="15"/>
      <c r="T26" s="15"/>
    </row>
    <row r="27" spans="1:20" ht="20.100000000000001" customHeight="1" x14ac:dyDescent="0.25">
      <c r="A27" s="137">
        <v>24</v>
      </c>
      <c r="B27" s="140"/>
      <c r="C27" s="141">
        <v>14</v>
      </c>
      <c r="D27" s="141" t="s">
        <v>20</v>
      </c>
      <c r="E27" s="138">
        <v>94</v>
      </c>
      <c r="F27" s="30">
        <v>88</v>
      </c>
      <c r="G27" s="31">
        <v>79</v>
      </c>
      <c r="H27" s="31">
        <v>84</v>
      </c>
      <c r="I27" s="30">
        <v>81</v>
      </c>
      <c r="J27" s="31">
        <v>85</v>
      </c>
      <c r="K27" s="30">
        <v>83</v>
      </c>
      <c r="L27" s="30">
        <v>93</v>
      </c>
      <c r="M27" s="30">
        <v>90</v>
      </c>
      <c r="N27" s="30">
        <v>92</v>
      </c>
      <c r="O27" s="30">
        <v>87</v>
      </c>
      <c r="P27" s="59">
        <f t="shared" si="0"/>
        <v>956</v>
      </c>
      <c r="Q27" s="62">
        <f t="shared" si="1"/>
        <v>86.909090909090907</v>
      </c>
      <c r="R27" s="59">
        <f t="shared" si="2"/>
        <v>5</v>
      </c>
      <c r="S27" s="15"/>
      <c r="T27" s="15"/>
    </row>
    <row r="28" spans="1:20" ht="20.100000000000001" customHeight="1" x14ac:dyDescent="0.25">
      <c r="A28" s="121">
        <v>25</v>
      </c>
      <c r="B28" s="140"/>
      <c r="C28" s="141">
        <v>14</v>
      </c>
      <c r="D28" s="141" t="s">
        <v>20</v>
      </c>
      <c r="E28" s="138">
        <v>89</v>
      </c>
      <c r="F28" s="31">
        <v>69</v>
      </c>
      <c r="G28" s="31">
        <v>82</v>
      </c>
      <c r="H28" s="30">
        <v>75</v>
      </c>
      <c r="I28" s="31">
        <v>71</v>
      </c>
      <c r="J28" s="30">
        <v>74</v>
      </c>
      <c r="K28" s="30">
        <v>62</v>
      </c>
      <c r="L28" s="30">
        <v>80</v>
      </c>
      <c r="M28" s="30">
        <v>84</v>
      </c>
      <c r="N28" s="30">
        <v>99</v>
      </c>
      <c r="O28" s="30">
        <v>91</v>
      </c>
      <c r="P28" s="59">
        <f t="shared" si="0"/>
        <v>876</v>
      </c>
      <c r="Q28" s="62">
        <f t="shared" si="1"/>
        <v>79.63636363636364</v>
      </c>
      <c r="R28" s="59">
        <f t="shared" si="2"/>
        <v>14</v>
      </c>
      <c r="S28" s="15"/>
      <c r="T28" s="15"/>
    </row>
    <row r="29" spans="1:20" ht="20.100000000000001" customHeight="1" x14ac:dyDescent="0.25">
      <c r="A29" s="137">
        <v>26</v>
      </c>
      <c r="B29" s="140"/>
      <c r="C29" s="141">
        <v>15</v>
      </c>
      <c r="D29" s="141" t="s">
        <v>23</v>
      </c>
      <c r="E29" s="138">
        <v>78</v>
      </c>
      <c r="F29" s="30">
        <v>38</v>
      </c>
      <c r="G29" s="228">
        <v>47</v>
      </c>
      <c r="H29" s="228">
        <v>40</v>
      </c>
      <c r="I29" s="30">
        <v>53</v>
      </c>
      <c r="J29" s="228">
        <v>45</v>
      </c>
      <c r="K29" s="228">
        <v>46</v>
      </c>
      <c r="L29" s="30">
        <v>68</v>
      </c>
      <c r="M29" s="228">
        <v>47</v>
      </c>
      <c r="N29" s="30">
        <v>73</v>
      </c>
      <c r="O29" s="30">
        <v>92</v>
      </c>
      <c r="P29" s="59">
        <f t="shared" si="0"/>
        <v>627</v>
      </c>
      <c r="Q29" s="62">
        <f t="shared" si="1"/>
        <v>57</v>
      </c>
      <c r="R29" s="59">
        <f t="shared" si="2"/>
        <v>45</v>
      </c>
      <c r="S29" s="15"/>
      <c r="T29" s="15"/>
    </row>
    <row r="30" spans="1:20" ht="20.100000000000001" customHeight="1" x14ac:dyDescent="0.25">
      <c r="A30" s="137">
        <v>27</v>
      </c>
      <c r="B30" s="140"/>
      <c r="C30" s="141">
        <v>14</v>
      </c>
      <c r="D30" s="141" t="s">
        <v>23</v>
      </c>
      <c r="E30" s="138">
        <v>73</v>
      </c>
      <c r="F30" s="30">
        <v>55</v>
      </c>
      <c r="G30" s="31">
        <v>51</v>
      </c>
      <c r="H30" s="30">
        <v>50</v>
      </c>
      <c r="I30" s="30">
        <v>50</v>
      </c>
      <c r="J30" s="30">
        <v>46</v>
      </c>
      <c r="K30" s="30">
        <v>55</v>
      </c>
      <c r="L30" s="30">
        <v>63</v>
      </c>
      <c r="M30" s="30">
        <v>60</v>
      </c>
      <c r="N30" s="30">
        <v>61</v>
      </c>
      <c r="O30" s="30">
        <v>83</v>
      </c>
      <c r="P30" s="59">
        <f t="shared" si="0"/>
        <v>647</v>
      </c>
      <c r="Q30" s="62">
        <f t="shared" si="1"/>
        <v>58.81818181818182</v>
      </c>
      <c r="R30" s="59">
        <f t="shared" si="2"/>
        <v>43</v>
      </c>
      <c r="S30" s="15"/>
      <c r="T30" s="15"/>
    </row>
    <row r="31" spans="1:20" ht="20.100000000000001" customHeight="1" x14ac:dyDescent="0.25">
      <c r="A31" s="137">
        <v>28</v>
      </c>
      <c r="B31" s="140"/>
      <c r="C31" s="141">
        <v>14</v>
      </c>
      <c r="D31" s="141" t="s">
        <v>23</v>
      </c>
      <c r="E31" s="138">
        <v>93</v>
      </c>
      <c r="F31" s="30">
        <v>66</v>
      </c>
      <c r="G31" s="30">
        <v>53</v>
      </c>
      <c r="H31" s="30">
        <v>52</v>
      </c>
      <c r="I31" s="30">
        <v>64</v>
      </c>
      <c r="J31" s="30">
        <v>48</v>
      </c>
      <c r="K31" s="30">
        <v>75</v>
      </c>
      <c r="L31" s="30">
        <v>79</v>
      </c>
      <c r="M31" s="30">
        <v>65</v>
      </c>
      <c r="N31" s="30">
        <v>81</v>
      </c>
      <c r="O31" s="30">
        <v>83</v>
      </c>
      <c r="P31" s="59">
        <f t="shared" si="0"/>
        <v>759</v>
      </c>
      <c r="Q31" s="62">
        <f t="shared" si="1"/>
        <v>69</v>
      </c>
      <c r="R31" s="59">
        <f t="shared" si="2"/>
        <v>30</v>
      </c>
      <c r="S31" s="15"/>
      <c r="T31" s="15"/>
    </row>
    <row r="32" spans="1:20" ht="20.100000000000001" customHeight="1" x14ac:dyDescent="0.25">
      <c r="A32" s="121">
        <v>29</v>
      </c>
      <c r="B32" s="140"/>
      <c r="C32" s="141">
        <v>16</v>
      </c>
      <c r="D32" s="141" t="s">
        <v>23</v>
      </c>
      <c r="E32" s="138">
        <v>85</v>
      </c>
      <c r="F32" s="30">
        <v>76</v>
      </c>
      <c r="G32" s="30">
        <v>80</v>
      </c>
      <c r="H32" s="30">
        <v>78</v>
      </c>
      <c r="I32" s="30">
        <v>63</v>
      </c>
      <c r="J32" s="30">
        <v>77</v>
      </c>
      <c r="K32" s="30">
        <v>76</v>
      </c>
      <c r="L32" s="30">
        <v>76</v>
      </c>
      <c r="M32" s="30">
        <v>73</v>
      </c>
      <c r="N32" s="30">
        <v>88</v>
      </c>
      <c r="O32" s="30">
        <v>82</v>
      </c>
      <c r="P32" s="59">
        <f t="shared" si="0"/>
        <v>854</v>
      </c>
      <c r="Q32" s="62">
        <f t="shared" si="1"/>
        <v>77.63636363636364</v>
      </c>
      <c r="R32" s="59">
        <f t="shared" si="2"/>
        <v>17</v>
      </c>
      <c r="S32" s="15"/>
      <c r="T32" s="15"/>
    </row>
    <row r="33" spans="1:20" ht="20.100000000000001" customHeight="1" x14ac:dyDescent="0.25">
      <c r="A33" s="137">
        <v>30</v>
      </c>
      <c r="B33" s="140"/>
      <c r="C33" s="141">
        <v>14</v>
      </c>
      <c r="D33" s="141" t="s">
        <v>23</v>
      </c>
      <c r="E33" s="138">
        <v>88</v>
      </c>
      <c r="F33" s="31">
        <v>79</v>
      </c>
      <c r="G33" s="31">
        <v>89</v>
      </c>
      <c r="H33" s="31">
        <v>76</v>
      </c>
      <c r="I33" s="30">
        <v>80</v>
      </c>
      <c r="J33" s="30">
        <v>69</v>
      </c>
      <c r="K33" s="30">
        <v>77</v>
      </c>
      <c r="L33" s="30">
        <v>88</v>
      </c>
      <c r="M33" s="30">
        <v>88</v>
      </c>
      <c r="N33" s="30">
        <v>95</v>
      </c>
      <c r="O33" s="31">
        <v>91</v>
      </c>
      <c r="P33" s="59">
        <f t="shared" si="0"/>
        <v>920</v>
      </c>
      <c r="Q33" s="62">
        <f t="shared" si="1"/>
        <v>83.63636363636364</v>
      </c>
      <c r="R33" s="59">
        <f t="shared" si="2"/>
        <v>9</v>
      </c>
      <c r="S33" s="15"/>
      <c r="T33" s="15"/>
    </row>
    <row r="34" spans="1:20" ht="20.100000000000001" customHeight="1" x14ac:dyDescent="0.25">
      <c r="A34" s="121">
        <v>31</v>
      </c>
      <c r="B34" s="140"/>
      <c r="C34" s="141">
        <v>14</v>
      </c>
      <c r="D34" s="141" t="s">
        <v>20</v>
      </c>
      <c r="E34" s="138">
        <v>79</v>
      </c>
      <c r="F34" s="228">
        <v>48</v>
      </c>
      <c r="G34" s="31">
        <v>52</v>
      </c>
      <c r="H34" s="30">
        <v>51</v>
      </c>
      <c r="I34" s="228">
        <v>44</v>
      </c>
      <c r="J34" s="30">
        <v>54</v>
      </c>
      <c r="K34" s="229">
        <v>48</v>
      </c>
      <c r="L34" s="30">
        <v>64</v>
      </c>
      <c r="M34" s="30">
        <v>60</v>
      </c>
      <c r="N34" s="30">
        <v>73</v>
      </c>
      <c r="O34" s="30">
        <v>88</v>
      </c>
      <c r="P34" s="59">
        <f t="shared" si="0"/>
        <v>661</v>
      </c>
      <c r="Q34" s="62">
        <f t="shared" si="1"/>
        <v>60.090909090909093</v>
      </c>
      <c r="R34" s="59">
        <f t="shared" si="2"/>
        <v>39</v>
      </c>
      <c r="S34" s="15"/>
      <c r="T34" s="15"/>
    </row>
    <row r="35" spans="1:20" ht="20.100000000000001" customHeight="1" x14ac:dyDescent="0.25">
      <c r="A35" s="121">
        <v>32</v>
      </c>
      <c r="B35" s="140"/>
      <c r="C35" s="141">
        <v>16</v>
      </c>
      <c r="D35" s="141" t="s">
        <v>23</v>
      </c>
      <c r="E35" s="222"/>
      <c r="F35" s="223"/>
      <c r="G35" s="223"/>
      <c r="H35" s="223"/>
      <c r="I35" s="223"/>
      <c r="J35" s="223"/>
      <c r="K35" s="223"/>
      <c r="L35" s="223"/>
      <c r="M35" s="223"/>
      <c r="N35" s="223"/>
      <c r="O35" s="223"/>
      <c r="P35" s="59">
        <f t="shared" si="0"/>
        <v>0</v>
      </c>
      <c r="Q35" s="62"/>
      <c r="R35" s="59"/>
      <c r="S35" s="15"/>
      <c r="T35" s="15"/>
    </row>
    <row r="36" spans="1:20" ht="20.100000000000001" customHeight="1" x14ac:dyDescent="0.25">
      <c r="A36" s="121">
        <v>33</v>
      </c>
      <c r="B36" s="140"/>
      <c r="C36" s="141">
        <v>14</v>
      </c>
      <c r="D36" s="141" t="s">
        <v>23</v>
      </c>
      <c r="E36" s="138">
        <v>86</v>
      </c>
      <c r="F36" s="30">
        <v>81</v>
      </c>
      <c r="G36" s="31">
        <v>77</v>
      </c>
      <c r="H36" s="30">
        <v>71</v>
      </c>
      <c r="I36" s="30">
        <v>72</v>
      </c>
      <c r="J36" s="30">
        <v>75</v>
      </c>
      <c r="K36" s="30">
        <v>76</v>
      </c>
      <c r="L36" s="30">
        <v>80</v>
      </c>
      <c r="M36" s="30">
        <v>81</v>
      </c>
      <c r="N36" s="30">
        <v>91</v>
      </c>
      <c r="O36" s="30">
        <v>96</v>
      </c>
      <c r="P36" s="59">
        <f t="shared" si="0"/>
        <v>886</v>
      </c>
      <c r="Q36" s="62">
        <f t="shared" si="1"/>
        <v>80.545454545454547</v>
      </c>
      <c r="R36" s="59">
        <f t="shared" si="2"/>
        <v>12</v>
      </c>
      <c r="S36" s="15"/>
      <c r="T36" s="15"/>
    </row>
    <row r="37" spans="1:20" ht="20.100000000000001" customHeight="1" x14ac:dyDescent="0.25">
      <c r="A37" s="137">
        <v>34</v>
      </c>
      <c r="B37" s="140"/>
      <c r="C37" s="141">
        <v>14</v>
      </c>
      <c r="D37" s="141" t="s">
        <v>20</v>
      </c>
      <c r="E37" s="138">
        <v>80</v>
      </c>
      <c r="F37" s="30">
        <v>62</v>
      </c>
      <c r="G37" s="30">
        <v>85</v>
      </c>
      <c r="H37" s="30">
        <v>76</v>
      </c>
      <c r="I37" s="30">
        <v>79</v>
      </c>
      <c r="J37" s="30">
        <v>77</v>
      </c>
      <c r="K37" s="30">
        <v>76</v>
      </c>
      <c r="L37" s="30">
        <v>77</v>
      </c>
      <c r="M37" s="30">
        <v>64</v>
      </c>
      <c r="N37" s="30">
        <v>95</v>
      </c>
      <c r="O37" s="30">
        <v>84</v>
      </c>
      <c r="P37" s="59">
        <f t="shared" si="0"/>
        <v>855</v>
      </c>
      <c r="Q37" s="62">
        <f t="shared" si="1"/>
        <v>77.727272727272734</v>
      </c>
      <c r="R37" s="59">
        <f t="shared" si="2"/>
        <v>16</v>
      </c>
      <c r="S37" s="15"/>
      <c r="T37" s="15"/>
    </row>
    <row r="38" spans="1:20" ht="20.100000000000001" customHeight="1" x14ac:dyDescent="0.25">
      <c r="A38" s="137">
        <v>35</v>
      </c>
      <c r="B38" s="140"/>
      <c r="C38" s="141">
        <v>15</v>
      </c>
      <c r="D38" s="141" t="s">
        <v>20</v>
      </c>
      <c r="E38" s="138">
        <v>81</v>
      </c>
      <c r="F38" s="30">
        <v>67</v>
      </c>
      <c r="G38" s="30">
        <v>52</v>
      </c>
      <c r="H38" s="30">
        <v>68</v>
      </c>
      <c r="I38" s="30">
        <v>62</v>
      </c>
      <c r="J38" s="30">
        <v>84</v>
      </c>
      <c r="K38" s="30">
        <v>80</v>
      </c>
      <c r="L38" s="30">
        <v>89</v>
      </c>
      <c r="M38" s="30">
        <v>88</v>
      </c>
      <c r="N38" s="30">
        <v>89</v>
      </c>
      <c r="O38" s="30">
        <v>77</v>
      </c>
      <c r="P38" s="59">
        <f t="shared" si="0"/>
        <v>837</v>
      </c>
      <c r="Q38" s="62">
        <f t="shared" si="1"/>
        <v>76.090909090909093</v>
      </c>
      <c r="R38" s="59">
        <f t="shared" si="2"/>
        <v>21</v>
      </c>
      <c r="S38" s="15"/>
      <c r="T38" s="15"/>
    </row>
    <row r="39" spans="1:20" ht="20.100000000000001" customHeight="1" x14ac:dyDescent="0.25">
      <c r="A39" s="137">
        <v>36</v>
      </c>
      <c r="B39" s="140"/>
      <c r="C39" s="141">
        <v>14</v>
      </c>
      <c r="D39" s="141" t="s">
        <v>23</v>
      </c>
      <c r="E39" s="138">
        <v>79</v>
      </c>
      <c r="F39" s="30">
        <v>63</v>
      </c>
      <c r="G39" s="31">
        <v>70</v>
      </c>
      <c r="H39" s="30">
        <v>61</v>
      </c>
      <c r="I39" s="30">
        <v>57</v>
      </c>
      <c r="J39" s="30">
        <v>65</v>
      </c>
      <c r="K39" s="30">
        <v>58</v>
      </c>
      <c r="L39" s="30">
        <v>74</v>
      </c>
      <c r="M39" s="30">
        <v>62</v>
      </c>
      <c r="N39" s="30">
        <v>79</v>
      </c>
      <c r="O39" s="30">
        <v>84</v>
      </c>
      <c r="P39" s="59">
        <f t="shared" si="0"/>
        <v>752</v>
      </c>
      <c r="Q39" s="62">
        <f t="shared" si="1"/>
        <v>68.36363636363636</v>
      </c>
      <c r="R39" s="59">
        <f t="shared" si="2"/>
        <v>31</v>
      </c>
      <c r="S39" s="15"/>
      <c r="T39" s="15"/>
    </row>
    <row r="40" spans="1:20" ht="20.100000000000001" customHeight="1" x14ac:dyDescent="0.25">
      <c r="A40" s="121">
        <v>37</v>
      </c>
      <c r="B40" s="140"/>
      <c r="C40" s="141">
        <v>15</v>
      </c>
      <c r="D40" s="141" t="s">
        <v>20</v>
      </c>
      <c r="E40" s="138">
        <v>66</v>
      </c>
      <c r="F40" s="30">
        <v>66</v>
      </c>
      <c r="G40" s="228">
        <v>48</v>
      </c>
      <c r="H40" s="30">
        <v>63</v>
      </c>
      <c r="I40" s="228">
        <v>45</v>
      </c>
      <c r="J40" s="30">
        <v>57</v>
      </c>
      <c r="K40" s="30">
        <v>62</v>
      </c>
      <c r="L40" s="30">
        <v>73</v>
      </c>
      <c r="M40" s="30">
        <v>54</v>
      </c>
      <c r="N40" s="228">
        <v>47</v>
      </c>
      <c r="O40" s="30">
        <v>79</v>
      </c>
      <c r="P40" s="59">
        <f t="shared" si="0"/>
        <v>660</v>
      </c>
      <c r="Q40" s="62">
        <f t="shared" si="1"/>
        <v>60</v>
      </c>
      <c r="R40" s="59">
        <f t="shared" si="2"/>
        <v>41</v>
      </c>
      <c r="S40" s="15"/>
      <c r="T40" s="15"/>
    </row>
    <row r="41" spans="1:20" ht="20.100000000000001" customHeight="1" x14ac:dyDescent="0.25">
      <c r="A41" s="121">
        <v>38</v>
      </c>
      <c r="B41" s="140"/>
      <c r="C41" s="141">
        <v>15</v>
      </c>
      <c r="D41" s="141" t="s">
        <v>23</v>
      </c>
      <c r="E41" s="138">
        <v>84</v>
      </c>
      <c r="F41" s="30">
        <v>72</v>
      </c>
      <c r="G41" s="30">
        <v>74</v>
      </c>
      <c r="H41" s="30">
        <v>73</v>
      </c>
      <c r="I41" s="30">
        <v>61</v>
      </c>
      <c r="J41" s="30">
        <v>66</v>
      </c>
      <c r="K41" s="30">
        <v>71</v>
      </c>
      <c r="L41" s="30">
        <v>75</v>
      </c>
      <c r="M41" s="30">
        <v>78</v>
      </c>
      <c r="N41" s="30">
        <v>85</v>
      </c>
      <c r="O41" s="30">
        <v>82</v>
      </c>
      <c r="P41" s="59">
        <f t="shared" si="0"/>
        <v>821</v>
      </c>
      <c r="Q41" s="62">
        <f t="shared" si="1"/>
        <v>74.63636363636364</v>
      </c>
      <c r="R41" s="59">
        <f t="shared" si="2"/>
        <v>26</v>
      </c>
      <c r="S41" s="15"/>
      <c r="T41" s="15"/>
    </row>
    <row r="42" spans="1:20" ht="20.100000000000001" customHeight="1" x14ac:dyDescent="0.25">
      <c r="A42" s="137">
        <v>39</v>
      </c>
      <c r="B42" s="140"/>
      <c r="C42" s="141">
        <v>14</v>
      </c>
      <c r="D42" s="141" t="s">
        <v>20</v>
      </c>
      <c r="E42" s="138">
        <v>84</v>
      </c>
      <c r="F42" s="30">
        <v>57</v>
      </c>
      <c r="G42" s="31">
        <v>57</v>
      </c>
      <c r="H42" s="30">
        <v>60</v>
      </c>
      <c r="I42" s="228">
        <v>45</v>
      </c>
      <c r="J42" s="30">
        <v>50</v>
      </c>
      <c r="K42" s="30">
        <v>50</v>
      </c>
      <c r="L42" s="30">
        <v>65</v>
      </c>
      <c r="M42" s="30">
        <v>57</v>
      </c>
      <c r="N42" s="30">
        <v>75</v>
      </c>
      <c r="O42" s="30">
        <v>79</v>
      </c>
      <c r="P42" s="59">
        <f t="shared" si="0"/>
        <v>679</v>
      </c>
      <c r="Q42" s="62">
        <f t="shared" si="1"/>
        <v>61.727272727272727</v>
      </c>
      <c r="R42" s="59">
        <f t="shared" si="2"/>
        <v>37</v>
      </c>
      <c r="S42" s="15"/>
      <c r="T42" s="15"/>
    </row>
    <row r="43" spans="1:20" ht="20.100000000000001" customHeight="1" x14ac:dyDescent="0.25">
      <c r="A43" s="121">
        <v>40</v>
      </c>
      <c r="B43" s="140"/>
      <c r="C43" s="141">
        <v>15</v>
      </c>
      <c r="D43" s="141" t="s">
        <v>23</v>
      </c>
      <c r="E43" s="222"/>
      <c r="F43" s="223"/>
      <c r="G43" s="223"/>
      <c r="H43" s="223"/>
      <c r="I43" s="223"/>
      <c r="J43" s="223"/>
      <c r="K43" s="224"/>
      <c r="L43" s="223"/>
      <c r="M43" s="223"/>
      <c r="N43" s="223"/>
      <c r="O43" s="223"/>
      <c r="P43" s="59">
        <f t="shared" si="0"/>
        <v>0</v>
      </c>
      <c r="Q43" s="62"/>
      <c r="R43" s="59"/>
      <c r="S43" s="15"/>
      <c r="T43" s="15"/>
    </row>
    <row r="44" spans="1:20" ht="20.100000000000001" customHeight="1" x14ac:dyDescent="0.25">
      <c r="A44" s="137">
        <v>41</v>
      </c>
      <c r="B44" s="140"/>
      <c r="C44" s="141">
        <v>16</v>
      </c>
      <c r="D44" s="141" t="s">
        <v>20</v>
      </c>
      <c r="E44" s="138">
        <v>58</v>
      </c>
      <c r="F44" s="30">
        <v>56</v>
      </c>
      <c r="G44" s="30">
        <v>56</v>
      </c>
      <c r="H44" s="30">
        <v>58</v>
      </c>
      <c r="I44" s="30">
        <v>57</v>
      </c>
      <c r="J44" s="30">
        <v>56</v>
      </c>
      <c r="K44" s="30">
        <v>66</v>
      </c>
      <c r="L44" s="30">
        <v>68</v>
      </c>
      <c r="M44" s="30">
        <v>53</v>
      </c>
      <c r="N44" s="30">
        <v>84</v>
      </c>
      <c r="O44" s="30">
        <v>85</v>
      </c>
      <c r="P44" s="59">
        <f t="shared" si="0"/>
        <v>697</v>
      </c>
      <c r="Q44" s="62">
        <f t="shared" si="1"/>
        <v>63.363636363636367</v>
      </c>
      <c r="R44" s="59">
        <f t="shared" si="2"/>
        <v>35</v>
      </c>
      <c r="S44" s="15"/>
      <c r="T44" s="15"/>
    </row>
    <row r="45" spans="1:20" ht="20.100000000000001" customHeight="1" x14ac:dyDescent="0.25">
      <c r="A45" s="137">
        <v>42</v>
      </c>
      <c r="B45" s="140"/>
      <c r="C45" s="141">
        <v>16</v>
      </c>
      <c r="D45" s="141" t="s">
        <v>23</v>
      </c>
      <c r="E45" s="138">
        <v>67</v>
      </c>
      <c r="F45" s="229">
        <v>41</v>
      </c>
      <c r="G45" s="229">
        <v>31</v>
      </c>
      <c r="H45" s="229">
        <v>44</v>
      </c>
      <c r="I45" s="30">
        <v>51</v>
      </c>
      <c r="J45" s="228">
        <v>35</v>
      </c>
      <c r="K45" s="228">
        <v>43</v>
      </c>
      <c r="L45" s="228">
        <v>32</v>
      </c>
      <c r="M45" s="228">
        <v>48</v>
      </c>
      <c r="N45" s="31">
        <v>61</v>
      </c>
      <c r="O45" s="30">
        <v>66</v>
      </c>
      <c r="P45" s="59">
        <f t="shared" si="0"/>
        <v>519</v>
      </c>
      <c r="Q45" s="62">
        <f t="shared" si="1"/>
        <v>47.18181818181818</v>
      </c>
      <c r="R45" s="59">
        <f t="shared" si="2"/>
        <v>50</v>
      </c>
      <c r="S45" s="15"/>
      <c r="T45" s="15"/>
    </row>
    <row r="46" spans="1:20" ht="20.100000000000001" customHeight="1" x14ac:dyDescent="0.25">
      <c r="A46" s="137">
        <v>43</v>
      </c>
      <c r="B46" s="140"/>
      <c r="C46" s="141">
        <v>14</v>
      </c>
      <c r="D46" s="141" t="s">
        <v>20</v>
      </c>
      <c r="E46" s="138">
        <v>83</v>
      </c>
      <c r="F46" s="31">
        <v>64</v>
      </c>
      <c r="G46" s="31">
        <v>62</v>
      </c>
      <c r="H46" s="30">
        <v>67</v>
      </c>
      <c r="I46" s="31">
        <v>58</v>
      </c>
      <c r="J46" s="30">
        <v>75</v>
      </c>
      <c r="K46" s="31">
        <v>69</v>
      </c>
      <c r="L46" s="31">
        <v>78</v>
      </c>
      <c r="M46" s="30">
        <v>60</v>
      </c>
      <c r="N46" s="30">
        <v>89</v>
      </c>
      <c r="O46" s="31">
        <v>78</v>
      </c>
      <c r="P46" s="59">
        <f t="shared" si="0"/>
        <v>783</v>
      </c>
      <c r="Q46" s="62">
        <f t="shared" si="1"/>
        <v>71.181818181818187</v>
      </c>
      <c r="R46" s="59">
        <f t="shared" si="2"/>
        <v>28</v>
      </c>
      <c r="S46" s="15"/>
      <c r="T46" s="15"/>
    </row>
    <row r="47" spans="1:20" ht="20.100000000000001" customHeight="1" x14ac:dyDescent="0.25">
      <c r="A47" s="121">
        <v>44</v>
      </c>
      <c r="B47" s="140"/>
      <c r="C47" s="141">
        <v>15</v>
      </c>
      <c r="D47" s="141" t="s">
        <v>23</v>
      </c>
      <c r="E47" s="138">
        <v>63</v>
      </c>
      <c r="F47" s="228">
        <v>48</v>
      </c>
      <c r="G47" s="228">
        <v>37</v>
      </c>
      <c r="H47" s="228">
        <v>38</v>
      </c>
      <c r="I47" s="228">
        <v>39</v>
      </c>
      <c r="J47" s="228">
        <v>48</v>
      </c>
      <c r="K47" s="228">
        <v>46</v>
      </c>
      <c r="L47" s="228">
        <v>42</v>
      </c>
      <c r="M47" s="30">
        <v>53</v>
      </c>
      <c r="N47" s="30">
        <v>54</v>
      </c>
      <c r="O47" s="30">
        <v>78</v>
      </c>
      <c r="P47" s="59">
        <f t="shared" si="0"/>
        <v>546</v>
      </c>
      <c r="Q47" s="62">
        <f t="shared" si="1"/>
        <v>49.636363636363633</v>
      </c>
      <c r="R47" s="59">
        <f t="shared" si="2"/>
        <v>48</v>
      </c>
      <c r="S47" s="15"/>
      <c r="T47" s="15"/>
    </row>
    <row r="48" spans="1:20" ht="20.100000000000001" customHeight="1" x14ac:dyDescent="0.25">
      <c r="A48" s="137">
        <v>45</v>
      </c>
      <c r="B48" s="140"/>
      <c r="C48" s="141">
        <v>14</v>
      </c>
      <c r="D48" s="141" t="s">
        <v>20</v>
      </c>
      <c r="E48" s="138">
        <v>81</v>
      </c>
      <c r="F48" s="30">
        <v>67</v>
      </c>
      <c r="G48" s="30">
        <v>61</v>
      </c>
      <c r="H48" s="30">
        <v>67</v>
      </c>
      <c r="I48" s="30">
        <v>61</v>
      </c>
      <c r="J48" s="30">
        <v>77</v>
      </c>
      <c r="K48" s="30">
        <v>81</v>
      </c>
      <c r="L48" s="30">
        <v>79</v>
      </c>
      <c r="M48" s="30">
        <v>80</v>
      </c>
      <c r="N48" s="30">
        <v>93</v>
      </c>
      <c r="O48" s="30">
        <v>100</v>
      </c>
      <c r="P48" s="59">
        <f t="shared" si="0"/>
        <v>847</v>
      </c>
      <c r="Q48" s="62">
        <f t="shared" si="1"/>
        <v>77</v>
      </c>
      <c r="R48" s="59">
        <f t="shared" si="2"/>
        <v>18</v>
      </c>
      <c r="S48" s="15"/>
      <c r="T48" s="15"/>
    </row>
    <row r="49" spans="1:20" ht="20.100000000000001" customHeight="1" x14ac:dyDescent="0.25">
      <c r="A49" s="121">
        <v>46</v>
      </c>
      <c r="B49" s="140"/>
      <c r="C49" s="141">
        <v>14</v>
      </c>
      <c r="D49" s="141" t="s">
        <v>23</v>
      </c>
      <c r="E49" s="138">
        <v>61</v>
      </c>
      <c r="F49" s="228">
        <v>47</v>
      </c>
      <c r="G49" s="228">
        <v>45</v>
      </c>
      <c r="H49" s="30">
        <v>52</v>
      </c>
      <c r="I49" s="30">
        <v>52</v>
      </c>
      <c r="J49" s="228">
        <v>45</v>
      </c>
      <c r="K49" s="31">
        <v>52</v>
      </c>
      <c r="L49" s="30">
        <v>51</v>
      </c>
      <c r="M49" s="228">
        <v>45</v>
      </c>
      <c r="N49" s="30">
        <v>85</v>
      </c>
      <c r="O49" s="30">
        <v>87</v>
      </c>
      <c r="P49" s="59">
        <f t="shared" si="0"/>
        <v>622</v>
      </c>
      <c r="Q49" s="62">
        <f t="shared" si="1"/>
        <v>56.545454545454547</v>
      </c>
      <c r="R49" s="59">
        <f t="shared" si="2"/>
        <v>46</v>
      </c>
      <c r="S49" s="15"/>
      <c r="T49" s="15"/>
    </row>
    <row r="50" spans="1:20" ht="20.100000000000001" customHeight="1" x14ac:dyDescent="0.25">
      <c r="A50" s="121">
        <v>47</v>
      </c>
      <c r="B50" s="140"/>
      <c r="C50" s="141">
        <v>14</v>
      </c>
      <c r="D50" s="141" t="s">
        <v>23</v>
      </c>
      <c r="E50" s="138">
        <v>76</v>
      </c>
      <c r="F50" s="30">
        <v>74</v>
      </c>
      <c r="G50" s="30">
        <v>43</v>
      </c>
      <c r="H50" s="30">
        <v>55</v>
      </c>
      <c r="I50" s="228">
        <v>41</v>
      </c>
      <c r="J50" s="30">
        <v>52</v>
      </c>
      <c r="K50" s="30">
        <v>57</v>
      </c>
      <c r="L50" s="30">
        <v>67</v>
      </c>
      <c r="M50" s="30">
        <v>67</v>
      </c>
      <c r="N50" s="30">
        <v>72</v>
      </c>
      <c r="O50" s="30">
        <v>85</v>
      </c>
      <c r="P50" s="59">
        <f t="shared" si="0"/>
        <v>689</v>
      </c>
      <c r="Q50" s="62">
        <f t="shared" si="1"/>
        <v>62.636363636363633</v>
      </c>
      <c r="R50" s="59">
        <f t="shared" si="2"/>
        <v>36</v>
      </c>
      <c r="S50" s="15"/>
      <c r="T50" s="15"/>
    </row>
    <row r="51" spans="1:20" ht="20.100000000000001" customHeight="1" x14ac:dyDescent="0.25">
      <c r="A51" s="121">
        <v>48</v>
      </c>
      <c r="B51" s="140"/>
      <c r="C51" s="141">
        <v>14</v>
      </c>
      <c r="D51" s="141" t="s">
        <v>23</v>
      </c>
      <c r="E51" s="138">
        <v>81</v>
      </c>
      <c r="F51" s="30">
        <v>63</v>
      </c>
      <c r="G51" s="30">
        <v>52</v>
      </c>
      <c r="H51" s="30">
        <v>60</v>
      </c>
      <c r="I51" s="30">
        <v>53</v>
      </c>
      <c r="J51" s="30">
        <v>54</v>
      </c>
      <c r="K51" s="30">
        <v>58</v>
      </c>
      <c r="L51" s="30">
        <v>72</v>
      </c>
      <c r="M51" s="30">
        <v>76</v>
      </c>
      <c r="N51" s="30">
        <v>69</v>
      </c>
      <c r="O51" s="30">
        <v>90</v>
      </c>
      <c r="P51" s="59">
        <f t="shared" si="0"/>
        <v>728</v>
      </c>
      <c r="Q51" s="62">
        <f t="shared" si="1"/>
        <v>66.181818181818187</v>
      </c>
      <c r="R51" s="59">
        <f t="shared" si="2"/>
        <v>33</v>
      </c>
      <c r="S51" s="15"/>
      <c r="T51" s="15"/>
    </row>
    <row r="52" spans="1:20" ht="20.100000000000001" customHeight="1" x14ac:dyDescent="0.25">
      <c r="A52" s="137">
        <v>49</v>
      </c>
      <c r="B52" s="140"/>
      <c r="C52" s="141">
        <v>14</v>
      </c>
      <c r="D52" s="141" t="s">
        <v>20</v>
      </c>
      <c r="E52" s="138">
        <v>74</v>
      </c>
      <c r="F52" s="30">
        <v>76</v>
      </c>
      <c r="G52" s="30">
        <v>61</v>
      </c>
      <c r="H52" s="30">
        <v>68</v>
      </c>
      <c r="I52" s="30">
        <v>50</v>
      </c>
      <c r="J52" s="30">
        <v>56</v>
      </c>
      <c r="K52" s="30">
        <v>62</v>
      </c>
      <c r="L52" s="30">
        <v>61</v>
      </c>
      <c r="M52" s="30">
        <v>76</v>
      </c>
      <c r="N52" s="30">
        <v>82</v>
      </c>
      <c r="O52" s="30">
        <v>83</v>
      </c>
      <c r="P52" s="59">
        <f t="shared" si="0"/>
        <v>749</v>
      </c>
      <c r="Q52" s="62">
        <f t="shared" si="1"/>
        <v>68.090909090909093</v>
      </c>
      <c r="R52" s="59">
        <f t="shared" si="2"/>
        <v>32</v>
      </c>
      <c r="S52" s="15"/>
      <c r="T52" s="15"/>
    </row>
    <row r="53" spans="1:20" ht="20.100000000000001" customHeight="1" x14ac:dyDescent="0.25">
      <c r="A53" s="137">
        <v>50</v>
      </c>
      <c r="B53" s="140"/>
      <c r="C53" s="141">
        <v>15</v>
      </c>
      <c r="D53" s="141" t="s">
        <v>23</v>
      </c>
      <c r="E53" s="138">
        <v>85</v>
      </c>
      <c r="F53" s="30">
        <v>58</v>
      </c>
      <c r="G53" s="30">
        <v>68</v>
      </c>
      <c r="H53" s="30">
        <v>71</v>
      </c>
      <c r="I53" s="30">
        <v>62</v>
      </c>
      <c r="J53" s="30">
        <v>60</v>
      </c>
      <c r="K53" s="30">
        <v>83</v>
      </c>
      <c r="L53" s="30">
        <v>85</v>
      </c>
      <c r="M53" s="30">
        <v>66</v>
      </c>
      <c r="N53" s="30">
        <v>94</v>
      </c>
      <c r="O53" s="30">
        <v>95</v>
      </c>
      <c r="P53" s="59">
        <f t="shared" si="0"/>
        <v>827</v>
      </c>
      <c r="Q53" s="62">
        <f t="shared" si="1"/>
        <v>75.181818181818187</v>
      </c>
      <c r="R53" s="59">
        <f t="shared" si="2"/>
        <v>24</v>
      </c>
      <c r="S53" s="15"/>
      <c r="T53" s="15"/>
    </row>
    <row r="54" spans="1:20" ht="19.5" customHeight="1" x14ac:dyDescent="0.25">
      <c r="A54" s="137">
        <v>51</v>
      </c>
      <c r="B54" s="140"/>
      <c r="C54" s="141">
        <v>16</v>
      </c>
      <c r="D54" s="141" t="s">
        <v>23</v>
      </c>
      <c r="E54" s="138">
        <v>87</v>
      </c>
      <c r="F54" s="30">
        <v>72</v>
      </c>
      <c r="G54" s="30">
        <v>74</v>
      </c>
      <c r="H54" s="30">
        <v>71</v>
      </c>
      <c r="I54" s="30">
        <v>80</v>
      </c>
      <c r="J54" s="30">
        <v>72</v>
      </c>
      <c r="K54" s="30">
        <v>72</v>
      </c>
      <c r="L54" s="30">
        <v>82</v>
      </c>
      <c r="M54" s="30">
        <v>85</v>
      </c>
      <c r="N54" s="30">
        <v>89</v>
      </c>
      <c r="O54" s="30">
        <v>99</v>
      </c>
      <c r="P54" s="59">
        <f t="shared" si="0"/>
        <v>883</v>
      </c>
      <c r="Q54" s="62">
        <f t="shared" si="1"/>
        <v>80.272727272727266</v>
      </c>
      <c r="R54" s="59">
        <f t="shared" si="2"/>
        <v>13</v>
      </c>
      <c r="S54" s="15"/>
      <c r="T54" s="15"/>
    </row>
    <row r="55" spans="1:20" ht="19.5" customHeight="1" x14ac:dyDescent="0.25">
      <c r="A55" s="137">
        <v>52</v>
      </c>
      <c r="B55" s="140"/>
      <c r="C55" s="141">
        <v>15</v>
      </c>
      <c r="D55" s="141" t="s">
        <v>20</v>
      </c>
      <c r="E55" s="192">
        <v>72</v>
      </c>
      <c r="F55" s="207">
        <v>51</v>
      </c>
      <c r="G55" s="207">
        <v>50</v>
      </c>
      <c r="H55" s="207">
        <v>51</v>
      </c>
      <c r="I55" s="207">
        <v>53</v>
      </c>
      <c r="J55" s="207">
        <v>56</v>
      </c>
      <c r="K55" s="207">
        <v>47</v>
      </c>
      <c r="L55" s="207">
        <v>55</v>
      </c>
      <c r="M55" s="207">
        <v>63</v>
      </c>
      <c r="N55" s="207">
        <v>78</v>
      </c>
      <c r="O55" s="207">
        <v>80</v>
      </c>
      <c r="P55" s="59">
        <f t="shared" si="0"/>
        <v>656</v>
      </c>
      <c r="Q55" s="62">
        <f t="shared" si="1"/>
        <v>59.636363636363633</v>
      </c>
      <c r="R55" s="59">
        <f t="shared" si="2"/>
        <v>42</v>
      </c>
      <c r="S55" s="15"/>
      <c r="T55" s="15"/>
    </row>
    <row r="56" spans="1:20" ht="19.5" customHeight="1" x14ac:dyDescent="0.25">
      <c r="A56" s="107">
        <v>53</v>
      </c>
      <c r="B56" s="69"/>
      <c r="C56" s="69"/>
      <c r="D56" s="69"/>
      <c r="E56" s="20"/>
      <c r="F56" s="20"/>
      <c r="G56" s="20"/>
      <c r="H56" s="20"/>
      <c r="I56" s="20"/>
      <c r="J56" s="20"/>
      <c r="K56" s="20"/>
      <c r="L56" s="20"/>
      <c r="M56" s="20"/>
      <c r="N56" s="20"/>
      <c r="O56" s="20"/>
      <c r="P56" s="15"/>
      <c r="Q56" s="33"/>
      <c r="R56" s="15"/>
      <c r="S56" s="15"/>
      <c r="T56" s="15"/>
    </row>
    <row r="57" spans="1:20" ht="19.5" customHeight="1" x14ac:dyDescent="0.25">
      <c r="A57" s="107">
        <v>54</v>
      </c>
      <c r="B57" s="20"/>
      <c r="C57" s="20"/>
      <c r="D57" s="20"/>
      <c r="E57" s="20"/>
      <c r="F57" s="20"/>
      <c r="G57" s="20"/>
      <c r="H57" s="20"/>
      <c r="I57" s="20"/>
      <c r="J57" s="20"/>
      <c r="K57" s="20"/>
      <c r="L57" s="20"/>
      <c r="M57" s="20"/>
      <c r="N57" s="20"/>
      <c r="O57" s="20"/>
      <c r="P57" s="15"/>
      <c r="Q57" s="33"/>
      <c r="R57" s="15"/>
      <c r="S57" s="15"/>
      <c r="T57" s="15"/>
    </row>
    <row r="58" spans="1:20" ht="19.5" customHeight="1" x14ac:dyDescent="0.25">
      <c r="A58" s="107">
        <v>55</v>
      </c>
      <c r="B58" s="20"/>
      <c r="C58" s="20"/>
      <c r="D58" s="20"/>
      <c r="E58" s="20"/>
      <c r="F58" s="20"/>
      <c r="G58" s="20"/>
      <c r="H58" s="20"/>
      <c r="I58" s="20"/>
      <c r="J58" s="20"/>
      <c r="K58" s="20"/>
      <c r="L58" s="20"/>
      <c r="M58" s="20"/>
      <c r="N58" s="20"/>
      <c r="O58" s="20"/>
      <c r="P58" s="15"/>
      <c r="Q58" s="33"/>
      <c r="R58" s="15"/>
      <c r="S58" s="15"/>
      <c r="T58" s="15"/>
    </row>
  </sheetData>
  <mergeCells count="2">
    <mergeCell ref="A1:T1"/>
    <mergeCell ref="A2:T2"/>
  </mergeCells>
  <pageMargins left="0.7" right="0.7" top="0.75" bottom="0.75" header="0.3" footer="0.3"/>
  <pageSetup paperSize="9" scale="75"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58"/>
  <sheetViews>
    <sheetView workbookViewId="0">
      <selection activeCell="B4" sqref="B4:B55"/>
    </sheetView>
  </sheetViews>
  <sheetFormatPr defaultRowHeight="15" x14ac:dyDescent="0.25"/>
  <cols>
    <col min="1" max="1" width="6.7109375" style="14" customWidth="1"/>
    <col min="2" max="2" width="35.140625" bestFit="1" customWidth="1"/>
    <col min="3" max="3" width="4.7109375" customWidth="1"/>
    <col min="4" max="4" width="4.140625" customWidth="1"/>
    <col min="5" max="16" width="7.7109375" customWidth="1"/>
    <col min="17" max="17" width="9.140625" customWidth="1"/>
    <col min="18" max="20" width="7.7109375" customWidth="1"/>
  </cols>
  <sheetData>
    <row r="1" spans="1:20" ht="20.25" x14ac:dyDescent="0.25">
      <c r="A1" s="272" t="s">
        <v>33</v>
      </c>
      <c r="B1" s="273"/>
      <c r="C1" s="273"/>
      <c r="D1" s="273"/>
      <c r="E1" s="273"/>
      <c r="F1" s="273"/>
      <c r="G1" s="273"/>
      <c r="H1" s="273"/>
      <c r="I1" s="273"/>
      <c r="J1" s="273"/>
      <c r="K1" s="273"/>
      <c r="L1" s="273"/>
      <c r="M1" s="273"/>
      <c r="N1" s="273"/>
      <c r="O1" s="273"/>
      <c r="P1" s="273"/>
      <c r="Q1" s="273"/>
      <c r="R1" s="273"/>
      <c r="S1" s="273"/>
      <c r="T1" s="274"/>
    </row>
    <row r="2" spans="1:20" ht="18" thickBot="1" x14ac:dyDescent="0.3">
      <c r="A2" s="275" t="s">
        <v>36</v>
      </c>
      <c r="B2" s="275"/>
      <c r="C2" s="275"/>
      <c r="D2" s="275"/>
      <c r="E2" s="275"/>
      <c r="F2" s="275"/>
      <c r="G2" s="275"/>
      <c r="H2" s="275"/>
      <c r="I2" s="275"/>
      <c r="J2" s="275"/>
      <c r="K2" s="275"/>
      <c r="L2" s="275"/>
      <c r="M2" s="275"/>
      <c r="N2" s="275"/>
      <c r="O2" s="275"/>
      <c r="P2" s="275"/>
      <c r="Q2" s="275"/>
      <c r="R2" s="275"/>
      <c r="S2" s="275"/>
      <c r="T2" s="275"/>
    </row>
    <row r="3" spans="1:20" ht="67.5" customHeight="1" thickBot="1" x14ac:dyDescent="0.3">
      <c r="A3" s="63" t="s">
        <v>24</v>
      </c>
      <c r="B3" s="64" t="s">
        <v>1</v>
      </c>
      <c r="C3" s="65" t="s">
        <v>2</v>
      </c>
      <c r="D3" s="64" t="s">
        <v>3</v>
      </c>
      <c r="E3" s="25" t="s">
        <v>4</v>
      </c>
      <c r="F3" s="25" t="s">
        <v>5</v>
      </c>
      <c r="G3" s="25" t="s">
        <v>6</v>
      </c>
      <c r="H3" s="25" t="s">
        <v>7</v>
      </c>
      <c r="I3" s="25" t="s">
        <v>8</v>
      </c>
      <c r="J3" s="25" t="s">
        <v>9</v>
      </c>
      <c r="K3" s="26" t="s">
        <v>10</v>
      </c>
      <c r="L3" s="25" t="s">
        <v>11</v>
      </c>
      <c r="M3" s="27" t="s">
        <v>12</v>
      </c>
      <c r="N3" s="27" t="s">
        <v>13</v>
      </c>
      <c r="O3" s="25" t="s">
        <v>14</v>
      </c>
      <c r="P3" s="27" t="s">
        <v>15</v>
      </c>
      <c r="Q3" s="25" t="s">
        <v>16</v>
      </c>
      <c r="R3" s="25" t="s">
        <v>17</v>
      </c>
      <c r="S3" s="26" t="s">
        <v>18</v>
      </c>
      <c r="T3" s="28" t="s">
        <v>19</v>
      </c>
    </row>
    <row r="4" spans="1:20" ht="20.100000000000001" customHeight="1" thickBot="1" x14ac:dyDescent="0.3">
      <c r="A4" s="59">
        <v>1</v>
      </c>
      <c r="B4" s="143"/>
      <c r="C4" s="144">
        <v>14</v>
      </c>
      <c r="D4" s="144" t="s">
        <v>23</v>
      </c>
      <c r="E4" s="118">
        <v>80</v>
      </c>
      <c r="F4" s="118">
        <v>54</v>
      </c>
      <c r="G4" s="118">
        <v>70</v>
      </c>
      <c r="H4" s="118">
        <v>65</v>
      </c>
      <c r="I4" s="118">
        <v>51</v>
      </c>
      <c r="J4" s="118">
        <v>51</v>
      </c>
      <c r="K4" s="118">
        <v>61</v>
      </c>
      <c r="L4" s="118">
        <v>64</v>
      </c>
      <c r="M4" s="118">
        <v>58</v>
      </c>
      <c r="N4" s="118">
        <v>72</v>
      </c>
      <c r="O4" s="118">
        <v>84</v>
      </c>
      <c r="P4" s="118">
        <f>SUM(E4:O4)</f>
        <v>710</v>
      </c>
      <c r="Q4" s="119">
        <f>AVERAGE(E4:O4)</f>
        <v>64.545454545454547</v>
      </c>
      <c r="R4" s="118">
        <f>RANK(Q4,$Q$4:$Q$55)</f>
        <v>40</v>
      </c>
      <c r="S4" s="118"/>
      <c r="T4" s="118"/>
    </row>
    <row r="5" spans="1:20" ht="20.100000000000001" customHeight="1" thickBot="1" x14ac:dyDescent="0.3">
      <c r="A5" s="16">
        <v>2</v>
      </c>
      <c r="B5" s="140"/>
      <c r="C5" s="141">
        <v>16</v>
      </c>
      <c r="D5" s="141" t="s">
        <v>20</v>
      </c>
      <c r="E5" s="20">
        <v>96</v>
      </c>
      <c r="F5" s="20">
        <v>94</v>
      </c>
      <c r="G5" s="20">
        <v>96</v>
      </c>
      <c r="H5" s="20">
        <v>100</v>
      </c>
      <c r="I5" s="20">
        <v>96</v>
      </c>
      <c r="J5" s="20">
        <v>98</v>
      </c>
      <c r="K5" s="20">
        <v>96</v>
      </c>
      <c r="L5" s="20">
        <v>95</v>
      </c>
      <c r="M5" s="20">
        <v>100</v>
      </c>
      <c r="N5" s="20">
        <v>99</v>
      </c>
      <c r="O5" s="20">
        <v>100</v>
      </c>
      <c r="P5" s="118">
        <f t="shared" ref="P5:P55" si="0">SUM(E5:O5)</f>
        <v>1070</v>
      </c>
      <c r="Q5" s="119">
        <f t="shared" ref="Q5:Q55" si="1">AVERAGE(E5:O5)</f>
        <v>97.272727272727266</v>
      </c>
      <c r="R5" s="118">
        <f t="shared" ref="R5:R55" si="2">RANK(Q5,$Q$4:$Q$55)</f>
        <v>1</v>
      </c>
      <c r="S5" s="20"/>
      <c r="T5" s="20"/>
    </row>
    <row r="6" spans="1:20" ht="20.100000000000001" customHeight="1" thickBot="1" x14ac:dyDescent="0.3">
      <c r="A6" s="13">
        <v>3</v>
      </c>
      <c r="B6" s="140"/>
      <c r="C6" s="141">
        <v>14</v>
      </c>
      <c r="D6" s="141" t="s">
        <v>23</v>
      </c>
      <c r="E6" s="20">
        <v>79</v>
      </c>
      <c r="F6" s="20">
        <v>50</v>
      </c>
      <c r="G6" s="20">
        <v>54</v>
      </c>
      <c r="H6" s="20">
        <v>50</v>
      </c>
      <c r="I6" s="20">
        <v>43</v>
      </c>
      <c r="J6" s="20">
        <v>46</v>
      </c>
      <c r="K6" s="20">
        <v>51</v>
      </c>
      <c r="L6" s="20">
        <v>41</v>
      </c>
      <c r="M6" s="20">
        <v>55</v>
      </c>
      <c r="N6" s="20">
        <v>77</v>
      </c>
      <c r="O6" s="20">
        <v>92</v>
      </c>
      <c r="P6" s="118">
        <f t="shared" si="0"/>
        <v>638</v>
      </c>
      <c r="Q6" s="119">
        <f t="shared" si="1"/>
        <v>58</v>
      </c>
      <c r="R6" s="118">
        <f t="shared" si="2"/>
        <v>45</v>
      </c>
      <c r="S6" s="20"/>
      <c r="T6" s="20"/>
    </row>
    <row r="7" spans="1:20" ht="20.100000000000001" customHeight="1" thickBot="1" x14ac:dyDescent="0.3">
      <c r="A7" s="16">
        <v>4</v>
      </c>
      <c r="B7" s="140"/>
      <c r="C7" s="141">
        <v>14</v>
      </c>
      <c r="D7" s="141" t="s">
        <v>20</v>
      </c>
      <c r="E7" s="20">
        <v>82</v>
      </c>
      <c r="F7" s="20">
        <v>73</v>
      </c>
      <c r="G7" s="20">
        <v>71</v>
      </c>
      <c r="H7" s="20">
        <v>69</v>
      </c>
      <c r="I7" s="20">
        <v>66</v>
      </c>
      <c r="J7" s="20">
        <v>80</v>
      </c>
      <c r="K7" s="20">
        <v>82</v>
      </c>
      <c r="L7" s="20">
        <v>91</v>
      </c>
      <c r="M7" s="20">
        <v>88</v>
      </c>
      <c r="N7" s="20">
        <v>92</v>
      </c>
      <c r="O7" s="20">
        <v>91</v>
      </c>
      <c r="P7" s="118">
        <f t="shared" si="0"/>
        <v>885</v>
      </c>
      <c r="Q7" s="119">
        <f t="shared" si="1"/>
        <v>80.454545454545453</v>
      </c>
      <c r="R7" s="118">
        <f t="shared" si="2"/>
        <v>16</v>
      </c>
      <c r="S7" s="20"/>
      <c r="T7" s="20"/>
    </row>
    <row r="8" spans="1:20" ht="20.100000000000001" customHeight="1" thickBot="1" x14ac:dyDescent="0.3">
      <c r="A8" s="16">
        <v>5</v>
      </c>
      <c r="B8" s="140"/>
      <c r="C8" s="141">
        <v>14</v>
      </c>
      <c r="D8" s="141" t="s">
        <v>23</v>
      </c>
      <c r="E8" s="20">
        <v>91</v>
      </c>
      <c r="F8" s="20">
        <v>96</v>
      </c>
      <c r="G8" s="20">
        <v>93</v>
      </c>
      <c r="H8" s="20">
        <v>90</v>
      </c>
      <c r="I8" s="20">
        <v>83</v>
      </c>
      <c r="J8" s="20">
        <v>96</v>
      </c>
      <c r="K8" s="20">
        <v>86</v>
      </c>
      <c r="L8" s="20">
        <v>86</v>
      </c>
      <c r="M8" s="20">
        <v>96</v>
      </c>
      <c r="N8" s="20">
        <v>99</v>
      </c>
      <c r="O8" s="20">
        <v>94</v>
      </c>
      <c r="P8" s="118">
        <f t="shared" si="0"/>
        <v>1010</v>
      </c>
      <c r="Q8" s="119">
        <f t="shared" si="1"/>
        <v>91.818181818181813</v>
      </c>
      <c r="R8" s="118">
        <f t="shared" si="2"/>
        <v>3</v>
      </c>
      <c r="S8" s="20"/>
      <c r="T8" s="20"/>
    </row>
    <row r="9" spans="1:20" ht="20.100000000000001" customHeight="1" thickBot="1" x14ac:dyDescent="0.3">
      <c r="A9" s="13">
        <v>6</v>
      </c>
      <c r="B9" s="140"/>
      <c r="C9" s="141">
        <v>16</v>
      </c>
      <c r="D9" s="141" t="s">
        <v>23</v>
      </c>
      <c r="E9" s="20">
        <v>69</v>
      </c>
      <c r="F9" s="20">
        <v>44</v>
      </c>
      <c r="G9" s="20">
        <v>42</v>
      </c>
      <c r="H9" s="20">
        <v>44</v>
      </c>
      <c r="I9" s="20">
        <v>41</v>
      </c>
      <c r="J9" s="20">
        <v>38</v>
      </c>
      <c r="K9" s="20">
        <v>45</v>
      </c>
      <c r="L9" s="20">
        <v>44</v>
      </c>
      <c r="M9" s="20">
        <v>48</v>
      </c>
      <c r="N9" s="20">
        <v>65</v>
      </c>
      <c r="O9" s="20">
        <v>64</v>
      </c>
      <c r="P9" s="118">
        <f t="shared" si="0"/>
        <v>544</v>
      </c>
      <c r="Q9" s="119">
        <f t="shared" si="1"/>
        <v>49.454545454545453</v>
      </c>
      <c r="R9" s="118">
        <f t="shared" si="2"/>
        <v>48</v>
      </c>
      <c r="S9" s="20"/>
      <c r="T9" s="20"/>
    </row>
    <row r="10" spans="1:20" ht="20.100000000000001" customHeight="1" thickBot="1" x14ac:dyDescent="0.3">
      <c r="A10" s="16">
        <v>7</v>
      </c>
      <c r="B10" s="140"/>
      <c r="C10" s="141">
        <v>14</v>
      </c>
      <c r="D10" s="141" t="s">
        <v>23</v>
      </c>
      <c r="E10" s="20">
        <v>85</v>
      </c>
      <c r="F10" s="20">
        <v>83</v>
      </c>
      <c r="G10" s="20">
        <v>60</v>
      </c>
      <c r="H10" s="20">
        <v>69</v>
      </c>
      <c r="I10" s="20">
        <v>64</v>
      </c>
      <c r="J10" s="20">
        <v>81</v>
      </c>
      <c r="K10" s="20">
        <v>82</v>
      </c>
      <c r="L10" s="20">
        <v>81</v>
      </c>
      <c r="M10" s="20">
        <v>94</v>
      </c>
      <c r="N10" s="20">
        <v>87</v>
      </c>
      <c r="O10" s="20">
        <v>87</v>
      </c>
      <c r="P10" s="118">
        <f t="shared" si="0"/>
        <v>873</v>
      </c>
      <c r="Q10" s="119">
        <f t="shared" si="1"/>
        <v>79.36363636363636</v>
      </c>
      <c r="R10" s="118">
        <f t="shared" si="2"/>
        <v>19</v>
      </c>
      <c r="S10" s="20"/>
      <c r="T10" s="20"/>
    </row>
    <row r="11" spans="1:20" ht="20.100000000000001" customHeight="1" thickBot="1" x14ac:dyDescent="0.3">
      <c r="A11" s="16">
        <v>8</v>
      </c>
      <c r="B11" s="140"/>
      <c r="C11" s="141">
        <v>14</v>
      </c>
      <c r="D11" s="141" t="s">
        <v>20</v>
      </c>
      <c r="E11" s="20">
        <v>87</v>
      </c>
      <c r="F11" s="20">
        <v>74</v>
      </c>
      <c r="G11" s="20">
        <v>54</v>
      </c>
      <c r="H11" s="20">
        <v>52</v>
      </c>
      <c r="I11" s="20">
        <v>53</v>
      </c>
      <c r="J11" s="20">
        <v>59</v>
      </c>
      <c r="K11" s="20">
        <v>67</v>
      </c>
      <c r="L11" s="20">
        <v>76</v>
      </c>
      <c r="M11" s="20">
        <v>93</v>
      </c>
      <c r="N11" s="20">
        <v>83</v>
      </c>
      <c r="O11" s="20">
        <v>89</v>
      </c>
      <c r="P11" s="118">
        <f t="shared" si="0"/>
        <v>787</v>
      </c>
      <c r="Q11" s="119">
        <f t="shared" si="1"/>
        <v>71.545454545454547</v>
      </c>
      <c r="R11" s="118">
        <f t="shared" si="2"/>
        <v>28</v>
      </c>
      <c r="S11" s="20"/>
      <c r="T11" s="20"/>
    </row>
    <row r="12" spans="1:20" ht="20.100000000000001" customHeight="1" thickBot="1" x14ac:dyDescent="0.3">
      <c r="A12" s="13">
        <v>9</v>
      </c>
      <c r="B12" s="142"/>
      <c r="C12" s="141">
        <v>15</v>
      </c>
      <c r="D12" s="141" t="s">
        <v>20</v>
      </c>
      <c r="E12" s="20">
        <v>57</v>
      </c>
      <c r="F12" s="20">
        <v>46</v>
      </c>
      <c r="G12" s="20">
        <v>35</v>
      </c>
      <c r="H12" s="20">
        <v>42</v>
      </c>
      <c r="I12" s="20">
        <v>56</v>
      </c>
      <c r="J12" s="20">
        <v>34</v>
      </c>
      <c r="K12" s="20">
        <v>51</v>
      </c>
      <c r="L12" s="20">
        <v>40</v>
      </c>
      <c r="M12" s="20">
        <v>53</v>
      </c>
      <c r="N12" s="20">
        <v>54</v>
      </c>
      <c r="O12" s="20">
        <v>83</v>
      </c>
      <c r="P12" s="118">
        <f t="shared" si="0"/>
        <v>551</v>
      </c>
      <c r="Q12" s="119">
        <f t="shared" si="1"/>
        <v>50.090909090909093</v>
      </c>
      <c r="R12" s="118">
        <f t="shared" si="2"/>
        <v>47</v>
      </c>
      <c r="S12" s="20"/>
      <c r="T12" s="20"/>
    </row>
    <row r="13" spans="1:20" ht="20.100000000000001" customHeight="1" thickBot="1" x14ac:dyDescent="0.3">
      <c r="A13" s="16">
        <v>10</v>
      </c>
      <c r="B13" s="140"/>
      <c r="C13" s="141">
        <v>15</v>
      </c>
      <c r="D13" s="141" t="s">
        <v>20</v>
      </c>
      <c r="E13" s="20">
        <v>92</v>
      </c>
      <c r="F13" s="20">
        <v>64</v>
      </c>
      <c r="G13" s="20">
        <v>52</v>
      </c>
      <c r="H13" s="20">
        <v>58</v>
      </c>
      <c r="I13" s="20">
        <v>58</v>
      </c>
      <c r="J13" s="20">
        <v>75</v>
      </c>
      <c r="K13" s="20">
        <v>79</v>
      </c>
      <c r="L13" s="20">
        <v>73</v>
      </c>
      <c r="M13" s="20">
        <v>82</v>
      </c>
      <c r="N13" s="20">
        <v>85</v>
      </c>
      <c r="O13" s="20">
        <v>92</v>
      </c>
      <c r="P13" s="118">
        <f t="shared" si="0"/>
        <v>810</v>
      </c>
      <c r="Q13" s="119">
        <f t="shared" si="1"/>
        <v>73.63636363636364</v>
      </c>
      <c r="R13" s="118">
        <f t="shared" si="2"/>
        <v>25</v>
      </c>
      <c r="S13" s="20"/>
      <c r="T13" s="20"/>
    </row>
    <row r="14" spans="1:20" ht="20.100000000000001" customHeight="1" thickBot="1" x14ac:dyDescent="0.3">
      <c r="A14" s="13">
        <v>11</v>
      </c>
      <c r="B14" s="140"/>
      <c r="C14" s="141">
        <v>14</v>
      </c>
      <c r="D14" s="141" t="s">
        <v>23</v>
      </c>
      <c r="E14" s="20">
        <v>87</v>
      </c>
      <c r="F14" s="20">
        <v>85</v>
      </c>
      <c r="G14" s="20">
        <v>81</v>
      </c>
      <c r="H14" s="20">
        <v>78</v>
      </c>
      <c r="I14" s="20">
        <v>68</v>
      </c>
      <c r="J14" s="20">
        <v>73</v>
      </c>
      <c r="K14" s="20">
        <v>78</v>
      </c>
      <c r="L14" s="20">
        <v>77</v>
      </c>
      <c r="M14" s="20">
        <v>90</v>
      </c>
      <c r="N14" s="20">
        <v>99</v>
      </c>
      <c r="O14" s="20">
        <v>92</v>
      </c>
      <c r="P14" s="118">
        <f t="shared" si="0"/>
        <v>908</v>
      </c>
      <c r="Q14" s="119">
        <f t="shared" si="1"/>
        <v>82.545454545454547</v>
      </c>
      <c r="R14" s="118">
        <f t="shared" si="2"/>
        <v>14</v>
      </c>
      <c r="S14" s="20"/>
      <c r="T14" s="20"/>
    </row>
    <row r="15" spans="1:20" ht="20.100000000000001" customHeight="1" thickBot="1" x14ac:dyDescent="0.3">
      <c r="A15" s="13">
        <v>12</v>
      </c>
      <c r="B15" s="140"/>
      <c r="C15" s="141">
        <v>15</v>
      </c>
      <c r="D15" s="141" t="s">
        <v>23</v>
      </c>
      <c r="E15" s="20">
        <v>84</v>
      </c>
      <c r="F15" s="20">
        <v>50</v>
      </c>
      <c r="G15" s="20">
        <v>57</v>
      </c>
      <c r="H15" s="20">
        <v>53</v>
      </c>
      <c r="I15" s="20">
        <v>54</v>
      </c>
      <c r="J15" s="20">
        <v>50</v>
      </c>
      <c r="K15" s="20">
        <v>55</v>
      </c>
      <c r="L15" s="20">
        <v>50</v>
      </c>
      <c r="M15" s="20">
        <v>63</v>
      </c>
      <c r="N15" s="20">
        <v>76</v>
      </c>
      <c r="O15" s="20">
        <v>93</v>
      </c>
      <c r="P15" s="118">
        <f t="shared" si="0"/>
        <v>685</v>
      </c>
      <c r="Q15" s="119">
        <f t="shared" si="1"/>
        <v>62.272727272727273</v>
      </c>
      <c r="R15" s="118">
        <f t="shared" si="2"/>
        <v>42</v>
      </c>
      <c r="S15" s="20"/>
      <c r="T15" s="20"/>
    </row>
    <row r="16" spans="1:20" ht="20.100000000000001" customHeight="1" thickBot="1" x14ac:dyDescent="0.3">
      <c r="A16" s="13">
        <v>13</v>
      </c>
      <c r="B16" s="140"/>
      <c r="C16" s="141">
        <v>14</v>
      </c>
      <c r="D16" s="141" t="s">
        <v>23</v>
      </c>
      <c r="E16" s="20">
        <v>86</v>
      </c>
      <c r="F16" s="20">
        <v>71</v>
      </c>
      <c r="G16" s="20">
        <v>49</v>
      </c>
      <c r="H16" s="20">
        <v>56</v>
      </c>
      <c r="I16" s="20">
        <v>54</v>
      </c>
      <c r="J16" s="20">
        <v>68</v>
      </c>
      <c r="K16" s="20">
        <v>71</v>
      </c>
      <c r="L16" s="20">
        <v>73</v>
      </c>
      <c r="M16" s="20">
        <v>88</v>
      </c>
      <c r="N16" s="20">
        <v>86</v>
      </c>
      <c r="O16" s="20">
        <v>86</v>
      </c>
      <c r="P16" s="118">
        <f t="shared" si="0"/>
        <v>788</v>
      </c>
      <c r="Q16" s="119">
        <f t="shared" si="1"/>
        <v>71.63636363636364</v>
      </c>
      <c r="R16" s="118">
        <f t="shared" si="2"/>
        <v>27</v>
      </c>
      <c r="S16" s="20"/>
      <c r="T16" s="20"/>
    </row>
    <row r="17" spans="1:20" ht="20.100000000000001" customHeight="1" thickBot="1" x14ac:dyDescent="0.3">
      <c r="A17" s="16">
        <v>14</v>
      </c>
      <c r="B17" s="140"/>
      <c r="C17" s="141">
        <v>15</v>
      </c>
      <c r="D17" s="141" t="s">
        <v>23</v>
      </c>
      <c r="E17" s="20">
        <v>91</v>
      </c>
      <c r="F17" s="20">
        <v>88</v>
      </c>
      <c r="G17" s="20">
        <v>93</v>
      </c>
      <c r="H17" s="20">
        <v>87</v>
      </c>
      <c r="I17" s="20">
        <v>90</v>
      </c>
      <c r="J17" s="20">
        <v>100</v>
      </c>
      <c r="K17" s="20">
        <v>97</v>
      </c>
      <c r="L17" s="20">
        <v>100</v>
      </c>
      <c r="M17" s="20">
        <v>100</v>
      </c>
      <c r="N17" s="20">
        <v>96</v>
      </c>
      <c r="O17" s="20">
        <v>97</v>
      </c>
      <c r="P17" s="118">
        <f t="shared" si="0"/>
        <v>1039</v>
      </c>
      <c r="Q17" s="119">
        <f t="shared" si="1"/>
        <v>94.454545454545453</v>
      </c>
      <c r="R17" s="118">
        <f t="shared" si="2"/>
        <v>2</v>
      </c>
      <c r="S17" s="20"/>
      <c r="T17" s="20"/>
    </row>
    <row r="18" spans="1:20" ht="20.100000000000001" customHeight="1" thickBot="1" x14ac:dyDescent="0.3">
      <c r="A18" s="13">
        <v>15</v>
      </c>
      <c r="B18" s="140"/>
      <c r="C18" s="141">
        <v>15</v>
      </c>
      <c r="D18" s="141" t="s">
        <v>20</v>
      </c>
      <c r="E18" s="20">
        <v>80</v>
      </c>
      <c r="F18" s="20">
        <v>84</v>
      </c>
      <c r="G18" s="20">
        <v>83</v>
      </c>
      <c r="H18" s="20">
        <v>82</v>
      </c>
      <c r="I18" s="20">
        <v>88</v>
      </c>
      <c r="J18" s="20">
        <v>91</v>
      </c>
      <c r="K18" s="20">
        <v>93</v>
      </c>
      <c r="L18" s="20">
        <v>87</v>
      </c>
      <c r="M18" s="20">
        <v>89</v>
      </c>
      <c r="N18" s="20">
        <v>91</v>
      </c>
      <c r="O18" s="20">
        <v>98</v>
      </c>
      <c r="P18" s="118">
        <f t="shared" si="0"/>
        <v>966</v>
      </c>
      <c r="Q18" s="119">
        <f t="shared" si="1"/>
        <v>87.818181818181813</v>
      </c>
      <c r="R18" s="118">
        <f t="shared" si="2"/>
        <v>8</v>
      </c>
      <c r="S18" s="20"/>
      <c r="T18" s="20"/>
    </row>
    <row r="19" spans="1:20" ht="20.100000000000001" customHeight="1" thickBot="1" x14ac:dyDescent="0.3">
      <c r="A19" s="16">
        <v>16</v>
      </c>
      <c r="B19" s="140"/>
      <c r="C19" s="141">
        <v>15</v>
      </c>
      <c r="D19" s="141" t="s">
        <v>20</v>
      </c>
      <c r="E19" s="20">
        <v>88</v>
      </c>
      <c r="F19" s="20">
        <v>82</v>
      </c>
      <c r="G19" s="20">
        <v>97</v>
      </c>
      <c r="H19" s="20">
        <v>92</v>
      </c>
      <c r="I19" s="20">
        <v>91</v>
      </c>
      <c r="J19" s="20">
        <v>97</v>
      </c>
      <c r="K19" s="20">
        <v>84</v>
      </c>
      <c r="L19" s="20">
        <v>80</v>
      </c>
      <c r="M19" s="20">
        <v>86</v>
      </c>
      <c r="N19" s="20">
        <v>97</v>
      </c>
      <c r="O19" s="20">
        <v>95</v>
      </c>
      <c r="P19" s="118">
        <f t="shared" si="0"/>
        <v>989</v>
      </c>
      <c r="Q19" s="119">
        <f t="shared" si="1"/>
        <v>89.909090909090907</v>
      </c>
      <c r="R19" s="118">
        <f t="shared" si="2"/>
        <v>5</v>
      </c>
      <c r="S19" s="20"/>
      <c r="T19" s="20"/>
    </row>
    <row r="20" spans="1:20" ht="20.100000000000001" customHeight="1" thickBot="1" x14ac:dyDescent="0.3">
      <c r="A20" s="16">
        <v>17</v>
      </c>
      <c r="B20" s="140"/>
      <c r="C20" s="141">
        <v>15</v>
      </c>
      <c r="D20" s="141" t="s">
        <v>23</v>
      </c>
      <c r="E20" s="20">
        <v>76</v>
      </c>
      <c r="F20" s="20">
        <v>77</v>
      </c>
      <c r="G20" s="20">
        <v>68</v>
      </c>
      <c r="H20" s="20">
        <v>78</v>
      </c>
      <c r="I20" s="20">
        <v>69</v>
      </c>
      <c r="J20" s="20">
        <v>81</v>
      </c>
      <c r="K20" s="20">
        <v>76</v>
      </c>
      <c r="L20" s="20">
        <v>89</v>
      </c>
      <c r="M20" s="20">
        <v>81</v>
      </c>
      <c r="N20" s="20">
        <v>94</v>
      </c>
      <c r="O20" s="20">
        <v>97</v>
      </c>
      <c r="P20" s="118">
        <f t="shared" si="0"/>
        <v>886</v>
      </c>
      <c r="Q20" s="119">
        <f t="shared" si="1"/>
        <v>80.545454545454547</v>
      </c>
      <c r="R20" s="118">
        <f t="shared" si="2"/>
        <v>15</v>
      </c>
      <c r="S20" s="20"/>
      <c r="T20" s="20"/>
    </row>
    <row r="21" spans="1:20" ht="20.100000000000001" customHeight="1" thickBot="1" x14ac:dyDescent="0.3">
      <c r="A21" s="16">
        <v>18</v>
      </c>
      <c r="B21" s="140"/>
      <c r="C21" s="141">
        <v>14</v>
      </c>
      <c r="D21" s="141" t="s">
        <v>23</v>
      </c>
      <c r="E21" s="20">
        <v>86</v>
      </c>
      <c r="F21" s="20">
        <v>73</v>
      </c>
      <c r="G21" s="20">
        <v>82</v>
      </c>
      <c r="H21" s="20">
        <v>79</v>
      </c>
      <c r="I21" s="20">
        <v>75</v>
      </c>
      <c r="J21" s="20">
        <v>82</v>
      </c>
      <c r="K21" s="20">
        <v>80</v>
      </c>
      <c r="L21" s="20">
        <v>89</v>
      </c>
      <c r="M21" s="20">
        <v>90</v>
      </c>
      <c r="N21" s="20">
        <v>97</v>
      </c>
      <c r="O21" s="20">
        <v>97</v>
      </c>
      <c r="P21" s="118">
        <f t="shared" si="0"/>
        <v>930</v>
      </c>
      <c r="Q21" s="119">
        <f t="shared" si="1"/>
        <v>84.545454545454547</v>
      </c>
      <c r="R21" s="118">
        <f t="shared" si="2"/>
        <v>11</v>
      </c>
      <c r="S21" s="20"/>
      <c r="T21" s="20"/>
    </row>
    <row r="22" spans="1:20" ht="20.100000000000001" customHeight="1" thickBot="1" x14ac:dyDescent="0.3">
      <c r="A22" s="13">
        <v>19</v>
      </c>
      <c r="B22" s="140"/>
      <c r="C22" s="141">
        <v>15</v>
      </c>
      <c r="D22" s="141" t="s">
        <v>20</v>
      </c>
      <c r="E22" s="20">
        <v>79</v>
      </c>
      <c r="F22" s="20">
        <v>54</v>
      </c>
      <c r="G22" s="20">
        <v>59</v>
      </c>
      <c r="H22" s="20">
        <v>68</v>
      </c>
      <c r="I22" s="20">
        <v>60</v>
      </c>
      <c r="J22" s="20">
        <v>75</v>
      </c>
      <c r="K22" s="20">
        <v>73</v>
      </c>
      <c r="L22" s="20">
        <v>69</v>
      </c>
      <c r="M22" s="20">
        <v>73</v>
      </c>
      <c r="N22" s="20">
        <v>81</v>
      </c>
      <c r="O22" s="20">
        <v>95</v>
      </c>
      <c r="P22" s="118">
        <f t="shared" si="0"/>
        <v>786</v>
      </c>
      <c r="Q22" s="119">
        <f t="shared" si="1"/>
        <v>71.454545454545453</v>
      </c>
      <c r="R22" s="118">
        <f t="shared" si="2"/>
        <v>29</v>
      </c>
      <c r="S22" s="20"/>
      <c r="T22" s="20"/>
    </row>
    <row r="23" spans="1:20" ht="20.100000000000001" customHeight="1" thickBot="1" x14ac:dyDescent="0.3">
      <c r="A23" s="13">
        <v>20</v>
      </c>
      <c r="B23" s="140"/>
      <c r="C23" s="141">
        <v>14</v>
      </c>
      <c r="D23" s="141" t="s">
        <v>23</v>
      </c>
      <c r="E23" s="20">
        <v>89</v>
      </c>
      <c r="F23" s="20">
        <v>85</v>
      </c>
      <c r="G23" s="20">
        <v>91</v>
      </c>
      <c r="H23" s="20">
        <v>88</v>
      </c>
      <c r="I23" s="20">
        <v>80</v>
      </c>
      <c r="J23" s="20">
        <v>92</v>
      </c>
      <c r="K23" s="20">
        <v>91</v>
      </c>
      <c r="L23" s="20">
        <v>88</v>
      </c>
      <c r="M23" s="20">
        <v>98</v>
      </c>
      <c r="N23" s="20">
        <v>95</v>
      </c>
      <c r="O23" s="20">
        <v>87</v>
      </c>
      <c r="P23" s="118">
        <f t="shared" si="0"/>
        <v>984</v>
      </c>
      <c r="Q23" s="119">
        <f t="shared" si="1"/>
        <v>89.454545454545453</v>
      </c>
      <c r="R23" s="118">
        <f t="shared" si="2"/>
        <v>6</v>
      </c>
      <c r="S23" s="20"/>
      <c r="T23" s="20"/>
    </row>
    <row r="24" spans="1:20" ht="20.100000000000001" customHeight="1" thickBot="1" x14ac:dyDescent="0.3">
      <c r="A24" s="13">
        <v>21</v>
      </c>
      <c r="B24" s="140"/>
      <c r="C24" s="141">
        <v>15</v>
      </c>
      <c r="D24" s="141" t="s">
        <v>20</v>
      </c>
      <c r="E24" s="20">
        <v>81</v>
      </c>
      <c r="F24" s="20">
        <v>80</v>
      </c>
      <c r="G24" s="20">
        <v>89</v>
      </c>
      <c r="H24" s="20">
        <v>91</v>
      </c>
      <c r="I24" s="20">
        <v>87</v>
      </c>
      <c r="J24" s="20">
        <v>94</v>
      </c>
      <c r="K24" s="20">
        <v>89</v>
      </c>
      <c r="L24" s="20">
        <v>95</v>
      </c>
      <c r="M24" s="20">
        <v>90</v>
      </c>
      <c r="N24" s="20">
        <v>97</v>
      </c>
      <c r="O24" s="20">
        <v>97</v>
      </c>
      <c r="P24" s="118">
        <f t="shared" si="0"/>
        <v>990</v>
      </c>
      <c r="Q24" s="119">
        <f t="shared" si="1"/>
        <v>90</v>
      </c>
      <c r="R24" s="118">
        <f t="shared" si="2"/>
        <v>4</v>
      </c>
      <c r="S24" s="20"/>
      <c r="T24" s="20"/>
    </row>
    <row r="25" spans="1:20" ht="20.100000000000001" customHeight="1" thickBot="1" x14ac:dyDescent="0.3">
      <c r="A25" s="16">
        <v>22</v>
      </c>
      <c r="B25" s="140"/>
      <c r="C25" s="141">
        <v>14</v>
      </c>
      <c r="D25" s="141" t="s">
        <v>23</v>
      </c>
      <c r="E25" s="20">
        <v>90</v>
      </c>
      <c r="F25" s="20">
        <v>76</v>
      </c>
      <c r="G25" s="20">
        <v>71</v>
      </c>
      <c r="H25" s="20">
        <v>69</v>
      </c>
      <c r="I25" s="20">
        <v>68</v>
      </c>
      <c r="J25" s="20">
        <v>83</v>
      </c>
      <c r="K25" s="20">
        <v>80</v>
      </c>
      <c r="L25" s="20">
        <v>76</v>
      </c>
      <c r="M25" s="20">
        <v>91</v>
      </c>
      <c r="N25" s="20">
        <v>89</v>
      </c>
      <c r="O25" s="20">
        <v>86</v>
      </c>
      <c r="P25" s="118">
        <f t="shared" si="0"/>
        <v>879</v>
      </c>
      <c r="Q25" s="119">
        <f t="shared" si="1"/>
        <v>79.909090909090907</v>
      </c>
      <c r="R25" s="118">
        <f t="shared" si="2"/>
        <v>18</v>
      </c>
      <c r="S25" s="20"/>
      <c r="T25" s="20"/>
    </row>
    <row r="26" spans="1:20" ht="20.100000000000001" customHeight="1" thickBot="1" x14ac:dyDescent="0.3">
      <c r="A26" s="16">
        <v>23</v>
      </c>
      <c r="B26" s="140"/>
      <c r="C26" s="141">
        <v>15</v>
      </c>
      <c r="D26" s="141" t="s">
        <v>23</v>
      </c>
      <c r="E26" s="20">
        <v>96</v>
      </c>
      <c r="F26" s="20">
        <v>85</v>
      </c>
      <c r="G26" s="20">
        <v>81</v>
      </c>
      <c r="H26" s="20">
        <v>83</v>
      </c>
      <c r="I26" s="20">
        <v>77</v>
      </c>
      <c r="J26" s="20">
        <v>93</v>
      </c>
      <c r="K26" s="20">
        <v>83</v>
      </c>
      <c r="L26" s="20">
        <v>89</v>
      </c>
      <c r="M26" s="20">
        <v>90</v>
      </c>
      <c r="N26" s="20">
        <v>96</v>
      </c>
      <c r="O26" s="20">
        <v>92</v>
      </c>
      <c r="P26" s="118">
        <f t="shared" si="0"/>
        <v>965</v>
      </c>
      <c r="Q26" s="119">
        <f t="shared" si="1"/>
        <v>87.727272727272734</v>
      </c>
      <c r="R26" s="118">
        <f t="shared" si="2"/>
        <v>9</v>
      </c>
      <c r="S26" s="20"/>
      <c r="T26" s="20"/>
    </row>
    <row r="27" spans="1:20" ht="20.100000000000001" customHeight="1" thickBot="1" x14ac:dyDescent="0.3">
      <c r="A27" s="13">
        <v>24</v>
      </c>
      <c r="B27" s="140"/>
      <c r="C27" s="141">
        <v>14</v>
      </c>
      <c r="D27" s="141" t="s">
        <v>20</v>
      </c>
      <c r="E27" s="20">
        <v>90</v>
      </c>
      <c r="F27" s="20">
        <v>90</v>
      </c>
      <c r="G27" s="20">
        <v>87</v>
      </c>
      <c r="H27" s="20">
        <v>85</v>
      </c>
      <c r="I27" s="20">
        <v>78</v>
      </c>
      <c r="J27" s="20">
        <v>91</v>
      </c>
      <c r="K27" s="20">
        <v>86</v>
      </c>
      <c r="L27" s="20">
        <v>85</v>
      </c>
      <c r="M27" s="20">
        <v>99</v>
      </c>
      <c r="N27" s="20">
        <v>93</v>
      </c>
      <c r="O27" s="20">
        <v>99</v>
      </c>
      <c r="P27" s="118">
        <f t="shared" si="0"/>
        <v>983</v>
      </c>
      <c r="Q27" s="119">
        <f t="shared" si="1"/>
        <v>89.36363636363636</v>
      </c>
      <c r="R27" s="118">
        <f t="shared" si="2"/>
        <v>7</v>
      </c>
      <c r="S27" s="20"/>
      <c r="T27" s="20"/>
    </row>
    <row r="28" spans="1:20" ht="20.100000000000001" customHeight="1" thickBot="1" x14ac:dyDescent="0.3">
      <c r="A28" s="16">
        <v>25</v>
      </c>
      <c r="B28" s="140"/>
      <c r="C28" s="141">
        <v>14</v>
      </c>
      <c r="D28" s="141" t="s">
        <v>20</v>
      </c>
      <c r="E28" s="20">
        <v>84</v>
      </c>
      <c r="F28" s="20">
        <v>78</v>
      </c>
      <c r="G28" s="20">
        <v>80</v>
      </c>
      <c r="H28" s="20">
        <v>65</v>
      </c>
      <c r="I28" s="20">
        <v>76</v>
      </c>
      <c r="J28" s="20">
        <v>75</v>
      </c>
      <c r="K28" s="20">
        <v>77</v>
      </c>
      <c r="L28" s="20">
        <v>64</v>
      </c>
      <c r="M28" s="20">
        <v>76</v>
      </c>
      <c r="N28" s="20">
        <v>94</v>
      </c>
      <c r="O28" s="20">
        <v>92</v>
      </c>
      <c r="P28" s="118">
        <f t="shared" si="0"/>
        <v>861</v>
      </c>
      <c r="Q28" s="119">
        <f t="shared" si="1"/>
        <v>78.272727272727266</v>
      </c>
      <c r="R28" s="118">
        <f t="shared" si="2"/>
        <v>20</v>
      </c>
      <c r="S28" s="20"/>
      <c r="T28" s="20"/>
    </row>
    <row r="29" spans="1:20" ht="20.100000000000001" customHeight="1" thickBot="1" x14ac:dyDescent="0.3">
      <c r="A29" s="13">
        <v>26</v>
      </c>
      <c r="B29" s="140"/>
      <c r="C29" s="141">
        <v>15</v>
      </c>
      <c r="D29" s="141" t="s">
        <v>23</v>
      </c>
      <c r="E29" s="20">
        <v>80</v>
      </c>
      <c r="F29" s="20">
        <v>71</v>
      </c>
      <c r="G29" s="20">
        <v>68</v>
      </c>
      <c r="H29" s="20">
        <v>56</v>
      </c>
      <c r="I29" s="20">
        <v>56</v>
      </c>
      <c r="J29" s="20">
        <v>58</v>
      </c>
      <c r="K29" s="20">
        <v>62</v>
      </c>
      <c r="L29" s="20">
        <v>65</v>
      </c>
      <c r="M29" s="20">
        <v>85</v>
      </c>
      <c r="N29" s="20">
        <v>70</v>
      </c>
      <c r="O29" s="20">
        <v>84</v>
      </c>
      <c r="P29" s="118">
        <f t="shared" si="0"/>
        <v>755</v>
      </c>
      <c r="Q29" s="119">
        <f t="shared" si="1"/>
        <v>68.63636363636364</v>
      </c>
      <c r="R29" s="118">
        <f t="shared" si="2"/>
        <v>32</v>
      </c>
      <c r="S29" s="20"/>
      <c r="T29" s="20"/>
    </row>
    <row r="30" spans="1:20" ht="20.100000000000001" customHeight="1" thickBot="1" x14ac:dyDescent="0.3">
      <c r="A30" s="13">
        <v>27</v>
      </c>
      <c r="B30" s="140"/>
      <c r="C30" s="141">
        <v>14</v>
      </c>
      <c r="D30" s="141" t="s">
        <v>23</v>
      </c>
      <c r="E30" s="20">
        <v>85</v>
      </c>
      <c r="F30" s="20">
        <v>59</v>
      </c>
      <c r="G30" s="20">
        <v>44</v>
      </c>
      <c r="H30" s="20">
        <v>42</v>
      </c>
      <c r="I30" s="20">
        <v>45</v>
      </c>
      <c r="J30" s="20">
        <v>53</v>
      </c>
      <c r="K30" s="20">
        <v>58</v>
      </c>
      <c r="L30" s="20">
        <v>65</v>
      </c>
      <c r="M30" s="20">
        <v>75</v>
      </c>
      <c r="N30" s="20">
        <v>68</v>
      </c>
      <c r="O30" s="20">
        <v>82</v>
      </c>
      <c r="P30" s="118">
        <f t="shared" si="0"/>
        <v>676</v>
      </c>
      <c r="Q30" s="119">
        <f t="shared" si="1"/>
        <v>61.454545454545453</v>
      </c>
      <c r="R30" s="118">
        <f t="shared" si="2"/>
        <v>43</v>
      </c>
      <c r="S30" s="20"/>
      <c r="T30" s="20"/>
    </row>
    <row r="31" spans="1:20" ht="20.100000000000001" customHeight="1" thickBot="1" x14ac:dyDescent="0.3">
      <c r="A31" s="13">
        <v>28</v>
      </c>
      <c r="B31" s="140"/>
      <c r="C31" s="141">
        <v>14</v>
      </c>
      <c r="D31" s="141" t="s">
        <v>23</v>
      </c>
      <c r="E31" s="20">
        <v>86</v>
      </c>
      <c r="F31" s="20">
        <v>68</v>
      </c>
      <c r="G31" s="20">
        <v>54</v>
      </c>
      <c r="H31" s="20">
        <v>52</v>
      </c>
      <c r="I31" s="20">
        <v>51</v>
      </c>
      <c r="J31" s="20">
        <v>55</v>
      </c>
      <c r="K31" s="20">
        <v>66</v>
      </c>
      <c r="L31" s="20">
        <v>64</v>
      </c>
      <c r="M31" s="20">
        <v>74</v>
      </c>
      <c r="N31" s="20">
        <v>78</v>
      </c>
      <c r="O31" s="20">
        <v>93</v>
      </c>
      <c r="P31" s="118">
        <f t="shared" si="0"/>
        <v>741</v>
      </c>
      <c r="Q31" s="119">
        <f t="shared" si="1"/>
        <v>67.36363636363636</v>
      </c>
      <c r="R31" s="118">
        <f t="shared" si="2"/>
        <v>33</v>
      </c>
      <c r="S31" s="20"/>
      <c r="T31" s="20"/>
    </row>
    <row r="32" spans="1:20" ht="20.100000000000001" customHeight="1" thickBot="1" x14ac:dyDescent="0.3">
      <c r="A32" s="16">
        <v>29</v>
      </c>
      <c r="B32" s="140"/>
      <c r="C32" s="141">
        <v>16</v>
      </c>
      <c r="D32" s="141" t="s">
        <v>23</v>
      </c>
      <c r="E32" s="20">
        <v>83</v>
      </c>
      <c r="F32" s="20">
        <v>81</v>
      </c>
      <c r="G32" s="20">
        <v>80</v>
      </c>
      <c r="H32" s="20">
        <v>73</v>
      </c>
      <c r="I32" s="20">
        <v>77</v>
      </c>
      <c r="J32" s="20">
        <v>91</v>
      </c>
      <c r="K32" s="20">
        <v>85</v>
      </c>
      <c r="L32" s="20">
        <v>85</v>
      </c>
      <c r="M32" s="20">
        <v>88</v>
      </c>
      <c r="N32" s="20">
        <v>89</v>
      </c>
      <c r="O32" s="20">
        <v>96</v>
      </c>
      <c r="P32" s="118">
        <f t="shared" si="0"/>
        <v>928</v>
      </c>
      <c r="Q32" s="119">
        <f t="shared" si="1"/>
        <v>84.36363636363636</v>
      </c>
      <c r="R32" s="118">
        <f t="shared" si="2"/>
        <v>12</v>
      </c>
      <c r="S32" s="20"/>
      <c r="T32" s="20"/>
    </row>
    <row r="33" spans="1:20" ht="20.100000000000001" customHeight="1" thickBot="1" x14ac:dyDescent="0.3">
      <c r="A33" s="13">
        <v>30</v>
      </c>
      <c r="B33" s="140"/>
      <c r="C33" s="141">
        <v>14</v>
      </c>
      <c r="D33" s="141" t="s">
        <v>23</v>
      </c>
      <c r="E33" s="20">
        <v>89</v>
      </c>
      <c r="F33" s="20">
        <v>86</v>
      </c>
      <c r="G33" s="20">
        <v>94</v>
      </c>
      <c r="H33" s="20">
        <v>83</v>
      </c>
      <c r="I33" s="20">
        <v>81</v>
      </c>
      <c r="J33" s="20">
        <v>82</v>
      </c>
      <c r="K33" s="20">
        <v>86</v>
      </c>
      <c r="L33" s="20">
        <v>78</v>
      </c>
      <c r="M33" s="20">
        <v>90</v>
      </c>
      <c r="N33" s="20">
        <v>98</v>
      </c>
      <c r="O33" s="20">
        <v>94</v>
      </c>
      <c r="P33" s="118">
        <f t="shared" si="0"/>
        <v>961</v>
      </c>
      <c r="Q33" s="119">
        <f t="shared" si="1"/>
        <v>87.36363636363636</v>
      </c>
      <c r="R33" s="118">
        <f t="shared" si="2"/>
        <v>10</v>
      </c>
      <c r="S33" s="20"/>
      <c r="T33" s="20"/>
    </row>
    <row r="34" spans="1:20" ht="20.100000000000001" customHeight="1" thickBot="1" x14ac:dyDescent="0.3">
      <c r="A34" s="16">
        <v>31</v>
      </c>
      <c r="B34" s="140"/>
      <c r="C34" s="141">
        <v>14</v>
      </c>
      <c r="D34" s="141" t="s">
        <v>20</v>
      </c>
      <c r="E34" s="20">
        <v>78</v>
      </c>
      <c r="F34" s="20">
        <v>56</v>
      </c>
      <c r="G34" s="20">
        <v>57</v>
      </c>
      <c r="H34" s="20">
        <v>44</v>
      </c>
      <c r="I34" s="20">
        <v>54</v>
      </c>
      <c r="J34" s="20">
        <v>57</v>
      </c>
      <c r="K34" s="20">
        <v>70</v>
      </c>
      <c r="L34" s="20">
        <v>80</v>
      </c>
      <c r="M34" s="20">
        <v>58</v>
      </c>
      <c r="N34" s="20">
        <v>78</v>
      </c>
      <c r="O34" s="20">
        <v>81</v>
      </c>
      <c r="P34" s="118">
        <f t="shared" si="0"/>
        <v>713</v>
      </c>
      <c r="Q34" s="119">
        <f t="shared" si="1"/>
        <v>64.818181818181813</v>
      </c>
      <c r="R34" s="118">
        <f t="shared" si="2"/>
        <v>39</v>
      </c>
      <c r="S34" s="20"/>
      <c r="T34" s="20"/>
    </row>
    <row r="35" spans="1:20" ht="20.100000000000001" customHeight="1" thickBot="1" x14ac:dyDescent="0.3">
      <c r="A35" s="16">
        <v>32</v>
      </c>
      <c r="B35" s="140"/>
      <c r="C35" s="141">
        <v>16</v>
      </c>
      <c r="D35" s="141" t="s">
        <v>23</v>
      </c>
      <c r="E35" s="231"/>
      <c r="F35" s="231"/>
      <c r="G35" s="231"/>
      <c r="H35" s="231"/>
      <c r="I35" s="231"/>
      <c r="J35" s="231"/>
      <c r="K35" s="231"/>
      <c r="L35" s="231"/>
      <c r="M35" s="231"/>
      <c r="N35" s="231"/>
      <c r="O35" s="231"/>
      <c r="P35" s="118">
        <f t="shared" si="0"/>
        <v>0</v>
      </c>
      <c r="Q35" s="119"/>
      <c r="R35" s="118"/>
      <c r="S35" s="20"/>
      <c r="T35" s="20"/>
    </row>
    <row r="36" spans="1:20" ht="20.100000000000001" customHeight="1" thickBot="1" x14ac:dyDescent="0.3">
      <c r="A36" s="16">
        <v>33</v>
      </c>
      <c r="B36" s="140"/>
      <c r="C36" s="141">
        <v>14</v>
      </c>
      <c r="D36" s="141" t="s">
        <v>23</v>
      </c>
      <c r="E36" s="20">
        <v>85</v>
      </c>
      <c r="F36" s="20">
        <v>82</v>
      </c>
      <c r="G36" s="20">
        <v>63</v>
      </c>
      <c r="H36" s="20">
        <v>72</v>
      </c>
      <c r="I36" s="20">
        <v>78</v>
      </c>
      <c r="J36" s="20">
        <v>81</v>
      </c>
      <c r="K36" s="20">
        <v>75</v>
      </c>
      <c r="L36" s="20">
        <v>73</v>
      </c>
      <c r="M36" s="20">
        <v>93</v>
      </c>
      <c r="N36" s="20">
        <v>93</v>
      </c>
      <c r="O36" s="20">
        <v>88</v>
      </c>
      <c r="P36" s="118">
        <f t="shared" si="0"/>
        <v>883</v>
      </c>
      <c r="Q36" s="119">
        <f t="shared" si="1"/>
        <v>80.272727272727266</v>
      </c>
      <c r="R36" s="118">
        <f t="shared" si="2"/>
        <v>17</v>
      </c>
      <c r="S36" s="20"/>
      <c r="T36" s="20"/>
    </row>
    <row r="37" spans="1:20" ht="20.100000000000001" customHeight="1" thickBot="1" x14ac:dyDescent="0.3">
      <c r="A37" s="13">
        <v>34</v>
      </c>
      <c r="B37" s="140"/>
      <c r="C37" s="141">
        <v>14</v>
      </c>
      <c r="D37" s="141" t="s">
        <v>20</v>
      </c>
      <c r="E37" s="20">
        <v>82</v>
      </c>
      <c r="F37" s="20">
        <v>68</v>
      </c>
      <c r="G37" s="20">
        <v>87</v>
      </c>
      <c r="H37" s="20">
        <v>80</v>
      </c>
      <c r="I37" s="20">
        <v>73</v>
      </c>
      <c r="J37" s="20">
        <v>76</v>
      </c>
      <c r="K37" s="20">
        <v>73</v>
      </c>
      <c r="L37" s="20">
        <v>64</v>
      </c>
      <c r="M37" s="20">
        <v>71</v>
      </c>
      <c r="N37" s="20">
        <v>91</v>
      </c>
      <c r="O37" s="20">
        <v>91</v>
      </c>
      <c r="P37" s="118">
        <f t="shared" si="0"/>
        <v>856</v>
      </c>
      <c r="Q37" s="119">
        <f t="shared" si="1"/>
        <v>77.818181818181813</v>
      </c>
      <c r="R37" s="118">
        <f t="shared" si="2"/>
        <v>22</v>
      </c>
      <c r="S37" s="20"/>
      <c r="T37" s="20"/>
    </row>
    <row r="38" spans="1:20" ht="20.100000000000001" customHeight="1" thickBot="1" x14ac:dyDescent="0.3">
      <c r="A38" s="13">
        <v>35</v>
      </c>
      <c r="B38" s="140"/>
      <c r="C38" s="141">
        <v>15</v>
      </c>
      <c r="D38" s="141" t="s">
        <v>20</v>
      </c>
      <c r="E38" s="231"/>
      <c r="F38" s="231"/>
      <c r="G38" s="231"/>
      <c r="H38" s="231"/>
      <c r="I38" s="231"/>
      <c r="J38" s="231"/>
      <c r="K38" s="231"/>
      <c r="L38" s="231"/>
      <c r="M38" s="231"/>
      <c r="N38" s="231"/>
      <c r="O38" s="231"/>
      <c r="P38" s="118">
        <f t="shared" si="0"/>
        <v>0</v>
      </c>
      <c r="Q38" s="119"/>
      <c r="R38" s="118"/>
      <c r="S38" s="20"/>
      <c r="T38" s="20"/>
    </row>
    <row r="39" spans="1:20" ht="20.100000000000001" customHeight="1" thickBot="1" x14ac:dyDescent="0.3">
      <c r="A39" s="13">
        <v>36</v>
      </c>
      <c r="B39" s="140"/>
      <c r="C39" s="141">
        <v>14</v>
      </c>
      <c r="D39" s="141" t="s">
        <v>23</v>
      </c>
      <c r="E39" s="20">
        <v>80</v>
      </c>
      <c r="F39" s="20">
        <v>69</v>
      </c>
      <c r="G39" s="20">
        <v>58</v>
      </c>
      <c r="H39" s="20">
        <v>57</v>
      </c>
      <c r="I39" s="20">
        <v>56</v>
      </c>
      <c r="J39" s="20">
        <v>71</v>
      </c>
      <c r="K39" s="20">
        <v>65</v>
      </c>
      <c r="L39" s="20">
        <v>71</v>
      </c>
      <c r="M39" s="20">
        <v>69</v>
      </c>
      <c r="N39" s="20">
        <v>86</v>
      </c>
      <c r="O39" s="20">
        <v>93</v>
      </c>
      <c r="P39" s="118">
        <f t="shared" si="0"/>
        <v>775</v>
      </c>
      <c r="Q39" s="119">
        <f t="shared" si="1"/>
        <v>70.454545454545453</v>
      </c>
      <c r="R39" s="118">
        <f t="shared" si="2"/>
        <v>30</v>
      </c>
      <c r="S39" s="20"/>
      <c r="T39" s="20"/>
    </row>
    <row r="40" spans="1:20" ht="20.100000000000001" customHeight="1" thickBot="1" x14ac:dyDescent="0.3">
      <c r="A40" s="16">
        <v>37</v>
      </c>
      <c r="B40" s="140"/>
      <c r="C40" s="141">
        <v>15</v>
      </c>
      <c r="D40" s="141" t="s">
        <v>20</v>
      </c>
      <c r="E40" s="20">
        <v>70</v>
      </c>
      <c r="F40" s="20">
        <v>76</v>
      </c>
      <c r="G40" s="20">
        <v>43</v>
      </c>
      <c r="H40" s="20">
        <v>51</v>
      </c>
      <c r="I40" s="20">
        <v>48</v>
      </c>
      <c r="J40" s="20">
        <v>58</v>
      </c>
      <c r="K40" s="20">
        <v>64</v>
      </c>
      <c r="L40" s="20">
        <v>64</v>
      </c>
      <c r="M40" s="20">
        <v>80</v>
      </c>
      <c r="N40" s="20">
        <v>61</v>
      </c>
      <c r="O40" s="20">
        <v>74</v>
      </c>
      <c r="P40" s="118">
        <f t="shared" si="0"/>
        <v>689</v>
      </c>
      <c r="Q40" s="119">
        <f t="shared" si="1"/>
        <v>62.636363636363633</v>
      </c>
      <c r="R40" s="118">
        <f t="shared" si="2"/>
        <v>41</v>
      </c>
      <c r="S40" s="20"/>
      <c r="T40" s="20"/>
    </row>
    <row r="41" spans="1:20" ht="20.100000000000001" customHeight="1" thickBot="1" x14ac:dyDescent="0.3">
      <c r="A41" s="16">
        <v>38</v>
      </c>
      <c r="B41" s="140"/>
      <c r="C41" s="141">
        <v>15</v>
      </c>
      <c r="D41" s="141" t="s">
        <v>23</v>
      </c>
      <c r="E41" s="20">
        <v>84</v>
      </c>
      <c r="F41" s="20">
        <v>78</v>
      </c>
      <c r="G41" s="20">
        <v>70</v>
      </c>
      <c r="H41" s="20">
        <v>66</v>
      </c>
      <c r="I41" s="20">
        <v>64</v>
      </c>
      <c r="J41" s="20">
        <v>58</v>
      </c>
      <c r="K41" s="20">
        <v>69</v>
      </c>
      <c r="L41" s="20">
        <v>64</v>
      </c>
      <c r="M41" s="20">
        <v>87</v>
      </c>
      <c r="N41" s="20">
        <v>82</v>
      </c>
      <c r="O41" s="20">
        <v>92</v>
      </c>
      <c r="P41" s="118">
        <f t="shared" si="0"/>
        <v>814</v>
      </c>
      <c r="Q41" s="119">
        <f t="shared" si="1"/>
        <v>74</v>
      </c>
      <c r="R41" s="118">
        <f t="shared" si="2"/>
        <v>24</v>
      </c>
      <c r="S41" s="20"/>
      <c r="T41" s="20"/>
    </row>
    <row r="42" spans="1:20" ht="20.100000000000001" customHeight="1" thickBot="1" x14ac:dyDescent="0.3">
      <c r="A42" s="13">
        <v>39</v>
      </c>
      <c r="B42" s="140"/>
      <c r="C42" s="141">
        <v>14</v>
      </c>
      <c r="D42" s="141" t="s">
        <v>20</v>
      </c>
      <c r="E42" s="20">
        <v>81</v>
      </c>
      <c r="F42" s="20">
        <v>67</v>
      </c>
      <c r="G42" s="20">
        <v>58</v>
      </c>
      <c r="H42" s="20">
        <v>59</v>
      </c>
      <c r="I42" s="20">
        <v>53</v>
      </c>
      <c r="J42" s="20">
        <v>59</v>
      </c>
      <c r="K42" s="20">
        <v>67</v>
      </c>
      <c r="L42" s="20">
        <v>55</v>
      </c>
      <c r="M42" s="20">
        <v>63</v>
      </c>
      <c r="N42" s="20">
        <v>89</v>
      </c>
      <c r="O42" s="20">
        <v>90</v>
      </c>
      <c r="P42" s="118">
        <f t="shared" si="0"/>
        <v>741</v>
      </c>
      <c r="Q42" s="119">
        <f t="shared" si="1"/>
        <v>67.36363636363636</v>
      </c>
      <c r="R42" s="118">
        <f t="shared" si="2"/>
        <v>33</v>
      </c>
      <c r="S42" s="20"/>
      <c r="T42" s="20"/>
    </row>
    <row r="43" spans="1:20" ht="20.100000000000001" customHeight="1" thickBot="1" x14ac:dyDescent="0.3">
      <c r="A43" s="16">
        <v>40</v>
      </c>
      <c r="B43" s="140"/>
      <c r="C43" s="141">
        <v>15</v>
      </c>
      <c r="D43" s="141" t="s">
        <v>23</v>
      </c>
      <c r="E43" s="231"/>
      <c r="F43" s="231"/>
      <c r="G43" s="231"/>
      <c r="H43" s="231"/>
      <c r="I43" s="231"/>
      <c r="J43" s="231"/>
      <c r="K43" s="231"/>
      <c r="L43" s="231"/>
      <c r="M43" s="231"/>
      <c r="N43" s="231"/>
      <c r="O43" s="231"/>
      <c r="P43" s="118">
        <f t="shared" si="0"/>
        <v>0</v>
      </c>
      <c r="Q43" s="119"/>
      <c r="R43" s="118"/>
      <c r="S43" s="20"/>
      <c r="T43" s="20"/>
    </row>
    <row r="44" spans="1:20" ht="20.100000000000001" customHeight="1" thickBot="1" x14ac:dyDescent="0.3">
      <c r="A44" s="13">
        <v>41</v>
      </c>
      <c r="B44" s="140"/>
      <c r="C44" s="141">
        <v>16</v>
      </c>
      <c r="D44" s="141" t="s">
        <v>20</v>
      </c>
      <c r="E44" s="20">
        <v>64</v>
      </c>
      <c r="F44" s="20">
        <v>56</v>
      </c>
      <c r="G44" s="20">
        <v>61</v>
      </c>
      <c r="H44" s="20">
        <v>60</v>
      </c>
      <c r="I44" s="20">
        <v>53</v>
      </c>
      <c r="J44" s="20">
        <v>56</v>
      </c>
      <c r="K44" s="20">
        <v>70</v>
      </c>
      <c r="L44" s="20">
        <v>70</v>
      </c>
      <c r="M44" s="20">
        <v>66</v>
      </c>
      <c r="N44" s="20">
        <v>88</v>
      </c>
      <c r="O44" s="20">
        <v>92</v>
      </c>
      <c r="P44" s="118">
        <f t="shared" si="0"/>
        <v>736</v>
      </c>
      <c r="Q44" s="119">
        <f t="shared" si="1"/>
        <v>66.909090909090907</v>
      </c>
      <c r="R44" s="118">
        <f t="shared" si="2"/>
        <v>35</v>
      </c>
      <c r="S44" s="20"/>
      <c r="T44" s="20"/>
    </row>
    <row r="45" spans="1:20" ht="20.100000000000001" customHeight="1" thickBot="1" x14ac:dyDescent="0.3">
      <c r="A45" s="13">
        <v>42</v>
      </c>
      <c r="B45" s="140"/>
      <c r="C45" s="141">
        <v>16</v>
      </c>
      <c r="D45" s="141" t="s">
        <v>23</v>
      </c>
      <c r="E45" s="231"/>
      <c r="F45" s="231"/>
      <c r="G45" s="231"/>
      <c r="H45" s="231"/>
      <c r="I45" s="231"/>
      <c r="J45" s="231"/>
      <c r="K45" s="231"/>
      <c r="L45" s="231"/>
      <c r="M45" s="231"/>
      <c r="N45" s="231"/>
      <c r="O45" s="231"/>
      <c r="P45" s="118">
        <f t="shared" si="0"/>
        <v>0</v>
      </c>
      <c r="Q45" s="119"/>
      <c r="R45" s="118"/>
      <c r="S45" s="20"/>
      <c r="T45" s="20"/>
    </row>
    <row r="46" spans="1:20" ht="20.100000000000001" customHeight="1" thickBot="1" x14ac:dyDescent="0.3">
      <c r="A46" s="13">
        <v>43</v>
      </c>
      <c r="B46" s="140"/>
      <c r="C46" s="141">
        <v>14</v>
      </c>
      <c r="D46" s="141" t="s">
        <v>20</v>
      </c>
      <c r="E46" s="20">
        <v>77</v>
      </c>
      <c r="F46" s="20">
        <v>69</v>
      </c>
      <c r="G46" s="20">
        <v>62</v>
      </c>
      <c r="H46" s="20">
        <v>61</v>
      </c>
      <c r="I46" s="20">
        <v>59</v>
      </c>
      <c r="J46" s="20">
        <v>82</v>
      </c>
      <c r="K46" s="20">
        <v>74</v>
      </c>
      <c r="L46" s="20">
        <v>57</v>
      </c>
      <c r="M46" s="20">
        <v>81</v>
      </c>
      <c r="N46" s="20">
        <v>90</v>
      </c>
      <c r="O46" s="20">
        <v>88</v>
      </c>
      <c r="P46" s="118">
        <f t="shared" si="0"/>
        <v>800</v>
      </c>
      <c r="Q46" s="119">
        <f t="shared" si="1"/>
        <v>72.727272727272734</v>
      </c>
      <c r="R46" s="118">
        <f t="shared" si="2"/>
        <v>26</v>
      </c>
      <c r="S46" s="20"/>
      <c r="T46" s="20"/>
    </row>
    <row r="47" spans="1:20" ht="20.100000000000001" customHeight="1" thickBot="1" x14ac:dyDescent="0.3">
      <c r="A47" s="16">
        <v>44</v>
      </c>
      <c r="B47" s="140"/>
      <c r="C47" s="141">
        <v>15</v>
      </c>
      <c r="D47" s="141" t="s">
        <v>23</v>
      </c>
      <c r="E47" s="20">
        <v>77</v>
      </c>
      <c r="F47" s="20">
        <v>55</v>
      </c>
      <c r="G47" s="20">
        <v>36</v>
      </c>
      <c r="H47" s="20">
        <v>33</v>
      </c>
      <c r="I47" s="20">
        <v>44</v>
      </c>
      <c r="J47" s="20">
        <v>45</v>
      </c>
      <c r="K47" s="20">
        <v>46</v>
      </c>
      <c r="L47" s="20">
        <v>44</v>
      </c>
      <c r="M47" s="20">
        <v>66</v>
      </c>
      <c r="N47" s="20">
        <v>72</v>
      </c>
      <c r="O47" s="20">
        <v>70</v>
      </c>
      <c r="P47" s="118">
        <f t="shared" si="0"/>
        <v>588</v>
      </c>
      <c r="Q47" s="119">
        <f t="shared" si="1"/>
        <v>53.454545454545453</v>
      </c>
      <c r="R47" s="118">
        <f t="shared" si="2"/>
        <v>46</v>
      </c>
      <c r="S47" s="20"/>
      <c r="T47" s="20"/>
    </row>
    <row r="48" spans="1:20" ht="20.100000000000001" customHeight="1" thickBot="1" x14ac:dyDescent="0.3">
      <c r="A48" s="13">
        <v>45</v>
      </c>
      <c r="B48" s="140"/>
      <c r="C48" s="141">
        <v>14</v>
      </c>
      <c r="D48" s="141" t="s">
        <v>20</v>
      </c>
      <c r="E48" s="20">
        <v>85</v>
      </c>
      <c r="F48" s="20">
        <v>69</v>
      </c>
      <c r="G48" s="20">
        <v>81</v>
      </c>
      <c r="H48" s="20">
        <v>72</v>
      </c>
      <c r="I48" s="20">
        <v>75</v>
      </c>
      <c r="J48" s="20">
        <v>81</v>
      </c>
      <c r="K48" s="20">
        <v>84</v>
      </c>
      <c r="L48" s="20">
        <v>80</v>
      </c>
      <c r="M48" s="20">
        <v>87</v>
      </c>
      <c r="N48" s="20">
        <v>95</v>
      </c>
      <c r="O48" s="20">
        <v>100</v>
      </c>
      <c r="P48" s="118">
        <f t="shared" si="0"/>
        <v>909</v>
      </c>
      <c r="Q48" s="119">
        <f t="shared" si="1"/>
        <v>82.63636363636364</v>
      </c>
      <c r="R48" s="118">
        <f t="shared" si="2"/>
        <v>13</v>
      </c>
      <c r="S48" s="20"/>
      <c r="T48" s="20"/>
    </row>
    <row r="49" spans="1:20" ht="20.100000000000001" customHeight="1" thickBot="1" x14ac:dyDescent="0.3">
      <c r="A49" s="16">
        <v>46</v>
      </c>
      <c r="B49" s="140"/>
      <c r="C49" s="141">
        <v>14</v>
      </c>
      <c r="D49" s="141" t="s">
        <v>23</v>
      </c>
      <c r="E49" s="20">
        <v>68</v>
      </c>
      <c r="F49" s="20">
        <v>56</v>
      </c>
      <c r="G49" s="20">
        <v>41</v>
      </c>
      <c r="H49" s="20">
        <v>54</v>
      </c>
      <c r="I49" s="20">
        <v>40</v>
      </c>
      <c r="J49" s="20">
        <v>46</v>
      </c>
      <c r="K49" s="20">
        <v>60</v>
      </c>
      <c r="L49" s="20">
        <v>58</v>
      </c>
      <c r="M49" s="20">
        <v>52</v>
      </c>
      <c r="N49" s="20">
        <v>82</v>
      </c>
      <c r="O49" s="20">
        <v>88</v>
      </c>
      <c r="P49" s="118">
        <f t="shared" si="0"/>
        <v>645</v>
      </c>
      <c r="Q49" s="119">
        <f t="shared" si="1"/>
        <v>58.636363636363633</v>
      </c>
      <c r="R49" s="118">
        <f t="shared" si="2"/>
        <v>44</v>
      </c>
      <c r="S49" s="20"/>
      <c r="T49" s="20"/>
    </row>
    <row r="50" spans="1:20" ht="20.100000000000001" customHeight="1" thickBot="1" x14ac:dyDescent="0.3">
      <c r="A50" s="16">
        <v>47</v>
      </c>
      <c r="B50" s="140"/>
      <c r="C50" s="141">
        <v>14</v>
      </c>
      <c r="D50" s="141" t="s">
        <v>23</v>
      </c>
      <c r="E50" s="20">
        <v>80</v>
      </c>
      <c r="F50" s="20">
        <v>68</v>
      </c>
      <c r="G50" s="20">
        <v>41</v>
      </c>
      <c r="H50" s="20">
        <v>43</v>
      </c>
      <c r="I50" s="20">
        <v>46</v>
      </c>
      <c r="J50" s="20">
        <v>58</v>
      </c>
      <c r="K50" s="20">
        <v>66</v>
      </c>
      <c r="L50" s="20">
        <v>71</v>
      </c>
      <c r="M50" s="20">
        <v>80</v>
      </c>
      <c r="N50" s="20">
        <v>81</v>
      </c>
      <c r="O50" s="20">
        <v>85</v>
      </c>
      <c r="P50" s="118">
        <f t="shared" si="0"/>
        <v>719</v>
      </c>
      <c r="Q50" s="119">
        <f t="shared" si="1"/>
        <v>65.36363636363636</v>
      </c>
      <c r="R50" s="118">
        <f t="shared" si="2"/>
        <v>37</v>
      </c>
      <c r="S50" s="20"/>
      <c r="T50" s="20"/>
    </row>
    <row r="51" spans="1:20" ht="20.100000000000001" customHeight="1" thickBot="1" x14ac:dyDescent="0.3">
      <c r="A51" s="16">
        <v>48</v>
      </c>
      <c r="B51" s="140"/>
      <c r="C51" s="141">
        <v>14</v>
      </c>
      <c r="D51" s="141" t="s">
        <v>23</v>
      </c>
      <c r="E51" s="20">
        <v>82</v>
      </c>
      <c r="F51" s="20">
        <v>71</v>
      </c>
      <c r="G51" s="20">
        <v>53</v>
      </c>
      <c r="H51" s="20">
        <v>63</v>
      </c>
      <c r="I51" s="20">
        <v>43</v>
      </c>
      <c r="J51" s="20">
        <v>60</v>
      </c>
      <c r="K51" s="20">
        <v>63</v>
      </c>
      <c r="L51" s="20">
        <v>59</v>
      </c>
      <c r="M51" s="20">
        <v>64</v>
      </c>
      <c r="N51" s="20">
        <v>84</v>
      </c>
      <c r="O51" s="20">
        <v>94</v>
      </c>
      <c r="P51" s="118">
        <f t="shared" si="0"/>
        <v>736</v>
      </c>
      <c r="Q51" s="119">
        <f t="shared" si="1"/>
        <v>66.909090909090907</v>
      </c>
      <c r="R51" s="118">
        <f t="shared" si="2"/>
        <v>35</v>
      </c>
      <c r="S51" s="20"/>
      <c r="T51" s="20"/>
    </row>
    <row r="52" spans="1:20" ht="20.100000000000001" customHeight="1" thickBot="1" x14ac:dyDescent="0.3">
      <c r="A52" s="13">
        <v>49</v>
      </c>
      <c r="B52" s="140"/>
      <c r="C52" s="141">
        <v>14</v>
      </c>
      <c r="D52" s="141" t="s">
        <v>20</v>
      </c>
      <c r="E52" s="20">
        <v>67</v>
      </c>
      <c r="F52" s="20">
        <v>86</v>
      </c>
      <c r="G52" s="20">
        <v>55</v>
      </c>
      <c r="H52" s="20">
        <v>59</v>
      </c>
      <c r="I52" s="20">
        <v>64</v>
      </c>
      <c r="J52" s="20">
        <v>51</v>
      </c>
      <c r="K52" s="20">
        <v>61</v>
      </c>
      <c r="L52" s="20">
        <v>69</v>
      </c>
      <c r="M52" s="20">
        <v>78</v>
      </c>
      <c r="N52" s="20">
        <v>93</v>
      </c>
      <c r="O52" s="20">
        <v>84</v>
      </c>
      <c r="P52" s="118">
        <f t="shared" si="0"/>
        <v>767</v>
      </c>
      <c r="Q52" s="119">
        <f t="shared" si="1"/>
        <v>69.727272727272734</v>
      </c>
      <c r="R52" s="118">
        <f t="shared" si="2"/>
        <v>31</v>
      </c>
      <c r="S52" s="20"/>
      <c r="T52" s="20"/>
    </row>
    <row r="53" spans="1:20" ht="20.100000000000001" customHeight="1" thickBot="1" x14ac:dyDescent="0.3">
      <c r="A53" s="13">
        <v>50</v>
      </c>
      <c r="B53" s="140"/>
      <c r="C53" s="141">
        <v>15</v>
      </c>
      <c r="D53" s="141" t="s">
        <v>23</v>
      </c>
      <c r="E53" s="20">
        <v>83</v>
      </c>
      <c r="F53" s="20">
        <v>64</v>
      </c>
      <c r="G53" s="20">
        <v>67</v>
      </c>
      <c r="H53" s="20">
        <v>67</v>
      </c>
      <c r="I53" s="20">
        <v>58</v>
      </c>
      <c r="J53" s="20">
        <v>74</v>
      </c>
      <c r="K53" s="20">
        <v>82</v>
      </c>
      <c r="L53" s="20">
        <v>86</v>
      </c>
      <c r="M53" s="20">
        <v>75</v>
      </c>
      <c r="N53" s="20">
        <v>88</v>
      </c>
      <c r="O53" s="20">
        <v>94</v>
      </c>
      <c r="P53" s="118">
        <f t="shared" si="0"/>
        <v>838</v>
      </c>
      <c r="Q53" s="119">
        <f t="shared" si="1"/>
        <v>76.181818181818187</v>
      </c>
      <c r="R53" s="118">
        <f t="shared" si="2"/>
        <v>23</v>
      </c>
      <c r="S53" s="20"/>
      <c r="T53" s="20"/>
    </row>
    <row r="54" spans="1:20" ht="19.5" customHeight="1" thickBot="1" x14ac:dyDescent="0.3">
      <c r="A54" s="13">
        <v>51</v>
      </c>
      <c r="B54" s="140"/>
      <c r="C54" s="141">
        <v>16</v>
      </c>
      <c r="D54" s="141" t="s">
        <v>23</v>
      </c>
      <c r="E54" s="20">
        <v>84</v>
      </c>
      <c r="F54" s="20">
        <v>78</v>
      </c>
      <c r="G54" s="20">
        <v>75</v>
      </c>
      <c r="H54" s="20">
        <v>68</v>
      </c>
      <c r="I54" s="20">
        <v>64</v>
      </c>
      <c r="J54" s="20">
        <v>72</v>
      </c>
      <c r="K54" s="20">
        <v>69</v>
      </c>
      <c r="L54" s="20">
        <v>71</v>
      </c>
      <c r="M54" s="20">
        <v>87</v>
      </c>
      <c r="N54" s="20">
        <v>100</v>
      </c>
      <c r="O54" s="20">
        <v>92</v>
      </c>
      <c r="P54" s="118">
        <f t="shared" si="0"/>
        <v>860</v>
      </c>
      <c r="Q54" s="119">
        <f t="shared" si="1"/>
        <v>78.181818181818187</v>
      </c>
      <c r="R54" s="118">
        <f t="shared" si="2"/>
        <v>21</v>
      </c>
      <c r="S54" s="20"/>
      <c r="T54" s="20"/>
    </row>
    <row r="55" spans="1:20" ht="19.5" customHeight="1" x14ac:dyDescent="0.25">
      <c r="A55" s="107">
        <v>52</v>
      </c>
      <c r="B55" s="140"/>
      <c r="C55" s="141">
        <v>15</v>
      </c>
      <c r="D55" s="141" t="s">
        <v>20</v>
      </c>
      <c r="E55" s="20">
        <v>75</v>
      </c>
      <c r="F55" s="20">
        <v>61</v>
      </c>
      <c r="G55" s="20">
        <v>53</v>
      </c>
      <c r="H55" s="20">
        <v>52</v>
      </c>
      <c r="I55" s="20">
        <v>55</v>
      </c>
      <c r="J55" s="20">
        <v>57</v>
      </c>
      <c r="K55" s="20">
        <v>59</v>
      </c>
      <c r="L55" s="20">
        <v>63</v>
      </c>
      <c r="M55" s="20">
        <v>65</v>
      </c>
      <c r="N55" s="20">
        <v>86</v>
      </c>
      <c r="O55" s="20">
        <v>93</v>
      </c>
      <c r="P55" s="118">
        <f t="shared" si="0"/>
        <v>719</v>
      </c>
      <c r="Q55" s="119">
        <f t="shared" si="1"/>
        <v>65.36363636363636</v>
      </c>
      <c r="R55" s="118">
        <f t="shared" si="2"/>
        <v>37</v>
      </c>
      <c r="S55" s="20"/>
      <c r="T55" s="20"/>
    </row>
    <row r="56" spans="1:20" ht="19.5" customHeight="1" x14ac:dyDescent="0.25">
      <c r="A56" s="107">
        <v>53</v>
      </c>
      <c r="B56" s="20"/>
      <c r="C56" s="20"/>
      <c r="D56" s="122"/>
      <c r="E56" s="20"/>
      <c r="F56" s="20"/>
      <c r="G56" s="20"/>
      <c r="H56" s="20"/>
      <c r="I56" s="20"/>
      <c r="J56" s="20"/>
      <c r="K56" s="20"/>
      <c r="L56" s="20"/>
      <c r="M56" s="20"/>
      <c r="N56" s="20"/>
      <c r="O56" s="20"/>
      <c r="P56" s="20"/>
      <c r="Q56" s="20"/>
      <c r="R56" s="20"/>
      <c r="S56" s="20"/>
      <c r="T56" s="20"/>
    </row>
    <row r="57" spans="1:20" ht="19.5" customHeight="1" x14ac:dyDescent="0.25">
      <c r="A57" s="107">
        <v>54</v>
      </c>
      <c r="B57" s="20"/>
      <c r="C57" s="20"/>
      <c r="D57" s="122"/>
      <c r="E57" s="20"/>
      <c r="F57" s="20"/>
      <c r="G57" s="20"/>
      <c r="H57" s="20"/>
      <c r="I57" s="20"/>
      <c r="J57" s="20"/>
      <c r="K57" s="20"/>
      <c r="L57" s="20"/>
      <c r="M57" s="20"/>
      <c r="N57" s="20"/>
      <c r="O57" s="20"/>
      <c r="P57" s="20"/>
      <c r="Q57" s="20"/>
      <c r="R57" s="20"/>
      <c r="S57" s="20"/>
      <c r="T57" s="20"/>
    </row>
    <row r="58" spans="1:20" ht="19.5" customHeight="1" x14ac:dyDescent="0.25">
      <c r="A58" s="107">
        <v>55</v>
      </c>
      <c r="B58" s="20"/>
      <c r="C58" s="20"/>
      <c r="D58" s="122"/>
      <c r="E58" s="20"/>
      <c r="F58" s="20"/>
      <c r="G58" s="20"/>
      <c r="H58" s="20"/>
      <c r="I58" s="20"/>
      <c r="J58" s="20"/>
      <c r="K58" s="20"/>
      <c r="L58" s="20"/>
      <c r="M58" s="20"/>
      <c r="N58" s="20"/>
      <c r="O58" s="20"/>
      <c r="P58" s="20"/>
      <c r="Q58" s="20"/>
      <c r="R58" s="20"/>
      <c r="S58" s="20"/>
      <c r="T58" s="20"/>
    </row>
  </sheetData>
  <mergeCells count="2">
    <mergeCell ref="A1:T1"/>
    <mergeCell ref="A2:T2"/>
  </mergeCells>
  <pageMargins left="0.7" right="0.7" top="0.75" bottom="0.75" header="0.3" footer="0.3"/>
  <pageSetup paperSize="9" scale="49" fitToHeight="0"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58"/>
  <sheetViews>
    <sheetView workbookViewId="0">
      <selection activeCell="B4" sqref="B4:B55"/>
    </sheetView>
  </sheetViews>
  <sheetFormatPr defaultRowHeight="15" x14ac:dyDescent="0.25"/>
  <cols>
    <col min="1" max="1" width="6.7109375" style="14" customWidth="1"/>
    <col min="2" max="2" width="35.140625" bestFit="1" customWidth="1"/>
    <col min="3" max="3" width="4.7109375" customWidth="1"/>
    <col min="4" max="4" width="4.140625" customWidth="1"/>
    <col min="5" max="5" width="12" style="14" customWidth="1"/>
    <col min="6" max="7" width="10.5703125" style="14" customWidth="1"/>
  </cols>
  <sheetData>
    <row r="1" spans="1:8" ht="20.25" x14ac:dyDescent="0.25">
      <c r="A1" s="288" t="s">
        <v>38</v>
      </c>
      <c r="B1" s="289"/>
      <c r="C1" s="289"/>
      <c r="D1" s="289"/>
      <c r="E1" s="289"/>
      <c r="F1" s="289"/>
      <c r="G1" s="289"/>
      <c r="H1" s="289"/>
    </row>
    <row r="2" spans="1:8" x14ac:dyDescent="0.25">
      <c r="A2" s="290" t="s">
        <v>37</v>
      </c>
      <c r="B2" s="291"/>
      <c r="C2" s="291"/>
      <c r="D2" s="291"/>
      <c r="E2" s="291"/>
      <c r="F2" s="291"/>
      <c r="G2" s="291"/>
      <c r="H2" s="291"/>
    </row>
    <row r="3" spans="1:8" ht="67.5" customHeight="1" x14ac:dyDescent="0.25">
      <c r="A3" s="146" t="s">
        <v>24</v>
      </c>
      <c r="B3" s="93" t="s">
        <v>1</v>
      </c>
      <c r="C3" s="94" t="s">
        <v>2</v>
      </c>
      <c r="D3" s="93" t="s">
        <v>3</v>
      </c>
      <c r="E3" s="39" t="s">
        <v>26</v>
      </c>
      <c r="F3" s="72" t="s">
        <v>27</v>
      </c>
      <c r="G3" s="72" t="s">
        <v>16</v>
      </c>
      <c r="H3" s="123" t="s">
        <v>17</v>
      </c>
    </row>
    <row r="4" spans="1:8" ht="20.100000000000001" customHeight="1" x14ac:dyDescent="0.25">
      <c r="A4" s="59">
        <v>1</v>
      </c>
      <c r="B4" s="143"/>
      <c r="C4" s="144">
        <v>14</v>
      </c>
      <c r="D4" s="144" t="s">
        <v>23</v>
      </c>
      <c r="E4" s="62">
        <f>'9A Sem 1'!Q4</f>
        <v>61.545454545454547</v>
      </c>
      <c r="F4" s="33">
        <f>'9A Sem 2'!Q4</f>
        <v>64.545454545454547</v>
      </c>
      <c r="G4" s="33">
        <f>AVERAGE(E4:F4)</f>
        <v>63.045454545454547</v>
      </c>
      <c r="H4" s="15">
        <f>RANK(G4,$G$4:$G$55)</f>
        <v>37</v>
      </c>
    </row>
    <row r="5" spans="1:8" ht="20.100000000000001" customHeight="1" x14ac:dyDescent="0.25">
      <c r="A5" s="16">
        <v>2</v>
      </c>
      <c r="B5" s="140"/>
      <c r="C5" s="141">
        <v>16</v>
      </c>
      <c r="D5" s="141" t="s">
        <v>20</v>
      </c>
      <c r="E5" s="33">
        <f>'9A Sem 1'!Q5</f>
        <v>96.36363636363636</v>
      </c>
      <c r="F5" s="33">
        <f>'9A Sem 2'!Q5</f>
        <v>97.272727272727266</v>
      </c>
      <c r="G5" s="33">
        <f t="shared" ref="G5:G58" si="0">AVERAGE(E5:F5)</f>
        <v>96.818181818181813</v>
      </c>
      <c r="H5" s="15">
        <f t="shared" ref="H5:H55" si="1">RANK(G5,$G$4:$G$55)</f>
        <v>1</v>
      </c>
    </row>
    <row r="6" spans="1:8" ht="20.100000000000001" customHeight="1" x14ac:dyDescent="0.25">
      <c r="A6" s="107">
        <v>3</v>
      </c>
      <c r="B6" s="140"/>
      <c r="C6" s="141">
        <v>14</v>
      </c>
      <c r="D6" s="141" t="s">
        <v>23</v>
      </c>
      <c r="E6" s="33">
        <f>'9A Sem 1'!Q6</f>
        <v>57.545454545454547</v>
      </c>
      <c r="F6" s="33">
        <f>'9A Sem 2'!Q6</f>
        <v>58</v>
      </c>
      <c r="G6" s="33">
        <f t="shared" si="0"/>
        <v>57.772727272727273</v>
      </c>
      <c r="H6" s="15">
        <f t="shared" si="1"/>
        <v>44</v>
      </c>
    </row>
    <row r="7" spans="1:8" ht="20.100000000000001" customHeight="1" x14ac:dyDescent="0.25">
      <c r="A7" s="16">
        <v>4</v>
      </c>
      <c r="B7" s="140"/>
      <c r="C7" s="141">
        <v>14</v>
      </c>
      <c r="D7" s="141" t="s">
        <v>20</v>
      </c>
      <c r="E7" s="33">
        <f>'9A Sem 1'!Q7</f>
        <v>75.272727272727266</v>
      </c>
      <c r="F7" s="33">
        <f>'9A Sem 2'!Q7</f>
        <v>80.454545454545453</v>
      </c>
      <c r="G7" s="33">
        <f t="shared" si="0"/>
        <v>77.86363636363636</v>
      </c>
      <c r="H7" s="15">
        <f t="shared" si="1"/>
        <v>20</v>
      </c>
    </row>
    <row r="8" spans="1:8" ht="20.100000000000001" customHeight="1" x14ac:dyDescent="0.25">
      <c r="A8" s="16">
        <v>5</v>
      </c>
      <c r="B8" s="140"/>
      <c r="C8" s="141">
        <v>14</v>
      </c>
      <c r="D8" s="141" t="s">
        <v>23</v>
      </c>
      <c r="E8" s="33">
        <f>'9A Sem 1'!Q8</f>
        <v>91.272727272727266</v>
      </c>
      <c r="F8" s="33">
        <f>'9A Sem 2'!Q8</f>
        <v>91.818181818181813</v>
      </c>
      <c r="G8" s="33">
        <f t="shared" si="0"/>
        <v>91.545454545454533</v>
      </c>
      <c r="H8" s="15">
        <f t="shared" si="1"/>
        <v>3</v>
      </c>
    </row>
    <row r="9" spans="1:8" ht="20.100000000000001" customHeight="1" x14ac:dyDescent="0.25">
      <c r="A9" s="107">
        <v>6</v>
      </c>
      <c r="B9" s="140"/>
      <c r="C9" s="141">
        <v>16</v>
      </c>
      <c r="D9" s="141" t="s">
        <v>23</v>
      </c>
      <c r="E9" s="33">
        <f>'9A Sem 1'!Q9</f>
        <v>48.363636363636367</v>
      </c>
      <c r="F9" s="33">
        <f>'9A Sem 2'!Q9</f>
        <v>49.454545454545453</v>
      </c>
      <c r="G9" s="33">
        <f t="shared" si="0"/>
        <v>48.909090909090907</v>
      </c>
      <c r="H9" s="15">
        <f t="shared" si="1"/>
        <v>48</v>
      </c>
    </row>
    <row r="10" spans="1:8" ht="20.100000000000001" customHeight="1" x14ac:dyDescent="0.25">
      <c r="A10" s="16">
        <v>7</v>
      </c>
      <c r="B10" s="140"/>
      <c r="C10" s="141">
        <v>14</v>
      </c>
      <c r="D10" s="141" t="s">
        <v>23</v>
      </c>
      <c r="E10" s="33">
        <f>'9A Sem 1'!Q10</f>
        <v>79.63636363636364</v>
      </c>
      <c r="F10" s="33">
        <f>'9A Sem 2'!Q10</f>
        <v>79.36363636363636</v>
      </c>
      <c r="G10" s="33">
        <f t="shared" si="0"/>
        <v>79.5</v>
      </c>
      <c r="H10" s="15">
        <f t="shared" si="1"/>
        <v>16</v>
      </c>
    </row>
    <row r="11" spans="1:8" ht="20.100000000000001" customHeight="1" x14ac:dyDescent="0.25">
      <c r="A11" s="16">
        <v>8</v>
      </c>
      <c r="B11" s="140"/>
      <c r="C11" s="141">
        <v>14</v>
      </c>
      <c r="D11" s="141" t="s">
        <v>20</v>
      </c>
      <c r="E11" s="33">
        <f>'9A Sem 1'!Q11</f>
        <v>75.272727272727266</v>
      </c>
      <c r="F11" s="33">
        <f>'9A Sem 2'!Q11</f>
        <v>71.545454545454547</v>
      </c>
      <c r="G11" s="33">
        <f t="shared" si="0"/>
        <v>73.409090909090907</v>
      </c>
      <c r="H11" s="15">
        <f t="shared" si="1"/>
        <v>26</v>
      </c>
    </row>
    <row r="12" spans="1:8" ht="20.100000000000001" customHeight="1" x14ac:dyDescent="0.25">
      <c r="A12" s="107">
        <v>9</v>
      </c>
      <c r="B12" s="142"/>
      <c r="C12" s="141">
        <v>15</v>
      </c>
      <c r="D12" s="141" t="s">
        <v>20</v>
      </c>
      <c r="E12" s="33">
        <f>'9A Sem 1'!Q12</f>
        <v>52.454545454545453</v>
      </c>
      <c r="F12" s="33">
        <f>'9A Sem 2'!Q12</f>
        <v>50.090909090909093</v>
      </c>
      <c r="G12" s="33">
        <f t="shared" si="0"/>
        <v>51.272727272727273</v>
      </c>
      <c r="H12" s="15">
        <f t="shared" si="1"/>
        <v>47</v>
      </c>
    </row>
    <row r="13" spans="1:8" ht="20.100000000000001" customHeight="1" x14ac:dyDescent="0.25">
      <c r="A13" s="16">
        <v>10</v>
      </c>
      <c r="B13" s="140"/>
      <c r="C13" s="141">
        <v>15</v>
      </c>
      <c r="D13" s="141" t="s">
        <v>20</v>
      </c>
      <c r="E13" s="33">
        <f>'9A Sem 1'!Q13</f>
        <v>76.727272727272734</v>
      </c>
      <c r="F13" s="33">
        <f>'9A Sem 2'!Q13</f>
        <v>73.63636363636364</v>
      </c>
      <c r="G13" s="33">
        <f t="shared" si="0"/>
        <v>75.181818181818187</v>
      </c>
      <c r="H13" s="15">
        <f t="shared" si="1"/>
        <v>24</v>
      </c>
    </row>
    <row r="14" spans="1:8" ht="20.100000000000001" customHeight="1" x14ac:dyDescent="0.25">
      <c r="A14" s="107">
        <v>11</v>
      </c>
      <c r="B14" s="140"/>
      <c r="C14" s="141">
        <v>14</v>
      </c>
      <c r="D14" s="141" t="s">
        <v>23</v>
      </c>
      <c r="E14" s="33">
        <f>'9A Sem 1'!Q14</f>
        <v>81.909090909090907</v>
      </c>
      <c r="F14" s="33">
        <f>'9A Sem 2'!Q14</f>
        <v>82.545454545454547</v>
      </c>
      <c r="G14" s="33">
        <f t="shared" si="0"/>
        <v>82.22727272727272</v>
      </c>
      <c r="H14" s="15">
        <f t="shared" si="1"/>
        <v>11</v>
      </c>
    </row>
    <row r="15" spans="1:8" ht="20.100000000000001" customHeight="1" x14ac:dyDescent="0.25">
      <c r="A15" s="107">
        <v>12</v>
      </c>
      <c r="B15" s="140"/>
      <c r="C15" s="141">
        <v>15</v>
      </c>
      <c r="D15" s="141" t="s">
        <v>23</v>
      </c>
      <c r="E15" s="33">
        <f>'9A Sem 1'!Q15</f>
        <v>60.090909090909093</v>
      </c>
      <c r="F15" s="33">
        <f>'9A Sem 2'!Q15</f>
        <v>62.272727272727273</v>
      </c>
      <c r="G15" s="33">
        <f t="shared" si="0"/>
        <v>61.181818181818187</v>
      </c>
      <c r="H15" s="15">
        <f t="shared" si="1"/>
        <v>42</v>
      </c>
    </row>
    <row r="16" spans="1:8" ht="20.100000000000001" customHeight="1" x14ac:dyDescent="0.25">
      <c r="A16" s="107">
        <v>13</v>
      </c>
      <c r="B16" s="140"/>
      <c r="C16" s="141">
        <v>14</v>
      </c>
      <c r="D16" s="141" t="s">
        <v>23</v>
      </c>
      <c r="E16" s="33">
        <f>'9A Sem 1'!Q16</f>
        <v>69.545454545454547</v>
      </c>
      <c r="F16" s="33">
        <f>'9A Sem 2'!Q16</f>
        <v>71.63636363636364</v>
      </c>
      <c r="G16" s="33">
        <f t="shared" si="0"/>
        <v>70.590909090909093</v>
      </c>
      <c r="H16" s="15">
        <f t="shared" si="1"/>
        <v>28</v>
      </c>
    </row>
    <row r="17" spans="1:8" ht="20.100000000000001" customHeight="1" x14ac:dyDescent="0.25">
      <c r="A17" s="16">
        <v>14</v>
      </c>
      <c r="B17" s="140"/>
      <c r="C17" s="141">
        <v>15</v>
      </c>
      <c r="D17" s="141" t="s">
        <v>23</v>
      </c>
      <c r="E17" s="33">
        <f>'9A Sem 1'!Q17</f>
        <v>88.818181818181813</v>
      </c>
      <c r="F17" s="33">
        <f>'9A Sem 2'!Q17</f>
        <v>94.454545454545453</v>
      </c>
      <c r="G17" s="33">
        <f t="shared" si="0"/>
        <v>91.636363636363626</v>
      </c>
      <c r="H17" s="15">
        <f t="shared" si="1"/>
        <v>2</v>
      </c>
    </row>
    <row r="18" spans="1:8" ht="20.100000000000001" customHeight="1" x14ac:dyDescent="0.25">
      <c r="A18" s="107">
        <v>15</v>
      </c>
      <c r="B18" s="140"/>
      <c r="C18" s="141">
        <v>15</v>
      </c>
      <c r="D18" s="141" t="s">
        <v>20</v>
      </c>
      <c r="E18" s="33">
        <f>'9A Sem 1'!Q18</f>
        <v>85</v>
      </c>
      <c r="F18" s="33">
        <f>'9A Sem 2'!Q18</f>
        <v>87.818181818181813</v>
      </c>
      <c r="G18" s="33">
        <f t="shared" si="0"/>
        <v>86.409090909090907</v>
      </c>
      <c r="H18" s="15">
        <f t="shared" si="1"/>
        <v>8</v>
      </c>
    </row>
    <row r="19" spans="1:8" ht="20.100000000000001" customHeight="1" x14ac:dyDescent="0.25">
      <c r="A19" s="16">
        <v>16</v>
      </c>
      <c r="B19" s="140"/>
      <c r="C19" s="141">
        <v>15</v>
      </c>
      <c r="D19" s="141" t="s">
        <v>20</v>
      </c>
      <c r="E19" s="33">
        <f>'9A Sem 1'!Q19</f>
        <v>89.454545454545453</v>
      </c>
      <c r="F19" s="33">
        <f>'9A Sem 2'!Q19</f>
        <v>89.909090909090907</v>
      </c>
      <c r="G19" s="33">
        <f t="shared" si="0"/>
        <v>89.681818181818187</v>
      </c>
      <c r="H19" s="15">
        <f t="shared" si="1"/>
        <v>4</v>
      </c>
    </row>
    <row r="20" spans="1:8" ht="20.100000000000001" customHeight="1" x14ac:dyDescent="0.25">
      <c r="A20" s="16">
        <v>17</v>
      </c>
      <c r="B20" s="140"/>
      <c r="C20" s="141">
        <v>15</v>
      </c>
      <c r="D20" s="141" t="s">
        <v>23</v>
      </c>
      <c r="E20" s="33">
        <f>'9A Sem 1'!Q20</f>
        <v>73</v>
      </c>
      <c r="F20" s="33">
        <f>'9A Sem 2'!Q20</f>
        <v>80.545454545454547</v>
      </c>
      <c r="G20" s="33">
        <f t="shared" si="0"/>
        <v>76.77272727272728</v>
      </c>
      <c r="H20" s="15">
        <f t="shared" si="1"/>
        <v>22</v>
      </c>
    </row>
    <row r="21" spans="1:8" ht="20.100000000000001" customHeight="1" x14ac:dyDescent="0.25">
      <c r="A21" s="16">
        <v>18</v>
      </c>
      <c r="B21" s="140"/>
      <c r="C21" s="141">
        <v>14</v>
      </c>
      <c r="D21" s="141" t="s">
        <v>23</v>
      </c>
      <c r="E21" s="33">
        <f>'9A Sem 1'!Q21</f>
        <v>74.727272727272734</v>
      </c>
      <c r="F21" s="33">
        <f>'9A Sem 2'!Q21</f>
        <v>84.545454545454547</v>
      </c>
      <c r="G21" s="33">
        <f t="shared" si="0"/>
        <v>79.63636363636364</v>
      </c>
      <c r="H21" s="15">
        <f t="shared" si="1"/>
        <v>15</v>
      </c>
    </row>
    <row r="22" spans="1:8" ht="20.100000000000001" customHeight="1" x14ac:dyDescent="0.25">
      <c r="A22" s="107">
        <v>19</v>
      </c>
      <c r="B22" s="140"/>
      <c r="C22" s="141">
        <v>15</v>
      </c>
      <c r="D22" s="141" t="s">
        <v>20</v>
      </c>
      <c r="E22" s="33">
        <f>'9A Sem 1'!Q22</f>
        <v>65.727272727272734</v>
      </c>
      <c r="F22" s="33">
        <f>'9A Sem 2'!Q22</f>
        <v>71.454545454545453</v>
      </c>
      <c r="G22" s="33">
        <f t="shared" si="0"/>
        <v>68.590909090909093</v>
      </c>
      <c r="H22" s="15">
        <f t="shared" si="1"/>
        <v>31</v>
      </c>
    </row>
    <row r="23" spans="1:8" ht="20.100000000000001" customHeight="1" x14ac:dyDescent="0.25">
      <c r="A23" s="107">
        <v>20</v>
      </c>
      <c r="B23" s="140"/>
      <c r="C23" s="141">
        <v>14</v>
      </c>
      <c r="D23" s="141" t="s">
        <v>23</v>
      </c>
      <c r="E23" s="33">
        <f>'9A Sem 1'!Q23</f>
        <v>86.181818181818187</v>
      </c>
      <c r="F23" s="33">
        <f>'9A Sem 2'!Q23</f>
        <v>89.454545454545453</v>
      </c>
      <c r="G23" s="33">
        <f t="shared" si="0"/>
        <v>87.818181818181813</v>
      </c>
      <c r="H23" s="15">
        <f t="shared" si="1"/>
        <v>7</v>
      </c>
    </row>
    <row r="24" spans="1:8" ht="20.100000000000001" customHeight="1" x14ac:dyDescent="0.25">
      <c r="A24" s="107">
        <v>21</v>
      </c>
      <c r="B24" s="140"/>
      <c r="C24" s="141">
        <v>15</v>
      </c>
      <c r="D24" s="141" t="s">
        <v>20</v>
      </c>
      <c r="E24" s="33">
        <f>'9A Sem 1'!Q24</f>
        <v>86.727272727272734</v>
      </c>
      <c r="F24" s="33">
        <f>'9A Sem 2'!Q24</f>
        <v>90</v>
      </c>
      <c r="G24" s="33">
        <f t="shared" si="0"/>
        <v>88.363636363636374</v>
      </c>
      <c r="H24" s="15">
        <f t="shared" si="1"/>
        <v>5</v>
      </c>
    </row>
    <row r="25" spans="1:8" ht="20.100000000000001" customHeight="1" x14ac:dyDescent="0.25">
      <c r="A25" s="16">
        <v>22</v>
      </c>
      <c r="B25" s="140"/>
      <c r="C25" s="141">
        <v>14</v>
      </c>
      <c r="D25" s="141" t="s">
        <v>23</v>
      </c>
      <c r="E25" s="33">
        <f>'9A Sem 1'!Q25</f>
        <v>76.545454545454547</v>
      </c>
      <c r="F25" s="33">
        <f>'9A Sem 2'!Q25</f>
        <v>79.909090909090907</v>
      </c>
      <c r="G25" s="33">
        <f t="shared" si="0"/>
        <v>78.22727272727272</v>
      </c>
      <c r="H25" s="15">
        <f t="shared" si="1"/>
        <v>19</v>
      </c>
    </row>
    <row r="26" spans="1:8" ht="20.100000000000001" customHeight="1" x14ac:dyDescent="0.25">
      <c r="A26" s="16">
        <v>23</v>
      </c>
      <c r="B26" s="140"/>
      <c r="C26" s="141">
        <v>15</v>
      </c>
      <c r="D26" s="141" t="s">
        <v>23</v>
      </c>
      <c r="E26" s="33">
        <f>'9A Sem 1'!Q26</f>
        <v>82</v>
      </c>
      <c r="F26" s="33">
        <f>'9A Sem 2'!Q26</f>
        <v>87.727272727272734</v>
      </c>
      <c r="G26" s="33">
        <f t="shared" si="0"/>
        <v>84.863636363636374</v>
      </c>
      <c r="H26" s="15">
        <f t="shared" si="1"/>
        <v>10</v>
      </c>
    </row>
    <row r="27" spans="1:8" ht="20.100000000000001" customHeight="1" x14ac:dyDescent="0.25">
      <c r="A27" s="107">
        <v>24</v>
      </c>
      <c r="B27" s="140"/>
      <c r="C27" s="141">
        <v>14</v>
      </c>
      <c r="D27" s="141" t="s">
        <v>20</v>
      </c>
      <c r="E27" s="33">
        <f>'9A Sem 1'!Q27</f>
        <v>86.909090909090907</v>
      </c>
      <c r="F27" s="33">
        <f>'9A Sem 2'!Q27</f>
        <v>89.36363636363636</v>
      </c>
      <c r="G27" s="33">
        <f t="shared" si="0"/>
        <v>88.136363636363626</v>
      </c>
      <c r="H27" s="15">
        <f t="shared" si="1"/>
        <v>6</v>
      </c>
    </row>
    <row r="28" spans="1:8" ht="20.100000000000001" customHeight="1" x14ac:dyDescent="0.25">
      <c r="A28" s="16">
        <v>25</v>
      </c>
      <c r="B28" s="140"/>
      <c r="C28" s="141">
        <v>14</v>
      </c>
      <c r="D28" s="141" t="s">
        <v>20</v>
      </c>
      <c r="E28" s="33">
        <f>'9A Sem 1'!Q28</f>
        <v>79.63636363636364</v>
      </c>
      <c r="F28" s="33">
        <f>'9A Sem 2'!Q28</f>
        <v>78.272727272727266</v>
      </c>
      <c r="G28" s="33">
        <f t="shared" si="0"/>
        <v>78.954545454545453</v>
      </c>
      <c r="H28" s="15">
        <f t="shared" si="1"/>
        <v>18</v>
      </c>
    </row>
    <row r="29" spans="1:8" ht="20.100000000000001" customHeight="1" x14ac:dyDescent="0.25">
      <c r="A29" s="107">
        <v>26</v>
      </c>
      <c r="B29" s="140"/>
      <c r="C29" s="141">
        <v>15</v>
      </c>
      <c r="D29" s="141" t="s">
        <v>23</v>
      </c>
      <c r="E29" s="33">
        <f>'9A Sem 1'!Q29</f>
        <v>57</v>
      </c>
      <c r="F29" s="33">
        <f>'9A Sem 2'!Q29</f>
        <v>68.63636363636364</v>
      </c>
      <c r="G29" s="33">
        <f t="shared" si="0"/>
        <v>62.81818181818182</v>
      </c>
      <c r="H29" s="15">
        <f t="shared" si="1"/>
        <v>38</v>
      </c>
    </row>
    <row r="30" spans="1:8" ht="20.100000000000001" customHeight="1" x14ac:dyDescent="0.25">
      <c r="A30" s="107">
        <v>27</v>
      </c>
      <c r="B30" s="140"/>
      <c r="C30" s="141">
        <v>14</v>
      </c>
      <c r="D30" s="141" t="s">
        <v>23</v>
      </c>
      <c r="E30" s="33">
        <f>'9A Sem 1'!Q30</f>
        <v>58.81818181818182</v>
      </c>
      <c r="F30" s="33">
        <f>'9A Sem 2'!Q30</f>
        <v>61.454545454545453</v>
      </c>
      <c r="G30" s="33">
        <f t="shared" si="0"/>
        <v>60.13636363636364</v>
      </c>
      <c r="H30" s="15">
        <f t="shared" si="1"/>
        <v>43</v>
      </c>
    </row>
    <row r="31" spans="1:8" ht="20.100000000000001" customHeight="1" x14ac:dyDescent="0.25">
      <c r="A31" s="107">
        <v>28</v>
      </c>
      <c r="B31" s="140"/>
      <c r="C31" s="141">
        <v>14</v>
      </c>
      <c r="D31" s="141" t="s">
        <v>23</v>
      </c>
      <c r="E31" s="33">
        <f>'9A Sem 1'!Q31</f>
        <v>69</v>
      </c>
      <c r="F31" s="33">
        <f>'9A Sem 2'!Q31</f>
        <v>67.36363636363636</v>
      </c>
      <c r="G31" s="33">
        <f t="shared" si="0"/>
        <v>68.181818181818187</v>
      </c>
      <c r="H31" s="15">
        <f t="shared" si="1"/>
        <v>32</v>
      </c>
    </row>
    <row r="32" spans="1:8" ht="20.100000000000001" customHeight="1" x14ac:dyDescent="0.25">
      <c r="A32" s="16">
        <v>29</v>
      </c>
      <c r="B32" s="140"/>
      <c r="C32" s="141">
        <v>16</v>
      </c>
      <c r="D32" s="141" t="s">
        <v>23</v>
      </c>
      <c r="E32" s="33">
        <f>'9A Sem 1'!Q32</f>
        <v>77.63636363636364</v>
      </c>
      <c r="F32" s="33">
        <f>'9A Sem 2'!Q32</f>
        <v>84.36363636363636</v>
      </c>
      <c r="G32" s="33">
        <f t="shared" si="0"/>
        <v>81</v>
      </c>
      <c r="H32" s="15">
        <f t="shared" si="1"/>
        <v>12</v>
      </c>
    </row>
    <row r="33" spans="1:8" ht="20.100000000000001" customHeight="1" x14ac:dyDescent="0.25">
      <c r="A33" s="107">
        <v>30</v>
      </c>
      <c r="B33" s="140"/>
      <c r="C33" s="141">
        <v>14</v>
      </c>
      <c r="D33" s="141" t="s">
        <v>23</v>
      </c>
      <c r="E33" s="33">
        <f>'9A Sem 1'!Q33</f>
        <v>83.63636363636364</v>
      </c>
      <c r="F33" s="33">
        <f>'9A Sem 2'!Q33</f>
        <v>87.36363636363636</v>
      </c>
      <c r="G33" s="33">
        <f t="shared" si="0"/>
        <v>85.5</v>
      </c>
      <c r="H33" s="15">
        <f t="shared" si="1"/>
        <v>9</v>
      </c>
    </row>
    <row r="34" spans="1:8" ht="20.100000000000001" customHeight="1" x14ac:dyDescent="0.25">
      <c r="A34" s="16">
        <v>31</v>
      </c>
      <c r="B34" s="140"/>
      <c r="C34" s="141">
        <v>14</v>
      </c>
      <c r="D34" s="141" t="s">
        <v>20</v>
      </c>
      <c r="E34" s="33">
        <f>'9A Sem 1'!Q34</f>
        <v>60.090909090909093</v>
      </c>
      <c r="F34" s="33">
        <f>'9A Sem 2'!Q34</f>
        <v>64.818181818181813</v>
      </c>
      <c r="G34" s="33">
        <f t="shared" si="0"/>
        <v>62.454545454545453</v>
      </c>
      <c r="H34" s="15">
        <f t="shared" si="1"/>
        <v>40</v>
      </c>
    </row>
    <row r="35" spans="1:8" ht="20.100000000000001" customHeight="1" x14ac:dyDescent="0.25">
      <c r="A35" s="16">
        <v>32</v>
      </c>
      <c r="B35" s="140"/>
      <c r="C35" s="141">
        <v>16</v>
      </c>
      <c r="D35" s="141" t="s">
        <v>23</v>
      </c>
      <c r="E35" s="33">
        <f>'9A Sem 1'!Q35</f>
        <v>0</v>
      </c>
      <c r="F35" s="33">
        <f>'9A Sem 2'!Q35</f>
        <v>0</v>
      </c>
      <c r="G35" s="33">
        <f t="shared" si="0"/>
        <v>0</v>
      </c>
      <c r="H35" s="15">
        <f t="shared" si="1"/>
        <v>51</v>
      </c>
    </row>
    <row r="36" spans="1:8" ht="20.100000000000001" customHeight="1" x14ac:dyDescent="0.25">
      <c r="A36" s="16">
        <v>33</v>
      </c>
      <c r="B36" s="140"/>
      <c r="C36" s="141">
        <v>14</v>
      </c>
      <c r="D36" s="141" t="s">
        <v>23</v>
      </c>
      <c r="E36" s="33">
        <f>'9A Sem 1'!Q36</f>
        <v>80.545454545454547</v>
      </c>
      <c r="F36" s="33">
        <f>'9A Sem 2'!Q36</f>
        <v>80.272727272727266</v>
      </c>
      <c r="G36" s="33">
        <f t="shared" si="0"/>
        <v>80.409090909090907</v>
      </c>
      <c r="H36" s="15">
        <f t="shared" si="1"/>
        <v>13</v>
      </c>
    </row>
    <row r="37" spans="1:8" ht="20.100000000000001" customHeight="1" x14ac:dyDescent="0.25">
      <c r="A37" s="107">
        <v>34</v>
      </c>
      <c r="B37" s="140"/>
      <c r="C37" s="141">
        <v>14</v>
      </c>
      <c r="D37" s="141" t="s">
        <v>20</v>
      </c>
      <c r="E37" s="33">
        <f>'9A Sem 1'!Q37</f>
        <v>77.727272727272734</v>
      </c>
      <c r="F37" s="33">
        <f>'9A Sem 2'!Q37</f>
        <v>77.818181818181813</v>
      </c>
      <c r="G37" s="33">
        <f t="shared" si="0"/>
        <v>77.77272727272728</v>
      </c>
      <c r="H37" s="15">
        <f t="shared" si="1"/>
        <v>21</v>
      </c>
    </row>
    <row r="38" spans="1:8" ht="20.100000000000001" customHeight="1" x14ac:dyDescent="0.25">
      <c r="A38" s="107">
        <v>35</v>
      </c>
      <c r="B38" s="140"/>
      <c r="C38" s="141">
        <v>15</v>
      </c>
      <c r="D38" s="141" t="s">
        <v>20</v>
      </c>
      <c r="E38" s="33">
        <f>'9A Sem 1'!Q38</f>
        <v>76.090909090909093</v>
      </c>
      <c r="F38" s="33">
        <f>'9A Sem 2'!Q38</f>
        <v>0</v>
      </c>
      <c r="G38" s="33">
        <f t="shared" si="0"/>
        <v>38.045454545454547</v>
      </c>
      <c r="H38" s="15">
        <f t="shared" si="1"/>
        <v>49</v>
      </c>
    </row>
    <row r="39" spans="1:8" ht="20.100000000000001" customHeight="1" x14ac:dyDescent="0.25">
      <c r="A39" s="107">
        <v>36</v>
      </c>
      <c r="B39" s="140"/>
      <c r="C39" s="141">
        <v>14</v>
      </c>
      <c r="D39" s="141" t="s">
        <v>23</v>
      </c>
      <c r="E39" s="33">
        <f>'9A Sem 1'!Q39</f>
        <v>68.36363636363636</v>
      </c>
      <c r="F39" s="33">
        <f>'9A Sem 2'!Q39</f>
        <v>70.454545454545453</v>
      </c>
      <c r="G39" s="33">
        <f t="shared" si="0"/>
        <v>69.409090909090907</v>
      </c>
      <c r="H39" s="15">
        <f t="shared" si="1"/>
        <v>29</v>
      </c>
    </row>
    <row r="40" spans="1:8" ht="20.100000000000001" customHeight="1" x14ac:dyDescent="0.25">
      <c r="A40" s="16">
        <v>37</v>
      </c>
      <c r="B40" s="140"/>
      <c r="C40" s="141">
        <v>15</v>
      </c>
      <c r="D40" s="141" t="s">
        <v>20</v>
      </c>
      <c r="E40" s="33">
        <f>'9A Sem 1'!Q40</f>
        <v>60</v>
      </c>
      <c r="F40" s="33">
        <f>'9A Sem 2'!Q40</f>
        <v>62.636363636363633</v>
      </c>
      <c r="G40" s="33">
        <f t="shared" si="0"/>
        <v>61.318181818181813</v>
      </c>
      <c r="H40" s="15">
        <f t="shared" si="1"/>
        <v>41</v>
      </c>
    </row>
    <row r="41" spans="1:8" ht="20.100000000000001" customHeight="1" x14ac:dyDescent="0.25">
      <c r="A41" s="16">
        <v>38</v>
      </c>
      <c r="B41" s="140"/>
      <c r="C41" s="141">
        <v>15</v>
      </c>
      <c r="D41" s="141" t="s">
        <v>23</v>
      </c>
      <c r="E41" s="33">
        <f>'9A Sem 1'!Q41</f>
        <v>74.63636363636364</v>
      </c>
      <c r="F41" s="33">
        <f>'9A Sem 2'!Q41</f>
        <v>74</v>
      </c>
      <c r="G41" s="33">
        <f t="shared" si="0"/>
        <v>74.318181818181813</v>
      </c>
      <c r="H41" s="15">
        <f t="shared" si="1"/>
        <v>25</v>
      </c>
    </row>
    <row r="42" spans="1:8" ht="20.100000000000001" customHeight="1" x14ac:dyDescent="0.25">
      <c r="A42" s="107">
        <v>39</v>
      </c>
      <c r="B42" s="140"/>
      <c r="C42" s="141">
        <v>14</v>
      </c>
      <c r="D42" s="141" t="s">
        <v>20</v>
      </c>
      <c r="E42" s="33">
        <f>'9A Sem 1'!Q42</f>
        <v>61.727272727272727</v>
      </c>
      <c r="F42" s="33">
        <f>'9A Sem 2'!Q42</f>
        <v>67.36363636363636</v>
      </c>
      <c r="G42" s="33">
        <f t="shared" si="0"/>
        <v>64.545454545454547</v>
      </c>
      <c r="H42" s="15">
        <f t="shared" si="1"/>
        <v>35</v>
      </c>
    </row>
    <row r="43" spans="1:8" ht="20.100000000000001" customHeight="1" x14ac:dyDescent="0.25">
      <c r="A43" s="16">
        <v>40</v>
      </c>
      <c r="B43" s="140"/>
      <c r="C43" s="141">
        <v>15</v>
      </c>
      <c r="D43" s="141" t="s">
        <v>23</v>
      </c>
      <c r="E43" s="33">
        <f>'9A Sem 1'!Q43</f>
        <v>0</v>
      </c>
      <c r="F43" s="33">
        <f>'9A Sem 2'!Q43</f>
        <v>0</v>
      </c>
      <c r="G43" s="33">
        <f t="shared" si="0"/>
        <v>0</v>
      </c>
      <c r="H43" s="15">
        <f t="shared" si="1"/>
        <v>51</v>
      </c>
    </row>
    <row r="44" spans="1:8" ht="20.100000000000001" customHeight="1" x14ac:dyDescent="0.25">
      <c r="A44" s="107">
        <v>41</v>
      </c>
      <c r="B44" s="140"/>
      <c r="C44" s="141">
        <v>16</v>
      </c>
      <c r="D44" s="141" t="s">
        <v>20</v>
      </c>
      <c r="E44" s="33">
        <f>'9A Sem 1'!Q44</f>
        <v>63.363636363636367</v>
      </c>
      <c r="F44" s="33">
        <f>'9A Sem 2'!Q44</f>
        <v>66.909090909090907</v>
      </c>
      <c r="G44" s="33">
        <f t="shared" si="0"/>
        <v>65.13636363636364</v>
      </c>
      <c r="H44" s="15">
        <f t="shared" si="1"/>
        <v>34</v>
      </c>
    </row>
    <row r="45" spans="1:8" ht="20.100000000000001" customHeight="1" x14ac:dyDescent="0.25">
      <c r="A45" s="107">
        <v>42</v>
      </c>
      <c r="B45" s="140"/>
      <c r="C45" s="141">
        <v>16</v>
      </c>
      <c r="D45" s="141" t="s">
        <v>23</v>
      </c>
      <c r="E45" s="33">
        <f>'9A Sem 1'!Q45</f>
        <v>47.18181818181818</v>
      </c>
      <c r="F45" s="33">
        <f>'9A Sem 2'!Q45</f>
        <v>0</v>
      </c>
      <c r="G45" s="33">
        <f t="shared" si="0"/>
        <v>23.59090909090909</v>
      </c>
      <c r="H45" s="15">
        <f t="shared" si="1"/>
        <v>50</v>
      </c>
    </row>
    <row r="46" spans="1:8" ht="20.100000000000001" customHeight="1" x14ac:dyDescent="0.25">
      <c r="A46" s="107">
        <v>43</v>
      </c>
      <c r="B46" s="140"/>
      <c r="C46" s="141">
        <v>14</v>
      </c>
      <c r="D46" s="141" t="s">
        <v>20</v>
      </c>
      <c r="E46" s="33">
        <f>'9A Sem 1'!Q46</f>
        <v>71.181818181818187</v>
      </c>
      <c r="F46" s="33">
        <f>'9A Sem 2'!Q46</f>
        <v>72.727272727272734</v>
      </c>
      <c r="G46" s="33">
        <f t="shared" si="0"/>
        <v>71.954545454545467</v>
      </c>
      <c r="H46" s="15">
        <f t="shared" si="1"/>
        <v>27</v>
      </c>
    </row>
    <row r="47" spans="1:8" ht="20.100000000000001" customHeight="1" x14ac:dyDescent="0.25">
      <c r="A47" s="16">
        <v>44</v>
      </c>
      <c r="B47" s="140"/>
      <c r="C47" s="141">
        <v>15</v>
      </c>
      <c r="D47" s="141" t="s">
        <v>23</v>
      </c>
      <c r="E47" s="33">
        <f>'9A Sem 1'!Q47</f>
        <v>49.636363636363633</v>
      </c>
      <c r="F47" s="33">
        <f>'9A Sem 2'!Q47</f>
        <v>53.454545454545453</v>
      </c>
      <c r="G47" s="33">
        <f t="shared" si="0"/>
        <v>51.545454545454547</v>
      </c>
      <c r="H47" s="15">
        <f t="shared" si="1"/>
        <v>46</v>
      </c>
    </row>
    <row r="48" spans="1:8" ht="20.100000000000001" customHeight="1" x14ac:dyDescent="0.25">
      <c r="A48" s="107">
        <v>45</v>
      </c>
      <c r="B48" s="140"/>
      <c r="C48" s="141">
        <v>14</v>
      </c>
      <c r="D48" s="141" t="s">
        <v>20</v>
      </c>
      <c r="E48" s="33">
        <f>'9A Sem 1'!Q48</f>
        <v>77</v>
      </c>
      <c r="F48" s="33">
        <f>'9A Sem 2'!Q48</f>
        <v>82.63636363636364</v>
      </c>
      <c r="G48" s="33">
        <f t="shared" si="0"/>
        <v>79.818181818181813</v>
      </c>
      <c r="H48" s="15">
        <f t="shared" si="1"/>
        <v>14</v>
      </c>
    </row>
    <row r="49" spans="1:8" ht="20.100000000000001" customHeight="1" x14ac:dyDescent="0.25">
      <c r="A49" s="16">
        <v>46</v>
      </c>
      <c r="B49" s="140"/>
      <c r="C49" s="141">
        <v>14</v>
      </c>
      <c r="D49" s="141" t="s">
        <v>23</v>
      </c>
      <c r="E49" s="33">
        <f>'9A Sem 1'!Q49</f>
        <v>56.545454545454547</v>
      </c>
      <c r="F49" s="33">
        <f>'9A Sem 2'!Q49</f>
        <v>58.636363636363633</v>
      </c>
      <c r="G49" s="33">
        <f t="shared" si="0"/>
        <v>57.590909090909093</v>
      </c>
      <c r="H49" s="15">
        <f t="shared" si="1"/>
        <v>45</v>
      </c>
    </row>
    <row r="50" spans="1:8" ht="20.100000000000001" customHeight="1" x14ac:dyDescent="0.25">
      <c r="A50" s="16">
        <v>47</v>
      </c>
      <c r="B50" s="140"/>
      <c r="C50" s="141">
        <v>14</v>
      </c>
      <c r="D50" s="141" t="s">
        <v>23</v>
      </c>
      <c r="E50" s="33">
        <f>'9A Sem 1'!Q50</f>
        <v>62.636363636363633</v>
      </c>
      <c r="F50" s="33">
        <f>'9A Sem 2'!Q50</f>
        <v>65.36363636363636</v>
      </c>
      <c r="G50" s="33">
        <f t="shared" si="0"/>
        <v>64</v>
      </c>
      <c r="H50" s="15">
        <f t="shared" si="1"/>
        <v>36</v>
      </c>
    </row>
    <row r="51" spans="1:8" ht="20.100000000000001" customHeight="1" x14ac:dyDescent="0.25">
      <c r="A51" s="16">
        <v>48</v>
      </c>
      <c r="B51" s="140"/>
      <c r="C51" s="141">
        <v>14</v>
      </c>
      <c r="D51" s="141" t="s">
        <v>23</v>
      </c>
      <c r="E51" s="33">
        <f>'9A Sem 1'!Q51</f>
        <v>66.181818181818187</v>
      </c>
      <c r="F51" s="33">
        <f>'9A Sem 2'!Q51</f>
        <v>66.909090909090907</v>
      </c>
      <c r="G51" s="33">
        <f t="shared" si="0"/>
        <v>66.545454545454547</v>
      </c>
      <c r="H51" s="15">
        <f t="shared" si="1"/>
        <v>33</v>
      </c>
    </row>
    <row r="52" spans="1:8" ht="20.100000000000001" customHeight="1" x14ac:dyDescent="0.25">
      <c r="A52" s="107">
        <v>49</v>
      </c>
      <c r="B52" s="140"/>
      <c r="C52" s="141">
        <v>14</v>
      </c>
      <c r="D52" s="141" t="s">
        <v>20</v>
      </c>
      <c r="E52" s="33">
        <f>'9A Sem 1'!Q52</f>
        <v>68.090909090909093</v>
      </c>
      <c r="F52" s="33">
        <f>'9A Sem 2'!Q52</f>
        <v>69.727272727272734</v>
      </c>
      <c r="G52" s="33">
        <f t="shared" si="0"/>
        <v>68.909090909090907</v>
      </c>
      <c r="H52" s="15">
        <f t="shared" si="1"/>
        <v>30</v>
      </c>
    </row>
    <row r="53" spans="1:8" ht="20.100000000000001" customHeight="1" x14ac:dyDescent="0.25">
      <c r="A53" s="107">
        <v>50</v>
      </c>
      <c r="B53" s="140"/>
      <c r="C53" s="141">
        <v>15</v>
      </c>
      <c r="D53" s="141" t="s">
        <v>23</v>
      </c>
      <c r="E53" s="33">
        <f>'9A Sem 1'!Q53</f>
        <v>75.181818181818187</v>
      </c>
      <c r="F53" s="33">
        <f>'9A Sem 2'!Q53</f>
        <v>76.181818181818187</v>
      </c>
      <c r="G53" s="33">
        <f t="shared" si="0"/>
        <v>75.681818181818187</v>
      </c>
      <c r="H53" s="15">
        <f t="shared" si="1"/>
        <v>23</v>
      </c>
    </row>
    <row r="54" spans="1:8" ht="19.5" customHeight="1" x14ac:dyDescent="0.25">
      <c r="A54" s="107">
        <v>51</v>
      </c>
      <c r="B54" s="140"/>
      <c r="C54" s="141">
        <v>16</v>
      </c>
      <c r="D54" s="141" t="s">
        <v>23</v>
      </c>
      <c r="E54" s="33">
        <f>'9A Sem 1'!Q54</f>
        <v>80.272727272727266</v>
      </c>
      <c r="F54" s="33">
        <f>'9A Sem 2'!Q54</f>
        <v>78.181818181818187</v>
      </c>
      <c r="G54" s="33">
        <f t="shared" si="0"/>
        <v>79.22727272727272</v>
      </c>
      <c r="H54" s="15">
        <f t="shared" si="1"/>
        <v>17</v>
      </c>
    </row>
    <row r="55" spans="1:8" ht="19.5" customHeight="1" x14ac:dyDescent="0.25">
      <c r="A55" s="107">
        <v>52</v>
      </c>
      <c r="B55" s="140"/>
      <c r="C55" s="141">
        <v>15</v>
      </c>
      <c r="D55" s="141" t="s">
        <v>20</v>
      </c>
      <c r="E55" s="33">
        <f>'9A Sem 1'!Q55</f>
        <v>59.636363636363633</v>
      </c>
      <c r="F55" s="33">
        <f>'9A Sem 2'!Q55</f>
        <v>65.36363636363636</v>
      </c>
      <c r="G55" s="33">
        <f t="shared" si="0"/>
        <v>62.5</v>
      </c>
      <c r="H55" s="15">
        <f t="shared" si="1"/>
        <v>39</v>
      </c>
    </row>
    <row r="56" spans="1:8" ht="19.5" customHeight="1" x14ac:dyDescent="0.25">
      <c r="A56" s="107">
        <v>53</v>
      </c>
      <c r="B56" s="20"/>
      <c r="C56" s="20"/>
      <c r="D56" s="20"/>
      <c r="E56" s="33">
        <f>'9A Sem 1'!Q56</f>
        <v>0</v>
      </c>
      <c r="F56" s="33">
        <f>'9A Sem 2'!Q56</f>
        <v>0</v>
      </c>
      <c r="G56" s="33">
        <f t="shared" si="0"/>
        <v>0</v>
      </c>
      <c r="H56" s="15"/>
    </row>
    <row r="57" spans="1:8" ht="19.5" customHeight="1" x14ac:dyDescent="0.25">
      <c r="A57" s="107">
        <v>54</v>
      </c>
      <c r="B57" s="20"/>
      <c r="C57" s="20"/>
      <c r="D57" s="20"/>
      <c r="E57" s="33">
        <f>'9A Sem 1'!Q57</f>
        <v>0</v>
      </c>
      <c r="F57" s="33">
        <f>'9A Sem 2'!Q57</f>
        <v>0</v>
      </c>
      <c r="G57" s="33">
        <f t="shared" si="0"/>
        <v>0</v>
      </c>
      <c r="H57" s="15"/>
    </row>
    <row r="58" spans="1:8" ht="19.5" customHeight="1" x14ac:dyDescent="0.25">
      <c r="A58" s="107">
        <v>55</v>
      </c>
      <c r="B58" s="20"/>
      <c r="C58" s="20"/>
      <c r="D58" s="20"/>
      <c r="E58" s="33">
        <f>'9A Sem 1'!Q58</f>
        <v>0</v>
      </c>
      <c r="F58" s="33">
        <f>'9A Sem 2'!Q58</f>
        <v>0</v>
      </c>
      <c r="G58" s="33">
        <f t="shared" si="0"/>
        <v>0</v>
      </c>
      <c r="H58" s="15"/>
    </row>
  </sheetData>
  <mergeCells count="2">
    <mergeCell ref="A1:H1"/>
    <mergeCell ref="A2:H2"/>
  </mergeCells>
  <pageMargins left="0.7" right="0.7" top="0.75" bottom="0.75" header="0.3" footer="0.3"/>
  <pageSetup scale="97"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254"/>
  <sheetViews>
    <sheetView workbookViewId="0">
      <selection activeCell="B6" sqref="B6:B161"/>
    </sheetView>
  </sheetViews>
  <sheetFormatPr defaultRowHeight="15" x14ac:dyDescent="0.25"/>
  <cols>
    <col min="1" max="1" width="4" customWidth="1"/>
    <col min="2" max="2" width="37.28515625" customWidth="1"/>
    <col min="3" max="4" width="4.140625" style="10" customWidth="1"/>
    <col min="6" max="6" width="6.42578125" customWidth="1"/>
    <col min="7" max="7" width="7.140625" customWidth="1"/>
    <col min="8" max="8" width="6.5703125" customWidth="1"/>
    <col min="9" max="9" width="7.140625" customWidth="1"/>
    <col min="10" max="10" width="7" customWidth="1"/>
    <col min="11" max="11" width="7.140625" customWidth="1"/>
    <col min="12" max="12" width="4.85546875" customWidth="1"/>
    <col min="13" max="13" width="6.28515625" customWidth="1"/>
    <col min="14" max="14" width="6.85546875" customWidth="1"/>
    <col min="15" max="15" width="7" customWidth="1"/>
    <col min="16" max="16" width="5.140625" customWidth="1"/>
    <col min="17" max="17" width="7.42578125" customWidth="1"/>
    <col min="18" max="18" width="8.42578125" customWidth="1"/>
    <col min="19" max="19" width="6.28515625" customWidth="1"/>
    <col min="20" max="21" width="5" style="37" customWidth="1"/>
    <col min="22" max="22" width="4.7109375" customWidth="1"/>
    <col min="23" max="23" width="30.85546875" customWidth="1"/>
    <col min="24" max="24" width="3.85546875" customWidth="1"/>
    <col min="25" max="25" width="3.7109375" customWidth="1"/>
  </cols>
  <sheetData>
    <row r="1" spans="1:24" ht="20.25" x14ac:dyDescent="0.25">
      <c r="A1" s="272" t="s">
        <v>40</v>
      </c>
      <c r="B1" s="273"/>
      <c r="C1" s="273"/>
      <c r="D1" s="273"/>
      <c r="E1" s="273"/>
      <c r="F1" s="273"/>
      <c r="G1" s="273"/>
      <c r="H1" s="273"/>
      <c r="I1" s="273"/>
      <c r="J1" s="273"/>
      <c r="K1" s="273"/>
      <c r="L1" s="273"/>
      <c r="M1" s="273"/>
      <c r="N1" s="273"/>
      <c r="O1" s="273"/>
      <c r="P1" s="273"/>
      <c r="Q1" s="273"/>
      <c r="R1" s="273"/>
      <c r="S1" s="273"/>
      <c r="T1" s="273"/>
      <c r="U1" s="274"/>
    </row>
    <row r="2" spans="1:24" ht="18.75" customHeight="1" x14ac:dyDescent="0.25">
      <c r="A2" s="1"/>
      <c r="B2" s="2"/>
      <c r="C2" s="2"/>
      <c r="D2" s="2"/>
      <c r="E2" s="2"/>
      <c r="F2" s="2"/>
      <c r="G2" s="2"/>
      <c r="H2" s="2"/>
      <c r="I2" s="2"/>
      <c r="J2" s="2"/>
      <c r="K2" s="2"/>
      <c r="L2" s="2"/>
      <c r="M2" s="2"/>
      <c r="N2" s="2"/>
      <c r="O2" s="2"/>
      <c r="P2" s="2"/>
      <c r="Q2" s="2"/>
      <c r="R2" s="2"/>
      <c r="S2" s="2"/>
      <c r="T2" s="35"/>
      <c r="U2" s="36"/>
    </row>
    <row r="3" spans="1:24" x14ac:dyDescent="0.25">
      <c r="A3" s="275" t="s">
        <v>39</v>
      </c>
      <c r="B3" s="275"/>
      <c r="C3" s="275"/>
      <c r="D3" s="275"/>
      <c r="E3" s="275"/>
      <c r="F3" s="275"/>
      <c r="G3" s="275"/>
      <c r="H3" s="275"/>
      <c r="I3" s="275"/>
      <c r="J3" s="275"/>
      <c r="K3" s="275"/>
      <c r="L3" s="275"/>
      <c r="M3" s="275"/>
      <c r="N3" s="275"/>
      <c r="O3" s="275"/>
      <c r="P3" s="275"/>
      <c r="Q3" s="275"/>
      <c r="R3" s="275"/>
      <c r="S3" s="275"/>
      <c r="T3" s="275"/>
      <c r="U3" s="275"/>
      <c r="V3" s="3"/>
      <c r="W3" s="3"/>
      <c r="X3" s="3"/>
    </row>
    <row r="4" spans="1:24" ht="15.75" thickBot="1" x14ac:dyDescent="0.3">
      <c r="A4" s="4"/>
      <c r="B4" s="4"/>
      <c r="C4" s="4"/>
      <c r="D4" s="4"/>
      <c r="E4" s="4"/>
      <c r="F4" s="4"/>
      <c r="G4" s="4"/>
      <c r="H4" s="4"/>
      <c r="I4" s="4"/>
      <c r="J4" s="4"/>
      <c r="K4" s="4"/>
      <c r="L4" s="4"/>
      <c r="M4" s="4"/>
      <c r="N4" s="4"/>
      <c r="O4" s="4"/>
      <c r="P4" s="4"/>
      <c r="Q4" s="4"/>
      <c r="R4" s="4"/>
      <c r="S4" s="4"/>
      <c r="T4" s="4"/>
      <c r="U4" s="4"/>
      <c r="V4" s="3"/>
      <c r="W4" s="3"/>
      <c r="X4" s="3"/>
    </row>
    <row r="5" spans="1:24" ht="51" customHeight="1" thickBot="1" x14ac:dyDescent="0.3">
      <c r="A5" s="76" t="s">
        <v>28</v>
      </c>
      <c r="B5" s="76" t="s">
        <v>1</v>
      </c>
      <c r="C5" s="80" t="s">
        <v>2</v>
      </c>
      <c r="D5" s="80" t="s">
        <v>3</v>
      </c>
      <c r="E5" s="66" t="s">
        <v>25</v>
      </c>
      <c r="F5" s="66" t="s">
        <v>4</v>
      </c>
      <c r="G5" s="66" t="s">
        <v>5</v>
      </c>
      <c r="H5" s="66" t="s">
        <v>6</v>
      </c>
      <c r="I5" s="66" t="s">
        <v>7</v>
      </c>
      <c r="J5" s="66" t="s">
        <v>8</v>
      </c>
      <c r="K5" s="66" t="s">
        <v>9</v>
      </c>
      <c r="L5" s="67" t="s">
        <v>10</v>
      </c>
      <c r="M5" s="66" t="s">
        <v>11</v>
      </c>
      <c r="N5" s="68" t="s">
        <v>12</v>
      </c>
      <c r="O5" s="68" t="s">
        <v>13</v>
      </c>
      <c r="P5" s="66" t="s">
        <v>14</v>
      </c>
      <c r="Q5" s="68" t="s">
        <v>15</v>
      </c>
      <c r="R5" s="66" t="s">
        <v>16</v>
      </c>
      <c r="S5" s="66" t="s">
        <v>17</v>
      </c>
      <c r="T5" s="66" t="s">
        <v>18</v>
      </c>
      <c r="U5" s="82" t="s">
        <v>19</v>
      </c>
    </row>
    <row r="6" spans="1:24" ht="18.95" customHeight="1" x14ac:dyDescent="0.25">
      <c r="A6" s="298">
        <v>1</v>
      </c>
      <c r="B6" s="300"/>
      <c r="C6" s="300">
        <v>15</v>
      </c>
      <c r="D6" s="300" t="s">
        <v>20</v>
      </c>
      <c r="E6" s="83" t="s">
        <v>21</v>
      </c>
      <c r="F6" s="75">
        <f>'9B Sem 1'!E4</f>
        <v>87</v>
      </c>
      <c r="G6" s="75">
        <f>'9B Sem 1'!F4</f>
        <v>51</v>
      </c>
      <c r="H6" s="75">
        <f>'9B Sem 1'!G4</f>
        <v>69</v>
      </c>
      <c r="I6" s="75">
        <f>'9B Sem 1'!H4</f>
        <v>47</v>
      </c>
      <c r="J6" s="75">
        <f>'9B Sem 1'!I4</f>
        <v>61</v>
      </c>
      <c r="K6" s="75">
        <f>'9B Sem 1'!J4</f>
        <v>55</v>
      </c>
      <c r="L6" s="75">
        <f>'9B Sem 1'!K4</f>
        <v>51</v>
      </c>
      <c r="M6" s="75">
        <f>'9B Sem 1'!L4</f>
        <v>64</v>
      </c>
      <c r="N6" s="75">
        <f>'9B Sem 1'!M4</f>
        <v>67</v>
      </c>
      <c r="O6" s="75">
        <f>'9B Sem 1'!N4</f>
        <v>64</v>
      </c>
      <c r="P6" s="75">
        <f>'9B Sem 1'!O4</f>
        <v>81</v>
      </c>
      <c r="Q6" s="75">
        <f>'9B Sem 1'!P4</f>
        <v>697</v>
      </c>
      <c r="R6" s="75">
        <f>'9B Sem 1'!Q4</f>
        <v>63.363636363636367</v>
      </c>
      <c r="S6" s="75">
        <f>'9B Sem 1'!R4</f>
        <v>45</v>
      </c>
      <c r="T6" s="78">
        <f>'9B Sem 1'!S4</f>
        <v>0</v>
      </c>
      <c r="U6" s="43">
        <f>'9B Sem 1'!T4</f>
        <v>0</v>
      </c>
    </row>
    <row r="7" spans="1:24" ht="18.95" customHeight="1" x14ac:dyDescent="0.25">
      <c r="A7" s="299"/>
      <c r="B7" s="293"/>
      <c r="C7" s="293">
        <v>15</v>
      </c>
      <c r="D7" s="293" t="s">
        <v>20</v>
      </c>
      <c r="E7" s="84" t="s">
        <v>22</v>
      </c>
      <c r="F7" s="38">
        <f>'9B Sem 2'!E4</f>
        <v>82</v>
      </c>
      <c r="G7" s="38">
        <f>'9B Sem 2'!F4</f>
        <v>62</v>
      </c>
      <c r="H7" s="38">
        <f>'9B Sem 2'!G4</f>
        <v>73</v>
      </c>
      <c r="I7" s="38">
        <f>'9B Sem 2'!H4</f>
        <v>55</v>
      </c>
      <c r="J7" s="38">
        <f>'9B Sem 2'!I4</f>
        <v>61</v>
      </c>
      <c r="K7" s="38">
        <f>'9B Sem 2'!J4</f>
        <v>58</v>
      </c>
      <c r="L7" s="38">
        <f>'9B Sem 2'!K4</f>
        <v>57</v>
      </c>
      <c r="M7" s="38">
        <f>'9B Sem 2'!L4</f>
        <v>62</v>
      </c>
      <c r="N7" s="38">
        <f>'9B Sem 2'!M4</f>
        <v>69</v>
      </c>
      <c r="O7" s="38">
        <f>'9B Sem 2'!N4</f>
        <v>79</v>
      </c>
      <c r="P7" s="38">
        <f>'9B Sem 2'!O4</f>
        <v>80</v>
      </c>
      <c r="Q7" s="30">
        <f>'9B Sem 2'!P4</f>
        <v>738</v>
      </c>
      <c r="R7" s="30">
        <f>'9B Sem 2'!Q4</f>
        <v>67.090909090909093</v>
      </c>
      <c r="S7" s="30">
        <f>'9B Sem 2'!R4</f>
        <v>43</v>
      </c>
      <c r="T7" s="41">
        <f>'9B Sem 2'!S4</f>
        <v>0</v>
      </c>
      <c r="U7" s="44">
        <f>'9B Sem 2'!T4</f>
        <v>0</v>
      </c>
    </row>
    <row r="8" spans="1:24" ht="18.95" customHeight="1" x14ac:dyDescent="0.25">
      <c r="A8" s="299"/>
      <c r="B8" s="293"/>
      <c r="C8" s="293">
        <v>15</v>
      </c>
      <c r="D8" s="293" t="s">
        <v>20</v>
      </c>
      <c r="E8" s="84" t="s">
        <v>16</v>
      </c>
      <c r="F8" s="30">
        <f>AVERAGE(F6:F7)</f>
        <v>84.5</v>
      </c>
      <c r="G8" s="30">
        <f t="shared" ref="G8:U8" si="0">AVERAGE(G6:G7)</f>
        <v>56.5</v>
      </c>
      <c r="H8" s="30">
        <f t="shared" si="0"/>
        <v>71</v>
      </c>
      <c r="I8" s="30">
        <f t="shared" si="0"/>
        <v>51</v>
      </c>
      <c r="J8" s="30">
        <f t="shared" si="0"/>
        <v>61</v>
      </c>
      <c r="K8" s="30">
        <f t="shared" si="0"/>
        <v>56.5</v>
      </c>
      <c r="L8" s="30">
        <f t="shared" si="0"/>
        <v>54</v>
      </c>
      <c r="M8" s="30">
        <f t="shared" si="0"/>
        <v>63</v>
      </c>
      <c r="N8" s="30">
        <f t="shared" si="0"/>
        <v>68</v>
      </c>
      <c r="O8" s="30">
        <f t="shared" si="0"/>
        <v>71.5</v>
      </c>
      <c r="P8" s="30">
        <f t="shared" si="0"/>
        <v>80.5</v>
      </c>
      <c r="Q8" s="30">
        <f t="shared" si="0"/>
        <v>717.5</v>
      </c>
      <c r="R8" s="30">
        <f t="shared" si="0"/>
        <v>65.227272727272734</v>
      </c>
      <c r="S8" s="30"/>
      <c r="T8" s="30">
        <f t="shared" si="0"/>
        <v>0</v>
      </c>
      <c r="U8" s="30">
        <f t="shared" si="0"/>
        <v>0</v>
      </c>
    </row>
    <row r="9" spans="1:24" ht="18.95" customHeight="1" x14ac:dyDescent="0.25">
      <c r="A9" s="295">
        <v>2</v>
      </c>
      <c r="B9" s="303"/>
      <c r="C9" s="305">
        <v>15</v>
      </c>
      <c r="D9" s="305" t="s">
        <v>23</v>
      </c>
      <c r="E9" s="84" t="s">
        <v>21</v>
      </c>
      <c r="F9" s="30">
        <f>'9B Sem 1'!E5</f>
        <v>87</v>
      </c>
      <c r="G9" s="30">
        <f>'9B Sem 1'!F5</f>
        <v>66</v>
      </c>
      <c r="H9" s="30">
        <f>'9B Sem 1'!G5</f>
        <v>63</v>
      </c>
      <c r="I9" s="30">
        <f>'9B Sem 1'!H5</f>
        <v>72</v>
      </c>
      <c r="J9" s="30">
        <f>'9B Sem 1'!I5</f>
        <v>58</v>
      </c>
      <c r="K9" s="30">
        <f>'9B Sem 1'!J5</f>
        <v>65</v>
      </c>
      <c r="L9" s="30">
        <f>'9B Sem 1'!K5</f>
        <v>69</v>
      </c>
      <c r="M9" s="30">
        <f>'9B Sem 1'!L5</f>
        <v>81</v>
      </c>
      <c r="N9" s="30">
        <f>'9B Sem 1'!M5</f>
        <v>77</v>
      </c>
      <c r="O9" s="30">
        <f>'9B Sem 1'!N5</f>
        <v>75</v>
      </c>
      <c r="P9" s="30">
        <f>'9B Sem 1'!O5</f>
        <v>88</v>
      </c>
      <c r="Q9" s="30">
        <f>'9B Sem 1'!P5</f>
        <v>801</v>
      </c>
      <c r="R9" s="30">
        <f>'9B Sem 1'!Q5</f>
        <v>72.818181818181813</v>
      </c>
      <c r="S9" s="30">
        <f>'9B Sem 1'!R5</f>
        <v>33</v>
      </c>
      <c r="T9" s="45">
        <f>'9B Sem 1'!S5</f>
        <v>0</v>
      </c>
      <c r="U9" s="45">
        <f>'9B Sem 1'!T5</f>
        <v>0</v>
      </c>
    </row>
    <row r="10" spans="1:24" ht="18.95" customHeight="1" x14ac:dyDescent="0.25">
      <c r="A10" s="295"/>
      <c r="B10" s="304"/>
      <c r="C10" s="306">
        <v>15</v>
      </c>
      <c r="D10" s="306" t="s">
        <v>23</v>
      </c>
      <c r="E10" s="84" t="s">
        <v>22</v>
      </c>
      <c r="F10" s="30">
        <f>'9B Sem 2'!E5</f>
        <v>91</v>
      </c>
      <c r="G10" s="30">
        <f>'9B Sem 2'!F5</f>
        <v>68</v>
      </c>
      <c r="H10" s="30">
        <f>'9B Sem 2'!G5</f>
        <v>64</v>
      </c>
      <c r="I10" s="30">
        <f>'9B Sem 2'!H5</f>
        <v>66</v>
      </c>
      <c r="J10" s="30">
        <f>'9B Sem 2'!I5</f>
        <v>59</v>
      </c>
      <c r="K10" s="30">
        <f>'9B Sem 2'!J5</f>
        <v>62</v>
      </c>
      <c r="L10" s="30">
        <f>'9B Sem 2'!K5</f>
        <v>65</v>
      </c>
      <c r="M10" s="30">
        <f>'9B Sem 2'!L5</f>
        <v>73</v>
      </c>
      <c r="N10" s="30">
        <f>'9B Sem 2'!M5</f>
        <v>75</v>
      </c>
      <c r="O10" s="30">
        <f>'9B Sem 2'!N5</f>
        <v>85</v>
      </c>
      <c r="P10" s="30">
        <f>'9B Sem 2'!O5</f>
        <v>89</v>
      </c>
      <c r="Q10" s="30">
        <f>'9B Sem 2'!P5</f>
        <v>797</v>
      </c>
      <c r="R10" s="30">
        <f>'9B Sem 2'!Q5</f>
        <v>72.454545454545453</v>
      </c>
      <c r="S10" s="30">
        <f>'9B Sem 2'!R5</f>
        <v>35</v>
      </c>
      <c r="T10" s="45">
        <f>'9B Sem 2'!S5</f>
        <v>0</v>
      </c>
      <c r="U10" s="45">
        <f>'9B Sem 2'!T5</f>
        <v>0</v>
      </c>
    </row>
    <row r="11" spans="1:24" ht="18.95" customHeight="1" x14ac:dyDescent="0.25">
      <c r="A11" s="295"/>
      <c r="B11" s="300"/>
      <c r="C11" s="307">
        <v>15</v>
      </c>
      <c r="D11" s="307" t="s">
        <v>23</v>
      </c>
      <c r="E11" s="84" t="s">
        <v>16</v>
      </c>
      <c r="F11" s="30">
        <f>AVERAGE(F9:F10)</f>
        <v>89</v>
      </c>
      <c r="G11" s="30">
        <f t="shared" ref="G11:U11" si="1">AVERAGE(G9:G10)</f>
        <v>67</v>
      </c>
      <c r="H11" s="30">
        <f t="shared" si="1"/>
        <v>63.5</v>
      </c>
      <c r="I11" s="30">
        <f t="shared" si="1"/>
        <v>69</v>
      </c>
      <c r="J11" s="30">
        <f t="shared" si="1"/>
        <v>58.5</v>
      </c>
      <c r="K11" s="30">
        <f t="shared" si="1"/>
        <v>63.5</v>
      </c>
      <c r="L11" s="30">
        <f t="shared" si="1"/>
        <v>67</v>
      </c>
      <c r="M11" s="30">
        <f t="shared" si="1"/>
        <v>77</v>
      </c>
      <c r="N11" s="30">
        <f t="shared" si="1"/>
        <v>76</v>
      </c>
      <c r="O11" s="30">
        <f t="shared" si="1"/>
        <v>80</v>
      </c>
      <c r="P11" s="30">
        <f t="shared" si="1"/>
        <v>88.5</v>
      </c>
      <c r="Q11" s="30">
        <f t="shared" si="1"/>
        <v>799</v>
      </c>
      <c r="R11" s="30">
        <f t="shared" si="1"/>
        <v>72.636363636363626</v>
      </c>
      <c r="S11" s="30"/>
      <c r="T11" s="30">
        <f t="shared" si="1"/>
        <v>0</v>
      </c>
      <c r="U11" s="30">
        <f t="shared" si="1"/>
        <v>0</v>
      </c>
    </row>
    <row r="12" spans="1:24" ht="18.95" customHeight="1" x14ac:dyDescent="0.25">
      <c r="A12" s="292">
        <v>3</v>
      </c>
      <c r="B12" s="293"/>
      <c r="C12" s="293">
        <v>14</v>
      </c>
      <c r="D12" s="293" t="s">
        <v>20</v>
      </c>
      <c r="E12" s="84" t="s">
        <v>21</v>
      </c>
      <c r="F12" s="30">
        <f>'9B Sem 1'!E6</f>
        <v>88</v>
      </c>
      <c r="G12" s="30">
        <f>'9B Sem 1'!F6</f>
        <v>70</v>
      </c>
      <c r="H12" s="30">
        <f>'9B Sem 1'!G6</f>
        <v>62</v>
      </c>
      <c r="I12" s="30">
        <f>'9B Sem 1'!H6</f>
        <v>57</v>
      </c>
      <c r="J12" s="30">
        <f>'9B Sem 1'!I6</f>
        <v>50</v>
      </c>
      <c r="K12" s="30">
        <f>'9B Sem 1'!J6</f>
        <v>51</v>
      </c>
      <c r="L12" s="30">
        <f>'9B Sem 1'!K6</f>
        <v>59</v>
      </c>
      <c r="M12" s="30">
        <f>'9B Sem 1'!L6</f>
        <v>68</v>
      </c>
      <c r="N12" s="30">
        <f>'9B Sem 1'!M6</f>
        <v>62</v>
      </c>
      <c r="O12" s="30">
        <f>'9B Sem 1'!N6</f>
        <v>85</v>
      </c>
      <c r="P12" s="30">
        <f>'9B Sem 1'!O6</f>
        <v>84</v>
      </c>
      <c r="Q12" s="30">
        <f>'9B Sem 1'!P6</f>
        <v>736</v>
      </c>
      <c r="R12" s="30">
        <f>'9B Sem 1'!Q6</f>
        <v>66.909090909090907</v>
      </c>
      <c r="S12" s="30">
        <f>'9B Sem 1'!R6</f>
        <v>42</v>
      </c>
      <c r="T12" s="45">
        <f>'9B Sem 1'!S6</f>
        <v>0</v>
      </c>
      <c r="U12" s="45">
        <f>'9B Sem 1'!T6</f>
        <v>0</v>
      </c>
    </row>
    <row r="13" spans="1:24" ht="18.95" customHeight="1" x14ac:dyDescent="0.25">
      <c r="A13" s="292"/>
      <c r="B13" s="293"/>
      <c r="C13" s="293">
        <v>14</v>
      </c>
      <c r="D13" s="293" t="s">
        <v>20</v>
      </c>
      <c r="E13" s="84" t="s">
        <v>22</v>
      </c>
      <c r="F13" s="30">
        <f>'9B Sem 2'!E6</f>
        <v>92</v>
      </c>
      <c r="G13" s="30">
        <f>'9B Sem 2'!F6</f>
        <v>77</v>
      </c>
      <c r="H13" s="30">
        <f>'9B Sem 2'!G6</f>
        <v>55</v>
      </c>
      <c r="I13" s="30">
        <f>'9B Sem 2'!H6</f>
        <v>55</v>
      </c>
      <c r="J13" s="30">
        <f>'9B Sem 2'!I6</f>
        <v>54</v>
      </c>
      <c r="K13" s="30">
        <f>'9B Sem 2'!J6</f>
        <v>58</v>
      </c>
      <c r="L13" s="30">
        <f>'9B Sem 2'!K6</f>
        <v>59</v>
      </c>
      <c r="M13" s="30">
        <f>'9B Sem 2'!L6</f>
        <v>61</v>
      </c>
      <c r="N13" s="30">
        <f>'9B Sem 2'!M6</f>
        <v>75</v>
      </c>
      <c r="O13" s="30">
        <f>'9B Sem 2'!N6</f>
        <v>88</v>
      </c>
      <c r="P13" s="30">
        <f>'9B Sem 2'!O6</f>
        <v>91</v>
      </c>
      <c r="Q13" s="30">
        <f>'9B Sem 2'!P6</f>
        <v>765</v>
      </c>
      <c r="R13" s="30">
        <f>'9B Sem 2'!Q6</f>
        <v>69.545454545454547</v>
      </c>
      <c r="S13" s="30">
        <f>'9B Sem 2'!R6</f>
        <v>42</v>
      </c>
      <c r="T13" s="45">
        <f>'9B Sem 2'!S6</f>
        <v>0</v>
      </c>
      <c r="U13" s="45">
        <f>'9B Sem 2'!T6</f>
        <v>0</v>
      </c>
    </row>
    <row r="14" spans="1:24" ht="18.95" customHeight="1" x14ac:dyDescent="0.25">
      <c r="A14" s="292"/>
      <c r="B14" s="293"/>
      <c r="C14" s="293">
        <v>14</v>
      </c>
      <c r="D14" s="293" t="s">
        <v>20</v>
      </c>
      <c r="E14" s="84" t="s">
        <v>16</v>
      </c>
      <c r="F14" s="30">
        <f>AVERAGE(F12:F13)</f>
        <v>90</v>
      </c>
      <c r="G14" s="30">
        <f t="shared" ref="G14:U14" si="2">AVERAGE(G12:G13)</f>
        <v>73.5</v>
      </c>
      <c r="H14" s="30">
        <f t="shared" si="2"/>
        <v>58.5</v>
      </c>
      <c r="I14" s="30">
        <f t="shared" si="2"/>
        <v>56</v>
      </c>
      <c r="J14" s="30">
        <f t="shared" si="2"/>
        <v>52</v>
      </c>
      <c r="K14" s="30">
        <f t="shared" si="2"/>
        <v>54.5</v>
      </c>
      <c r="L14" s="30">
        <f t="shared" si="2"/>
        <v>59</v>
      </c>
      <c r="M14" s="30">
        <f t="shared" si="2"/>
        <v>64.5</v>
      </c>
      <c r="N14" s="30">
        <f t="shared" si="2"/>
        <v>68.5</v>
      </c>
      <c r="O14" s="30">
        <f t="shared" si="2"/>
        <v>86.5</v>
      </c>
      <c r="P14" s="30">
        <f t="shared" si="2"/>
        <v>87.5</v>
      </c>
      <c r="Q14" s="30">
        <f t="shared" si="2"/>
        <v>750.5</v>
      </c>
      <c r="R14" s="30">
        <f t="shared" si="2"/>
        <v>68.22727272727272</v>
      </c>
      <c r="S14" s="30"/>
      <c r="T14" s="30">
        <f t="shared" si="2"/>
        <v>0</v>
      </c>
      <c r="U14" s="30">
        <f t="shared" si="2"/>
        <v>0</v>
      </c>
    </row>
    <row r="15" spans="1:24" ht="18.95" customHeight="1" x14ac:dyDescent="0.25">
      <c r="A15" s="295">
        <v>4</v>
      </c>
      <c r="B15" s="293"/>
      <c r="C15" s="293">
        <v>14</v>
      </c>
      <c r="D15" s="293" t="s">
        <v>20</v>
      </c>
      <c r="E15" s="84" t="s">
        <v>21</v>
      </c>
      <c r="F15" s="30">
        <f>'9B Sem 1'!E7</f>
        <v>84</v>
      </c>
      <c r="G15" s="30">
        <f>'9B Sem 1'!F7</f>
        <v>77</v>
      </c>
      <c r="H15" s="30">
        <f>'9B Sem 1'!G7</f>
        <v>91</v>
      </c>
      <c r="I15" s="30">
        <f>'9B Sem 1'!H7</f>
        <v>71</v>
      </c>
      <c r="J15" s="30">
        <f>'9B Sem 1'!I7</f>
        <v>89</v>
      </c>
      <c r="K15" s="30">
        <f>'9B Sem 1'!J7</f>
        <v>86</v>
      </c>
      <c r="L15" s="30">
        <f>'9B Sem 1'!K7</f>
        <v>79</v>
      </c>
      <c r="M15" s="30">
        <f>'9B Sem 1'!L7</f>
        <v>84</v>
      </c>
      <c r="N15" s="30">
        <f>'9B Sem 1'!M7</f>
        <v>83</v>
      </c>
      <c r="O15" s="30">
        <f>'9B Sem 1'!N7</f>
        <v>100</v>
      </c>
      <c r="P15" s="30">
        <f>'9B Sem 1'!O7</f>
        <v>75</v>
      </c>
      <c r="Q15" s="30">
        <f>'9B Sem 1'!P7</f>
        <v>919</v>
      </c>
      <c r="R15" s="30">
        <f>'9B Sem 1'!Q7</f>
        <v>83.545454545454547</v>
      </c>
      <c r="S15" s="30">
        <f>'9B Sem 1'!R7</f>
        <v>12</v>
      </c>
      <c r="T15" s="45">
        <f>'9B Sem 1'!S7</f>
        <v>0</v>
      </c>
      <c r="U15" s="45">
        <f>'9B Sem 1'!T7</f>
        <v>0</v>
      </c>
    </row>
    <row r="16" spans="1:24" ht="18.95" customHeight="1" x14ac:dyDescent="0.25">
      <c r="A16" s="295"/>
      <c r="B16" s="293"/>
      <c r="C16" s="293">
        <v>14</v>
      </c>
      <c r="D16" s="293" t="s">
        <v>20</v>
      </c>
      <c r="E16" s="84" t="s">
        <v>22</v>
      </c>
      <c r="F16" s="30">
        <f>'9B Sem 2'!E7</f>
        <v>88</v>
      </c>
      <c r="G16" s="30">
        <f>'9B Sem 2'!F7</f>
        <v>72</v>
      </c>
      <c r="H16" s="30">
        <f>'9B Sem 2'!G7</f>
        <v>86</v>
      </c>
      <c r="I16" s="30">
        <f>'9B Sem 2'!H7</f>
        <v>78</v>
      </c>
      <c r="J16" s="30">
        <f>'9B Sem 2'!I7</f>
        <v>85</v>
      </c>
      <c r="K16" s="30">
        <f>'9B Sem 2'!J7</f>
        <v>91</v>
      </c>
      <c r="L16" s="30">
        <f>'9B Sem 2'!K7</f>
        <v>74</v>
      </c>
      <c r="M16" s="30">
        <f>'9B Sem 2'!L7</f>
        <v>71</v>
      </c>
      <c r="N16" s="30">
        <f>'9B Sem 2'!M7</f>
        <v>78</v>
      </c>
      <c r="O16" s="30">
        <f>'9B Sem 2'!N7</f>
        <v>96</v>
      </c>
      <c r="P16" s="30">
        <f>'9B Sem 2'!O7</f>
        <v>87</v>
      </c>
      <c r="Q16" s="30">
        <f>'9B Sem 2'!P7</f>
        <v>906</v>
      </c>
      <c r="R16" s="30">
        <f>'9B Sem 2'!Q7</f>
        <v>82.36363636363636</v>
      </c>
      <c r="S16" s="30">
        <f>'9B Sem 2'!R7</f>
        <v>16</v>
      </c>
      <c r="T16" s="45">
        <f>'9B Sem 2'!S7</f>
        <v>0</v>
      </c>
      <c r="U16" s="45">
        <f>'9B Sem 2'!T7</f>
        <v>0</v>
      </c>
    </row>
    <row r="17" spans="1:21" ht="18.95" customHeight="1" x14ac:dyDescent="0.25">
      <c r="A17" s="295"/>
      <c r="B17" s="293"/>
      <c r="C17" s="293">
        <v>14</v>
      </c>
      <c r="D17" s="293" t="s">
        <v>20</v>
      </c>
      <c r="E17" s="84" t="s">
        <v>16</v>
      </c>
      <c r="F17" s="30">
        <f>AVERAGE(F15:F16)</f>
        <v>86</v>
      </c>
      <c r="G17" s="30">
        <f t="shared" ref="G17:U17" si="3">AVERAGE(G15:G16)</f>
        <v>74.5</v>
      </c>
      <c r="H17" s="30">
        <f t="shared" si="3"/>
        <v>88.5</v>
      </c>
      <c r="I17" s="30">
        <f t="shared" si="3"/>
        <v>74.5</v>
      </c>
      <c r="J17" s="30">
        <f t="shared" si="3"/>
        <v>87</v>
      </c>
      <c r="K17" s="30">
        <f t="shared" si="3"/>
        <v>88.5</v>
      </c>
      <c r="L17" s="30">
        <f t="shared" si="3"/>
        <v>76.5</v>
      </c>
      <c r="M17" s="30">
        <f t="shared" si="3"/>
        <v>77.5</v>
      </c>
      <c r="N17" s="30">
        <f t="shared" si="3"/>
        <v>80.5</v>
      </c>
      <c r="O17" s="30">
        <f t="shared" si="3"/>
        <v>98</v>
      </c>
      <c r="P17" s="30">
        <f t="shared" si="3"/>
        <v>81</v>
      </c>
      <c r="Q17" s="30">
        <f t="shared" si="3"/>
        <v>912.5</v>
      </c>
      <c r="R17" s="30">
        <f t="shared" si="3"/>
        <v>82.954545454545453</v>
      </c>
      <c r="S17" s="30"/>
      <c r="T17" s="30">
        <f t="shared" si="3"/>
        <v>0</v>
      </c>
      <c r="U17" s="30">
        <f t="shared" si="3"/>
        <v>0</v>
      </c>
    </row>
    <row r="18" spans="1:21" ht="18.95" customHeight="1" x14ac:dyDescent="0.25">
      <c r="A18" s="295">
        <v>5</v>
      </c>
      <c r="B18" s="301"/>
      <c r="C18" s="294">
        <v>14</v>
      </c>
      <c r="D18" s="294" t="s">
        <v>20</v>
      </c>
      <c r="E18" s="84" t="s">
        <v>21</v>
      </c>
      <c r="F18" s="30">
        <f>'9B Sem 1'!E8</f>
        <v>67</v>
      </c>
      <c r="G18" s="30">
        <f>'9B Sem 1'!F8</f>
        <v>54</v>
      </c>
      <c r="H18" s="30">
        <f>'9B Sem 1'!G8</f>
        <v>42</v>
      </c>
      <c r="I18" s="30">
        <f>'9B Sem 1'!H8</f>
        <v>56</v>
      </c>
      <c r="J18" s="30">
        <f>'9B Sem 1'!I8</f>
        <v>57</v>
      </c>
      <c r="K18" s="30">
        <f>'9B Sem 1'!J8</f>
        <v>55</v>
      </c>
      <c r="L18" s="30">
        <f>'9B Sem 1'!K8</f>
        <v>58</v>
      </c>
      <c r="M18" s="30">
        <f>'9B Sem 1'!L8</f>
        <v>62</v>
      </c>
      <c r="N18" s="30">
        <f>'9B Sem 1'!M8</f>
        <v>51</v>
      </c>
      <c r="O18" s="30">
        <f>'9B Sem 1'!N8</f>
        <v>79</v>
      </c>
      <c r="P18" s="30">
        <f>'9B Sem 1'!O8</f>
        <v>74</v>
      </c>
      <c r="Q18" s="30">
        <f>'9B Sem 1'!P8</f>
        <v>655</v>
      </c>
      <c r="R18" s="30">
        <f>'9B Sem 1'!Q8</f>
        <v>59.545454545454547</v>
      </c>
      <c r="S18" s="30">
        <f>'9B Sem 1'!R8</f>
        <v>47</v>
      </c>
      <c r="T18" s="45">
        <f>'9B Sem 1'!S8</f>
        <v>0</v>
      </c>
      <c r="U18" s="45">
        <f>'9B Sem 1'!T8</f>
        <v>0</v>
      </c>
    </row>
    <row r="19" spans="1:21" ht="18.95" customHeight="1" x14ac:dyDescent="0.25">
      <c r="A19" s="295"/>
      <c r="B19" s="301"/>
      <c r="C19" s="294">
        <v>14</v>
      </c>
      <c r="D19" s="294" t="s">
        <v>20</v>
      </c>
      <c r="E19" s="84" t="s">
        <v>22</v>
      </c>
      <c r="F19" s="30">
        <f>'9B Sem 2'!E8</f>
        <v>73</v>
      </c>
      <c r="G19" s="30">
        <f>'9B Sem 2'!F8</f>
        <v>55</v>
      </c>
      <c r="H19" s="30">
        <f>'9B Sem 2'!G8</f>
        <v>55</v>
      </c>
      <c r="I19" s="30">
        <f>'9B Sem 2'!H8</f>
        <v>52</v>
      </c>
      <c r="J19" s="30">
        <f>'9B Sem 2'!I8</f>
        <v>53</v>
      </c>
      <c r="K19" s="30">
        <f>'9B Sem 2'!J8</f>
        <v>52</v>
      </c>
      <c r="L19" s="30">
        <f>'9B Sem 2'!K8</f>
        <v>52</v>
      </c>
      <c r="M19" s="30">
        <f>'9B Sem 2'!L8</f>
        <v>60</v>
      </c>
      <c r="N19" s="30">
        <f>'9B Sem 2'!M8</f>
        <v>55</v>
      </c>
      <c r="O19" s="30">
        <f>'9B Sem 2'!N8</f>
        <v>80</v>
      </c>
      <c r="P19" s="30">
        <f>'9B Sem 2'!O8</f>
        <v>93</v>
      </c>
      <c r="Q19" s="30">
        <f>'9B Sem 2'!P8</f>
        <v>680</v>
      </c>
      <c r="R19" s="30">
        <f>'9B Sem 2'!Q8</f>
        <v>61.81818181818182</v>
      </c>
      <c r="S19" s="30">
        <f>'9B Sem 2'!R8</f>
        <v>48</v>
      </c>
      <c r="T19" s="45">
        <f>'9B Sem 2'!S8</f>
        <v>0</v>
      </c>
      <c r="U19" s="45">
        <f>'9B Sem 2'!T8</f>
        <v>0</v>
      </c>
    </row>
    <row r="20" spans="1:21" ht="18.95" customHeight="1" x14ac:dyDescent="0.25">
      <c r="A20" s="295"/>
      <c r="B20" s="301"/>
      <c r="C20" s="294">
        <v>14</v>
      </c>
      <c r="D20" s="294" t="s">
        <v>20</v>
      </c>
      <c r="E20" s="84" t="s">
        <v>16</v>
      </c>
      <c r="F20" s="30">
        <f>AVERAGE(F18:F19)</f>
        <v>70</v>
      </c>
      <c r="G20" s="30">
        <f t="shared" ref="G20:U20" si="4">AVERAGE(G18:G19)</f>
        <v>54.5</v>
      </c>
      <c r="H20" s="30">
        <f t="shared" si="4"/>
        <v>48.5</v>
      </c>
      <c r="I20" s="30">
        <f t="shared" si="4"/>
        <v>54</v>
      </c>
      <c r="J20" s="30">
        <f t="shared" si="4"/>
        <v>55</v>
      </c>
      <c r="K20" s="30">
        <f t="shared" si="4"/>
        <v>53.5</v>
      </c>
      <c r="L20" s="30">
        <f t="shared" si="4"/>
        <v>55</v>
      </c>
      <c r="M20" s="30">
        <f t="shared" si="4"/>
        <v>61</v>
      </c>
      <c r="N20" s="30">
        <f t="shared" si="4"/>
        <v>53</v>
      </c>
      <c r="O20" s="30">
        <f t="shared" si="4"/>
        <v>79.5</v>
      </c>
      <c r="P20" s="30">
        <f t="shared" si="4"/>
        <v>83.5</v>
      </c>
      <c r="Q20" s="30">
        <f t="shared" si="4"/>
        <v>667.5</v>
      </c>
      <c r="R20" s="30">
        <f t="shared" si="4"/>
        <v>60.681818181818187</v>
      </c>
      <c r="S20" s="30"/>
      <c r="T20" s="30">
        <f t="shared" si="4"/>
        <v>0</v>
      </c>
      <c r="U20" s="30">
        <f t="shared" si="4"/>
        <v>0</v>
      </c>
    </row>
    <row r="21" spans="1:21" ht="18.95" customHeight="1" x14ac:dyDescent="0.25">
      <c r="A21" s="292">
        <v>6</v>
      </c>
      <c r="B21" s="293"/>
      <c r="C21" s="294">
        <v>15</v>
      </c>
      <c r="D21" s="294" t="s">
        <v>20</v>
      </c>
      <c r="E21" s="84" t="s">
        <v>21</v>
      </c>
      <c r="F21" s="30">
        <f>'9B Sem 1'!E9</f>
        <v>73</v>
      </c>
      <c r="G21" s="30">
        <f>'9B Sem 1'!F9</f>
        <v>66</v>
      </c>
      <c r="H21" s="30">
        <f>'9B Sem 1'!G9</f>
        <v>72</v>
      </c>
      <c r="I21" s="30">
        <f>'9B Sem 1'!H9</f>
        <v>64</v>
      </c>
      <c r="J21" s="30">
        <f>'9B Sem 1'!I9</f>
        <v>68</v>
      </c>
      <c r="K21" s="30">
        <f>'9B Sem 1'!J9</f>
        <v>86</v>
      </c>
      <c r="L21" s="30">
        <f>'9B Sem 1'!K9</f>
        <v>78</v>
      </c>
      <c r="M21" s="30">
        <f>'9B Sem 1'!L9</f>
        <v>81</v>
      </c>
      <c r="N21" s="30">
        <f>'9B Sem 1'!M9</f>
        <v>63</v>
      </c>
      <c r="O21" s="30">
        <f>'9B Sem 1'!N9</f>
        <v>99</v>
      </c>
      <c r="P21" s="30">
        <f>'9B Sem 1'!O9</f>
        <v>80</v>
      </c>
      <c r="Q21" s="30">
        <f>'9B Sem 1'!P9</f>
        <v>830</v>
      </c>
      <c r="R21" s="30">
        <f>'9B Sem 1'!Q9</f>
        <v>75.454545454545453</v>
      </c>
      <c r="S21" s="30">
        <f>'9B Sem 1'!R9</f>
        <v>28</v>
      </c>
      <c r="T21" s="45">
        <f>'9B Sem 1'!S9</f>
        <v>0</v>
      </c>
      <c r="U21" s="45">
        <f>'9B Sem 1'!T9</f>
        <v>0</v>
      </c>
    </row>
    <row r="22" spans="1:21" ht="18.95" customHeight="1" x14ac:dyDescent="0.25">
      <c r="A22" s="292"/>
      <c r="B22" s="293"/>
      <c r="C22" s="294">
        <v>15</v>
      </c>
      <c r="D22" s="294" t="s">
        <v>23</v>
      </c>
      <c r="E22" s="84" t="s">
        <v>22</v>
      </c>
      <c r="F22" s="30">
        <f>'9B Sem 2'!E9</f>
        <v>77</v>
      </c>
      <c r="G22" s="30">
        <f>'9B Sem 2'!F9</f>
        <v>69</v>
      </c>
      <c r="H22" s="30">
        <f>'9B Sem 2'!G9</f>
        <v>87</v>
      </c>
      <c r="I22" s="30">
        <f>'9B Sem 2'!H9</f>
        <v>58</v>
      </c>
      <c r="J22" s="30">
        <f>'9B Sem 2'!I9</f>
        <v>68</v>
      </c>
      <c r="K22" s="30">
        <f>'9B Sem 2'!J9</f>
        <v>82</v>
      </c>
      <c r="L22" s="30">
        <f>'9B Sem 2'!K9</f>
        <v>72</v>
      </c>
      <c r="M22" s="30">
        <f>'9B Sem 2'!L9</f>
        <v>74</v>
      </c>
      <c r="N22" s="30">
        <f>'9B Sem 2'!M9</f>
        <v>68</v>
      </c>
      <c r="O22" s="30">
        <f>'9B Sem 2'!N9</f>
        <v>95</v>
      </c>
      <c r="P22" s="30">
        <f>'9B Sem 2'!O9</f>
        <v>95</v>
      </c>
      <c r="Q22" s="30">
        <f>'9B Sem 2'!P9</f>
        <v>845</v>
      </c>
      <c r="R22" s="30">
        <f>'9B Sem 2'!Q9</f>
        <v>76.818181818181813</v>
      </c>
      <c r="S22" s="30">
        <f>'9B Sem 2'!R9</f>
        <v>29</v>
      </c>
      <c r="T22" s="45">
        <f>'9B Sem 2'!S9</f>
        <v>0</v>
      </c>
      <c r="U22" s="45">
        <f>'9B Sem 2'!T9</f>
        <v>0</v>
      </c>
    </row>
    <row r="23" spans="1:21" ht="18.95" customHeight="1" x14ac:dyDescent="0.25">
      <c r="A23" s="292"/>
      <c r="B23" s="293"/>
      <c r="C23" s="294">
        <v>15</v>
      </c>
      <c r="D23" s="294" t="s">
        <v>23</v>
      </c>
      <c r="E23" s="84" t="s">
        <v>16</v>
      </c>
      <c r="F23" s="30">
        <f>AVERAGE(F21:F22)</f>
        <v>75</v>
      </c>
      <c r="G23" s="30">
        <f t="shared" ref="G23:U23" si="5">AVERAGE(G21:G22)</f>
        <v>67.5</v>
      </c>
      <c r="H23" s="30">
        <f t="shared" si="5"/>
        <v>79.5</v>
      </c>
      <c r="I23" s="30">
        <f t="shared" si="5"/>
        <v>61</v>
      </c>
      <c r="J23" s="30">
        <f t="shared" si="5"/>
        <v>68</v>
      </c>
      <c r="K23" s="30">
        <f t="shared" si="5"/>
        <v>84</v>
      </c>
      <c r="L23" s="30">
        <f t="shared" si="5"/>
        <v>75</v>
      </c>
      <c r="M23" s="30">
        <f t="shared" si="5"/>
        <v>77.5</v>
      </c>
      <c r="N23" s="30">
        <f t="shared" si="5"/>
        <v>65.5</v>
      </c>
      <c r="O23" s="30">
        <f t="shared" si="5"/>
        <v>97</v>
      </c>
      <c r="P23" s="30">
        <f t="shared" si="5"/>
        <v>87.5</v>
      </c>
      <c r="Q23" s="30">
        <f t="shared" si="5"/>
        <v>837.5</v>
      </c>
      <c r="R23" s="30">
        <f t="shared" si="5"/>
        <v>76.136363636363626</v>
      </c>
      <c r="S23" s="30"/>
      <c r="T23" s="30">
        <f t="shared" si="5"/>
        <v>0</v>
      </c>
      <c r="U23" s="30">
        <f t="shared" si="5"/>
        <v>0</v>
      </c>
    </row>
    <row r="24" spans="1:21" ht="18.95" customHeight="1" x14ac:dyDescent="0.25">
      <c r="A24" s="295">
        <v>7</v>
      </c>
      <c r="B24" s="293"/>
      <c r="C24" s="295">
        <v>14</v>
      </c>
      <c r="D24" s="295" t="s">
        <v>23</v>
      </c>
      <c r="E24" s="84" t="s">
        <v>21</v>
      </c>
      <c r="F24" s="30">
        <f>'9B Sem 1'!E10</f>
        <v>78</v>
      </c>
      <c r="G24" s="30">
        <f>'9B Sem 1'!F10</f>
        <v>67</v>
      </c>
      <c r="H24" s="30">
        <f>'9B Sem 1'!G10</f>
        <v>73</v>
      </c>
      <c r="I24" s="30">
        <f>'9B Sem 1'!H10</f>
        <v>61</v>
      </c>
      <c r="J24" s="30">
        <f>'9B Sem 1'!I10</f>
        <v>58</v>
      </c>
      <c r="K24" s="30">
        <f>'9B Sem 1'!J10</f>
        <v>69</v>
      </c>
      <c r="L24" s="30">
        <f>'9B Sem 1'!K10</f>
        <v>69</v>
      </c>
      <c r="M24" s="30">
        <f>'9B Sem 1'!L10</f>
        <v>67</v>
      </c>
      <c r="N24" s="30">
        <f>'9B Sem 1'!M10</f>
        <v>74</v>
      </c>
      <c r="O24" s="30">
        <f>'9B Sem 1'!N10</f>
        <v>83</v>
      </c>
      <c r="P24" s="30">
        <f>'9B Sem 1'!O10</f>
        <v>78</v>
      </c>
      <c r="Q24" s="30">
        <f>'9B Sem 1'!P10</f>
        <v>777</v>
      </c>
      <c r="R24" s="30">
        <f>'9B Sem 1'!Q10</f>
        <v>70.63636363636364</v>
      </c>
      <c r="S24" s="30">
        <f>'9B Sem 1'!R10</f>
        <v>34</v>
      </c>
      <c r="T24" s="45">
        <f>'9B Sem 1'!S10</f>
        <v>0</v>
      </c>
      <c r="U24" s="45">
        <f>'9B Sem 1'!T10</f>
        <v>0</v>
      </c>
    </row>
    <row r="25" spans="1:21" ht="18.95" customHeight="1" x14ac:dyDescent="0.25">
      <c r="A25" s="295"/>
      <c r="B25" s="293"/>
      <c r="C25" s="295">
        <v>14</v>
      </c>
      <c r="D25" s="295" t="s">
        <v>23</v>
      </c>
      <c r="E25" s="84" t="s">
        <v>22</v>
      </c>
      <c r="F25" s="30">
        <f>'9B Sem 2'!E10</f>
        <v>87</v>
      </c>
      <c r="G25" s="30">
        <f>'9B Sem 2'!F10</f>
        <v>81</v>
      </c>
      <c r="H25" s="30">
        <f>'9B Sem 2'!G10</f>
        <v>59</v>
      </c>
      <c r="I25" s="30">
        <f>'9B Sem 2'!H10</f>
        <v>61</v>
      </c>
      <c r="J25" s="30">
        <f>'9B Sem 2'!I10</f>
        <v>52</v>
      </c>
      <c r="K25" s="30">
        <f>'9B Sem 2'!J10</f>
        <v>70</v>
      </c>
      <c r="L25" s="30">
        <f>'9B Sem 2'!K10</f>
        <v>72</v>
      </c>
      <c r="M25" s="30">
        <f>'9B Sem 2'!L10</f>
        <v>66</v>
      </c>
      <c r="N25" s="30">
        <f>'9B Sem 2'!M10</f>
        <v>76</v>
      </c>
      <c r="O25" s="30">
        <f>'9B Sem 2'!N10</f>
        <v>87</v>
      </c>
      <c r="P25" s="30">
        <f>'9B Sem 2'!O10</f>
        <v>80</v>
      </c>
      <c r="Q25" s="30">
        <f>'9B Sem 2'!P10</f>
        <v>791</v>
      </c>
      <c r="R25" s="30">
        <f>'9B Sem 2'!Q10</f>
        <v>71.909090909090907</v>
      </c>
      <c r="S25" s="30">
        <f>'9B Sem 2'!R10</f>
        <v>36</v>
      </c>
      <c r="T25" s="45">
        <f>'9B Sem 2'!S10</f>
        <v>0</v>
      </c>
      <c r="U25" s="45">
        <f>'9B Sem 2'!T10</f>
        <v>0</v>
      </c>
    </row>
    <row r="26" spans="1:21" ht="18.95" customHeight="1" x14ac:dyDescent="0.25">
      <c r="A26" s="295"/>
      <c r="B26" s="293"/>
      <c r="C26" s="295">
        <v>14</v>
      </c>
      <c r="D26" s="295" t="s">
        <v>23</v>
      </c>
      <c r="E26" s="84" t="s">
        <v>16</v>
      </c>
      <c r="F26" s="30">
        <f>AVERAGE(F24:F25)</f>
        <v>82.5</v>
      </c>
      <c r="G26" s="30">
        <f t="shared" ref="G26:U26" si="6">AVERAGE(G24:G25)</f>
        <v>74</v>
      </c>
      <c r="H26" s="30">
        <f t="shared" si="6"/>
        <v>66</v>
      </c>
      <c r="I26" s="30">
        <f t="shared" si="6"/>
        <v>61</v>
      </c>
      <c r="J26" s="30">
        <f t="shared" si="6"/>
        <v>55</v>
      </c>
      <c r="K26" s="30">
        <f t="shared" si="6"/>
        <v>69.5</v>
      </c>
      <c r="L26" s="30">
        <f t="shared" si="6"/>
        <v>70.5</v>
      </c>
      <c r="M26" s="30">
        <f t="shared" si="6"/>
        <v>66.5</v>
      </c>
      <c r="N26" s="30">
        <f t="shared" si="6"/>
        <v>75</v>
      </c>
      <c r="O26" s="30">
        <f t="shared" si="6"/>
        <v>85</v>
      </c>
      <c r="P26" s="30">
        <f t="shared" si="6"/>
        <v>79</v>
      </c>
      <c r="Q26" s="30">
        <f t="shared" si="6"/>
        <v>784</v>
      </c>
      <c r="R26" s="30">
        <f t="shared" si="6"/>
        <v>71.27272727272728</v>
      </c>
      <c r="S26" s="30"/>
      <c r="T26" s="30">
        <f t="shared" si="6"/>
        <v>0</v>
      </c>
      <c r="U26" s="30">
        <f t="shared" si="6"/>
        <v>0</v>
      </c>
    </row>
    <row r="27" spans="1:21" ht="18.95" customHeight="1" x14ac:dyDescent="0.25">
      <c r="A27" s="295">
        <v>8</v>
      </c>
      <c r="B27" s="293"/>
      <c r="C27" s="293">
        <v>15</v>
      </c>
      <c r="D27" s="293" t="s">
        <v>20</v>
      </c>
      <c r="E27" s="84" t="s">
        <v>21</v>
      </c>
      <c r="F27" s="30">
        <f>'9B Sem 1'!E11</f>
        <v>79</v>
      </c>
      <c r="G27" s="30">
        <f>'9B Sem 1'!F11</f>
        <v>62</v>
      </c>
      <c r="H27" s="30">
        <f>'9B Sem 1'!G11</f>
        <v>58</v>
      </c>
      <c r="I27" s="30">
        <f>'9B Sem 1'!H11</f>
        <v>68</v>
      </c>
      <c r="J27" s="30">
        <f>'9B Sem 1'!I11</f>
        <v>60</v>
      </c>
      <c r="K27" s="30">
        <f>'9B Sem 1'!J11</f>
        <v>55</v>
      </c>
      <c r="L27" s="30">
        <f>'9B Sem 1'!K11</f>
        <v>57</v>
      </c>
      <c r="M27" s="30">
        <f>'9B Sem 1'!L11</f>
        <v>68</v>
      </c>
      <c r="N27" s="30">
        <f>'9B Sem 1'!M11</f>
        <v>65</v>
      </c>
      <c r="O27" s="30">
        <f>'9B Sem 1'!N11</f>
        <v>82</v>
      </c>
      <c r="P27" s="30">
        <f>'9B Sem 1'!O11</f>
        <v>86</v>
      </c>
      <c r="Q27" s="30">
        <f>'9B Sem 1'!P11</f>
        <v>740</v>
      </c>
      <c r="R27" s="30">
        <f>'9B Sem 1'!Q11</f>
        <v>67.272727272727266</v>
      </c>
      <c r="S27" s="30">
        <f>'9B Sem 1'!R11</f>
        <v>41</v>
      </c>
      <c r="T27" s="45">
        <f>'9B Sem 1'!S11</f>
        <v>0</v>
      </c>
      <c r="U27" s="45">
        <f>'9B Sem 1'!T11</f>
        <v>0</v>
      </c>
    </row>
    <row r="28" spans="1:21" ht="18.95" customHeight="1" x14ac:dyDescent="0.25">
      <c r="A28" s="295"/>
      <c r="B28" s="293"/>
      <c r="C28" s="293">
        <v>15</v>
      </c>
      <c r="D28" s="293" t="s">
        <v>20</v>
      </c>
      <c r="E28" s="84" t="s">
        <v>22</v>
      </c>
      <c r="F28" s="30">
        <f>'9B Sem 2'!E11</f>
        <v>79</v>
      </c>
      <c r="G28" s="30">
        <f>'9B Sem 2'!F11</f>
        <v>64</v>
      </c>
      <c r="H28" s="30">
        <f>'9B Sem 2'!G11</f>
        <v>65</v>
      </c>
      <c r="I28" s="30">
        <f>'9B Sem 2'!H11</f>
        <v>59</v>
      </c>
      <c r="J28" s="30">
        <f>'9B Sem 2'!I11</f>
        <v>56</v>
      </c>
      <c r="K28" s="30">
        <f>'9B Sem 2'!J11</f>
        <v>52</v>
      </c>
      <c r="L28" s="30">
        <f>'9B Sem 2'!K11</f>
        <v>55</v>
      </c>
      <c r="M28" s="30">
        <f>'9B Sem 2'!L11</f>
        <v>50</v>
      </c>
      <c r="N28" s="30">
        <f>'9B Sem 2'!M11</f>
        <v>61</v>
      </c>
      <c r="O28" s="30">
        <f>'9B Sem 2'!N11</f>
        <v>76</v>
      </c>
      <c r="P28" s="30">
        <f>'9B Sem 2'!O11</f>
        <v>94</v>
      </c>
      <c r="Q28" s="30">
        <f>'9B Sem 2'!P11</f>
        <v>711</v>
      </c>
      <c r="R28" s="30">
        <f>'9B Sem 2'!Q11</f>
        <v>64.63636363636364</v>
      </c>
      <c r="S28" s="30">
        <f>'9B Sem 2'!R11</f>
        <v>45</v>
      </c>
      <c r="T28" s="45">
        <f>'9B Sem 2'!S11</f>
        <v>0</v>
      </c>
      <c r="U28" s="45">
        <f>'9B Sem 2'!T11</f>
        <v>0</v>
      </c>
    </row>
    <row r="29" spans="1:21" ht="18.95" customHeight="1" x14ac:dyDescent="0.25">
      <c r="A29" s="295"/>
      <c r="B29" s="293"/>
      <c r="C29" s="293">
        <v>15</v>
      </c>
      <c r="D29" s="293" t="s">
        <v>20</v>
      </c>
      <c r="E29" s="84" t="s">
        <v>16</v>
      </c>
      <c r="F29" s="30">
        <f>AVERAGE(F27:F28)</f>
        <v>79</v>
      </c>
      <c r="G29" s="30">
        <f t="shared" ref="G29:U29" si="7">AVERAGE(G27:G28)</f>
        <v>63</v>
      </c>
      <c r="H29" s="30">
        <f t="shared" si="7"/>
        <v>61.5</v>
      </c>
      <c r="I29" s="30">
        <f t="shared" si="7"/>
        <v>63.5</v>
      </c>
      <c r="J29" s="30">
        <f t="shared" si="7"/>
        <v>58</v>
      </c>
      <c r="K29" s="30">
        <f t="shared" si="7"/>
        <v>53.5</v>
      </c>
      <c r="L29" s="30">
        <f t="shared" si="7"/>
        <v>56</v>
      </c>
      <c r="M29" s="30">
        <f t="shared" si="7"/>
        <v>59</v>
      </c>
      <c r="N29" s="30">
        <f t="shared" si="7"/>
        <v>63</v>
      </c>
      <c r="O29" s="30">
        <f t="shared" si="7"/>
        <v>79</v>
      </c>
      <c r="P29" s="30">
        <f t="shared" si="7"/>
        <v>90</v>
      </c>
      <c r="Q29" s="30">
        <f t="shared" si="7"/>
        <v>725.5</v>
      </c>
      <c r="R29" s="30">
        <f t="shared" si="7"/>
        <v>65.954545454545453</v>
      </c>
      <c r="S29" s="30"/>
      <c r="T29" s="30">
        <f t="shared" si="7"/>
        <v>0</v>
      </c>
      <c r="U29" s="30">
        <f t="shared" si="7"/>
        <v>0</v>
      </c>
    </row>
    <row r="30" spans="1:21" ht="18.95" customHeight="1" x14ac:dyDescent="0.25">
      <c r="A30" s="292">
        <v>9</v>
      </c>
      <c r="B30" s="293"/>
      <c r="C30" s="293">
        <v>15</v>
      </c>
      <c r="D30" s="293" t="s">
        <v>20</v>
      </c>
      <c r="E30" s="84" t="s">
        <v>21</v>
      </c>
      <c r="F30" s="30">
        <f>'9B Sem 1'!E12</f>
        <v>83</v>
      </c>
      <c r="G30" s="30">
        <f>'9B Sem 1'!F12</f>
        <v>51</v>
      </c>
      <c r="H30" s="30">
        <f>'9B Sem 1'!G12</f>
        <v>46</v>
      </c>
      <c r="I30" s="30">
        <f>'9B Sem 1'!H12</f>
        <v>51</v>
      </c>
      <c r="J30" s="30">
        <f>'9B Sem 1'!I12</f>
        <v>74</v>
      </c>
      <c r="K30" s="30">
        <f>'9B Sem 1'!J12</f>
        <v>78</v>
      </c>
      <c r="L30" s="30">
        <f>'9B Sem 1'!K12</f>
        <v>77</v>
      </c>
      <c r="M30" s="30">
        <f>'9B Sem 1'!L12</f>
        <v>91</v>
      </c>
      <c r="N30" s="30">
        <f>'9B Sem 1'!M12</f>
        <v>68</v>
      </c>
      <c r="O30" s="30">
        <f>'9B Sem 1'!N12</f>
        <v>77</v>
      </c>
      <c r="P30" s="30">
        <f>'9B Sem 1'!O12</f>
        <v>75</v>
      </c>
      <c r="Q30" s="30">
        <f>'9B Sem 1'!P12</f>
        <v>771</v>
      </c>
      <c r="R30" s="30">
        <f>'9B Sem 1'!Q12</f>
        <v>70.090909090909093</v>
      </c>
      <c r="S30" s="30">
        <f>'9B Sem 1'!R12</f>
        <v>37</v>
      </c>
      <c r="T30" s="45">
        <f>'9B Sem 1'!S12</f>
        <v>0</v>
      </c>
      <c r="U30" s="45">
        <f>'9B Sem 1'!T12</f>
        <v>0</v>
      </c>
    </row>
    <row r="31" spans="1:21" ht="18.95" customHeight="1" x14ac:dyDescent="0.25">
      <c r="A31" s="292"/>
      <c r="B31" s="293"/>
      <c r="C31" s="293">
        <v>15</v>
      </c>
      <c r="D31" s="293" t="s">
        <v>20</v>
      </c>
      <c r="E31" s="84" t="s">
        <v>22</v>
      </c>
      <c r="F31" s="30">
        <f>'9B Sem 2'!E12</f>
        <v>87</v>
      </c>
      <c r="G31" s="30">
        <f>'9B Sem 2'!F12</f>
        <v>64</v>
      </c>
      <c r="H31" s="30">
        <f>'9B Sem 2'!G12</f>
        <v>47</v>
      </c>
      <c r="I31" s="30">
        <f>'9B Sem 2'!H12</f>
        <v>57</v>
      </c>
      <c r="J31" s="30">
        <f>'9B Sem 2'!I12</f>
        <v>61</v>
      </c>
      <c r="K31" s="30">
        <f>'9B Sem 2'!J12</f>
        <v>70</v>
      </c>
      <c r="L31" s="30">
        <f>'9B Sem 2'!K12</f>
        <v>80</v>
      </c>
      <c r="M31" s="30">
        <f>'9B Sem 2'!L12</f>
        <v>77</v>
      </c>
      <c r="N31" s="30">
        <f>'9B Sem 2'!M12</f>
        <v>75</v>
      </c>
      <c r="O31" s="30">
        <f>'9B Sem 2'!N12</f>
        <v>75</v>
      </c>
      <c r="P31" s="30">
        <f>'9B Sem 2'!O12</f>
        <v>88</v>
      </c>
      <c r="Q31" s="30">
        <f>'9B Sem 2'!P12</f>
        <v>781</v>
      </c>
      <c r="R31" s="30">
        <f>'9B Sem 2'!Q12</f>
        <v>71</v>
      </c>
      <c r="S31" s="30">
        <f>'9B Sem 2'!R12</f>
        <v>37</v>
      </c>
      <c r="T31" s="45">
        <f>'9B Sem 2'!S12</f>
        <v>0</v>
      </c>
      <c r="U31" s="45">
        <f>'9B Sem 2'!T12</f>
        <v>0</v>
      </c>
    </row>
    <row r="32" spans="1:21" ht="18.95" customHeight="1" x14ac:dyDescent="0.25">
      <c r="A32" s="292"/>
      <c r="B32" s="293"/>
      <c r="C32" s="293">
        <v>15</v>
      </c>
      <c r="D32" s="293" t="s">
        <v>20</v>
      </c>
      <c r="E32" s="84" t="s">
        <v>16</v>
      </c>
      <c r="F32" s="30">
        <f>AVERAGE(F30:F31)</f>
        <v>85</v>
      </c>
      <c r="G32" s="30">
        <f t="shared" ref="G32:U32" si="8">AVERAGE(G30:G31)</f>
        <v>57.5</v>
      </c>
      <c r="H32" s="30">
        <f t="shared" si="8"/>
        <v>46.5</v>
      </c>
      <c r="I32" s="30">
        <f t="shared" si="8"/>
        <v>54</v>
      </c>
      <c r="J32" s="30">
        <f t="shared" si="8"/>
        <v>67.5</v>
      </c>
      <c r="K32" s="30">
        <f t="shared" si="8"/>
        <v>74</v>
      </c>
      <c r="L32" s="30">
        <f t="shared" si="8"/>
        <v>78.5</v>
      </c>
      <c r="M32" s="30">
        <f t="shared" si="8"/>
        <v>84</v>
      </c>
      <c r="N32" s="30">
        <f t="shared" si="8"/>
        <v>71.5</v>
      </c>
      <c r="O32" s="30">
        <f t="shared" si="8"/>
        <v>76</v>
      </c>
      <c r="P32" s="30">
        <f t="shared" si="8"/>
        <v>81.5</v>
      </c>
      <c r="Q32" s="30">
        <f t="shared" si="8"/>
        <v>776</v>
      </c>
      <c r="R32" s="30">
        <f t="shared" si="8"/>
        <v>70.545454545454547</v>
      </c>
      <c r="S32" s="30"/>
      <c r="T32" s="30">
        <f t="shared" si="8"/>
        <v>0</v>
      </c>
      <c r="U32" s="30">
        <f t="shared" si="8"/>
        <v>0</v>
      </c>
    </row>
    <row r="33" spans="1:21" ht="18.95" customHeight="1" x14ac:dyDescent="0.25">
      <c r="A33" s="295">
        <v>10</v>
      </c>
      <c r="B33" s="293"/>
      <c r="C33" s="294">
        <v>14</v>
      </c>
      <c r="D33" s="294" t="s">
        <v>23</v>
      </c>
      <c r="E33" s="84" t="s">
        <v>21</v>
      </c>
      <c r="F33" s="30">
        <f>'9B Sem 1'!E13</f>
        <v>91</v>
      </c>
      <c r="G33" s="30">
        <f>'9B Sem 1'!F13</f>
        <v>67</v>
      </c>
      <c r="H33" s="30">
        <f>'9B Sem 1'!G13</f>
        <v>82</v>
      </c>
      <c r="I33" s="30">
        <f>'9B Sem 1'!H13</f>
        <v>64</v>
      </c>
      <c r="J33" s="30">
        <f>'9B Sem 1'!I13</f>
        <v>72</v>
      </c>
      <c r="K33" s="30">
        <f>'9B Sem 1'!J13</f>
        <v>68</v>
      </c>
      <c r="L33" s="30">
        <f>'9B Sem 1'!K13</f>
        <v>64</v>
      </c>
      <c r="M33" s="30">
        <f>'9B Sem 1'!L13</f>
        <v>81</v>
      </c>
      <c r="N33" s="30">
        <f>'9B Sem 1'!M13</f>
        <v>78</v>
      </c>
      <c r="O33" s="30">
        <f>'9B Sem 1'!N13</f>
        <v>87</v>
      </c>
      <c r="P33" s="30">
        <f>'9B Sem 1'!O13</f>
        <v>91</v>
      </c>
      <c r="Q33" s="30">
        <f>'9B Sem 1'!P13</f>
        <v>845</v>
      </c>
      <c r="R33" s="30">
        <f>'9B Sem 1'!Q13</f>
        <v>76.818181818181813</v>
      </c>
      <c r="S33" s="30">
        <f>'9B Sem 1'!R13</f>
        <v>23</v>
      </c>
      <c r="T33" s="45">
        <f>'9B Sem 1'!S13</f>
        <v>0</v>
      </c>
      <c r="U33" s="45">
        <f>'9B Sem 1'!T13</f>
        <v>0</v>
      </c>
    </row>
    <row r="34" spans="1:21" ht="18.95" customHeight="1" x14ac:dyDescent="0.25">
      <c r="A34" s="295"/>
      <c r="B34" s="293"/>
      <c r="C34" s="294">
        <v>14</v>
      </c>
      <c r="D34" s="294" t="s">
        <v>23</v>
      </c>
      <c r="E34" s="84" t="s">
        <v>22</v>
      </c>
      <c r="F34" s="30">
        <f>'9B Sem 2'!E13</f>
        <v>91</v>
      </c>
      <c r="G34" s="30">
        <f>'9B Sem 2'!F13</f>
        <v>84</v>
      </c>
      <c r="H34" s="30">
        <f>'9B Sem 2'!G13</f>
        <v>78</v>
      </c>
      <c r="I34" s="30">
        <f>'9B Sem 2'!H13</f>
        <v>71</v>
      </c>
      <c r="J34" s="30">
        <f>'9B Sem 2'!I13</f>
        <v>77</v>
      </c>
      <c r="K34" s="30">
        <f>'9B Sem 2'!J13</f>
        <v>82</v>
      </c>
      <c r="L34" s="30">
        <f>'9B Sem 2'!K13</f>
        <v>84</v>
      </c>
      <c r="M34" s="30">
        <f>'9B Sem 2'!L13</f>
        <v>75</v>
      </c>
      <c r="N34" s="30">
        <f>'9B Sem 2'!M13</f>
        <v>89</v>
      </c>
      <c r="O34" s="30">
        <f>'9B Sem 2'!N13</f>
        <v>87</v>
      </c>
      <c r="P34" s="30">
        <f>'9B Sem 2'!O13</f>
        <v>90</v>
      </c>
      <c r="Q34" s="30">
        <f>'9B Sem 2'!P13</f>
        <v>908</v>
      </c>
      <c r="R34" s="30">
        <f>'9B Sem 2'!Q13</f>
        <v>82.545454545454547</v>
      </c>
      <c r="S34" s="30">
        <f>'9B Sem 2'!R13</f>
        <v>15</v>
      </c>
      <c r="T34" s="45">
        <f>'9B Sem 2'!S13</f>
        <v>0</v>
      </c>
      <c r="U34" s="45">
        <f>'9B Sem 2'!T13</f>
        <v>0</v>
      </c>
    </row>
    <row r="35" spans="1:21" ht="18.95" customHeight="1" x14ac:dyDescent="0.25">
      <c r="A35" s="295"/>
      <c r="B35" s="293"/>
      <c r="C35" s="294">
        <v>14</v>
      </c>
      <c r="D35" s="294" t="s">
        <v>23</v>
      </c>
      <c r="E35" s="84" t="s">
        <v>16</v>
      </c>
      <c r="F35" s="30">
        <f>AVERAGE(F33:F34)</f>
        <v>91</v>
      </c>
      <c r="G35" s="30">
        <f t="shared" ref="G35:U35" si="9">AVERAGE(G33:G34)</f>
        <v>75.5</v>
      </c>
      <c r="H35" s="30">
        <f t="shared" si="9"/>
        <v>80</v>
      </c>
      <c r="I35" s="30">
        <f t="shared" si="9"/>
        <v>67.5</v>
      </c>
      <c r="J35" s="30">
        <f t="shared" si="9"/>
        <v>74.5</v>
      </c>
      <c r="K35" s="30">
        <f t="shared" si="9"/>
        <v>75</v>
      </c>
      <c r="L35" s="30">
        <f t="shared" si="9"/>
        <v>74</v>
      </c>
      <c r="M35" s="30">
        <f t="shared" si="9"/>
        <v>78</v>
      </c>
      <c r="N35" s="30">
        <f t="shared" si="9"/>
        <v>83.5</v>
      </c>
      <c r="O35" s="30">
        <f t="shared" si="9"/>
        <v>87</v>
      </c>
      <c r="P35" s="30">
        <f t="shared" si="9"/>
        <v>90.5</v>
      </c>
      <c r="Q35" s="30">
        <f t="shared" si="9"/>
        <v>876.5</v>
      </c>
      <c r="R35" s="30">
        <f t="shared" si="9"/>
        <v>79.681818181818187</v>
      </c>
      <c r="S35" s="30"/>
      <c r="T35" s="30">
        <f t="shared" si="9"/>
        <v>0</v>
      </c>
      <c r="U35" s="30">
        <f t="shared" si="9"/>
        <v>0</v>
      </c>
    </row>
    <row r="36" spans="1:21" ht="18.95" customHeight="1" x14ac:dyDescent="0.25">
      <c r="A36" s="292">
        <v>11</v>
      </c>
      <c r="B36" s="293"/>
      <c r="C36" s="293">
        <v>14</v>
      </c>
      <c r="D36" s="293" t="s">
        <v>23</v>
      </c>
      <c r="E36" s="84" t="s">
        <v>21</v>
      </c>
      <c r="F36" s="30">
        <f>'9B Sem 1'!E14</f>
        <v>87</v>
      </c>
      <c r="G36" s="30">
        <f>'9B Sem 1'!F14</f>
        <v>74</v>
      </c>
      <c r="H36" s="30">
        <f>'9B Sem 1'!G14</f>
        <v>84</v>
      </c>
      <c r="I36" s="30">
        <f>'9B Sem 1'!H14</f>
        <v>76</v>
      </c>
      <c r="J36" s="30">
        <f>'9B Sem 1'!I14</f>
        <v>81</v>
      </c>
      <c r="K36" s="30">
        <f>'9B Sem 1'!J14</f>
        <v>94</v>
      </c>
      <c r="L36" s="30">
        <f>'9B Sem 1'!K14</f>
        <v>80</v>
      </c>
      <c r="M36" s="30">
        <f>'9B Sem 1'!L14</f>
        <v>83</v>
      </c>
      <c r="N36" s="30">
        <f>'9B Sem 1'!M14</f>
        <v>77</v>
      </c>
      <c r="O36" s="30">
        <f>'9B Sem 1'!N14</f>
        <v>90</v>
      </c>
      <c r="P36" s="30">
        <f>'9B Sem 1'!O14</f>
        <v>84</v>
      </c>
      <c r="Q36" s="30">
        <f>'9B Sem 1'!P14</f>
        <v>910</v>
      </c>
      <c r="R36" s="30">
        <f>'9B Sem 1'!Q14</f>
        <v>82.727272727272734</v>
      </c>
      <c r="S36" s="30">
        <f>'9B Sem 1'!R14</f>
        <v>14</v>
      </c>
      <c r="T36" s="45">
        <f>'9B Sem 1'!S14</f>
        <v>0</v>
      </c>
      <c r="U36" s="45">
        <f>'9B Sem 1'!T14</f>
        <v>0</v>
      </c>
    </row>
    <row r="37" spans="1:21" ht="18.95" customHeight="1" x14ac:dyDescent="0.25">
      <c r="A37" s="292"/>
      <c r="B37" s="293"/>
      <c r="C37" s="293">
        <v>14</v>
      </c>
      <c r="D37" s="293" t="s">
        <v>23</v>
      </c>
      <c r="E37" s="84" t="s">
        <v>22</v>
      </c>
      <c r="F37" s="30">
        <f>'9B Sem 2'!E14</f>
        <v>93</v>
      </c>
      <c r="G37" s="30">
        <f>'9B Sem 2'!F14</f>
        <v>76</v>
      </c>
      <c r="H37" s="30">
        <f>'9B Sem 2'!G14</f>
        <v>84</v>
      </c>
      <c r="I37" s="30">
        <f>'9B Sem 2'!H14</f>
        <v>78</v>
      </c>
      <c r="J37" s="30">
        <f>'9B Sem 2'!I14</f>
        <v>82</v>
      </c>
      <c r="K37" s="30">
        <f>'9B Sem 2'!J14</f>
        <v>84</v>
      </c>
      <c r="L37" s="30">
        <f>'9B Sem 2'!K14</f>
        <v>76</v>
      </c>
      <c r="M37" s="30">
        <f>'9B Sem 2'!L14</f>
        <v>81</v>
      </c>
      <c r="N37" s="30">
        <f>'9B Sem 2'!M14</f>
        <v>87</v>
      </c>
      <c r="O37" s="30">
        <f>'9B Sem 2'!N14</f>
        <v>87</v>
      </c>
      <c r="P37" s="30">
        <f>'9B Sem 2'!O14</f>
        <v>93</v>
      </c>
      <c r="Q37" s="30">
        <f>'9B Sem 2'!P14</f>
        <v>921</v>
      </c>
      <c r="R37" s="30">
        <f>'9B Sem 2'!Q14</f>
        <v>83.727272727272734</v>
      </c>
      <c r="S37" s="30">
        <f>'9B Sem 2'!R14</f>
        <v>14</v>
      </c>
      <c r="T37" s="45">
        <f>'9B Sem 2'!S14</f>
        <v>0</v>
      </c>
      <c r="U37" s="45">
        <f>'9B Sem 2'!T14</f>
        <v>0</v>
      </c>
    </row>
    <row r="38" spans="1:21" ht="18.95" customHeight="1" x14ac:dyDescent="0.25">
      <c r="A38" s="292"/>
      <c r="B38" s="293"/>
      <c r="C38" s="293">
        <v>14</v>
      </c>
      <c r="D38" s="293" t="s">
        <v>23</v>
      </c>
      <c r="E38" s="84" t="s">
        <v>16</v>
      </c>
      <c r="F38" s="30">
        <f>AVERAGE(F36:F37)</f>
        <v>90</v>
      </c>
      <c r="G38" s="30">
        <f t="shared" ref="G38:U38" si="10">AVERAGE(G36:G37)</f>
        <v>75</v>
      </c>
      <c r="H38" s="30">
        <f t="shared" si="10"/>
        <v>84</v>
      </c>
      <c r="I38" s="30">
        <f t="shared" si="10"/>
        <v>77</v>
      </c>
      <c r="J38" s="30">
        <f t="shared" si="10"/>
        <v>81.5</v>
      </c>
      <c r="K38" s="30">
        <f t="shared" si="10"/>
        <v>89</v>
      </c>
      <c r="L38" s="30">
        <f t="shared" si="10"/>
        <v>78</v>
      </c>
      <c r="M38" s="30">
        <f t="shared" si="10"/>
        <v>82</v>
      </c>
      <c r="N38" s="30">
        <f t="shared" si="10"/>
        <v>82</v>
      </c>
      <c r="O38" s="30">
        <f t="shared" si="10"/>
        <v>88.5</v>
      </c>
      <c r="P38" s="30">
        <f t="shared" si="10"/>
        <v>88.5</v>
      </c>
      <c r="Q38" s="30">
        <f t="shared" si="10"/>
        <v>915.5</v>
      </c>
      <c r="R38" s="30">
        <f t="shared" si="10"/>
        <v>83.227272727272734</v>
      </c>
      <c r="S38" s="30"/>
      <c r="T38" s="30">
        <f t="shared" si="10"/>
        <v>0</v>
      </c>
      <c r="U38" s="30">
        <f t="shared" si="10"/>
        <v>0</v>
      </c>
    </row>
    <row r="39" spans="1:21" ht="18.95" customHeight="1" x14ac:dyDescent="0.25">
      <c r="A39" s="292">
        <v>12</v>
      </c>
      <c r="B39" s="293"/>
      <c r="C39" s="294">
        <v>14</v>
      </c>
      <c r="D39" s="294" t="s">
        <v>23</v>
      </c>
      <c r="E39" s="84" t="s">
        <v>21</v>
      </c>
      <c r="F39" s="30">
        <f>'9B Sem 1'!E15</f>
        <v>83</v>
      </c>
      <c r="G39" s="30">
        <f>'9B Sem 1'!F15</f>
        <v>70</v>
      </c>
      <c r="H39" s="30">
        <f>'9B Sem 1'!G15</f>
        <v>67</v>
      </c>
      <c r="I39" s="30">
        <f>'9B Sem 1'!H15</f>
        <v>68</v>
      </c>
      <c r="J39" s="30">
        <f>'9B Sem 1'!I15</f>
        <v>54</v>
      </c>
      <c r="K39" s="30">
        <f>'9B Sem 1'!J15</f>
        <v>65</v>
      </c>
      <c r="L39" s="30">
        <f>'9B Sem 1'!K15</f>
        <v>65</v>
      </c>
      <c r="M39" s="30">
        <f>'9B Sem 1'!L15</f>
        <v>84</v>
      </c>
      <c r="N39" s="30">
        <f>'9B Sem 1'!M15</f>
        <v>76</v>
      </c>
      <c r="O39" s="30">
        <f>'9B Sem 1'!N15</f>
        <v>87</v>
      </c>
      <c r="P39" s="30">
        <f>'9B Sem 1'!O15</f>
        <v>91</v>
      </c>
      <c r="Q39" s="30">
        <f>'9B Sem 1'!P15</f>
        <v>810</v>
      </c>
      <c r="R39" s="30">
        <f>'9B Sem 1'!Q15</f>
        <v>73.63636363636364</v>
      </c>
      <c r="S39" s="30">
        <f>'9B Sem 1'!R15</f>
        <v>32</v>
      </c>
      <c r="T39" s="45">
        <f>'9B Sem 1'!S15</f>
        <v>0</v>
      </c>
      <c r="U39" s="45">
        <f>'9B Sem 1'!T15</f>
        <v>0</v>
      </c>
    </row>
    <row r="40" spans="1:21" ht="18.95" customHeight="1" x14ac:dyDescent="0.25">
      <c r="A40" s="292"/>
      <c r="B40" s="293"/>
      <c r="C40" s="294">
        <v>14</v>
      </c>
      <c r="D40" s="294" t="s">
        <v>23</v>
      </c>
      <c r="E40" s="84" t="s">
        <v>22</v>
      </c>
      <c r="F40" s="30">
        <f>'9B Sem 2'!E15</f>
        <v>85</v>
      </c>
      <c r="G40" s="30">
        <f>'9B Sem 2'!F15</f>
        <v>73</v>
      </c>
      <c r="H40" s="30">
        <f>'9B Sem 2'!G15</f>
        <v>80</v>
      </c>
      <c r="I40" s="30">
        <f>'9B Sem 2'!H15</f>
        <v>71</v>
      </c>
      <c r="J40" s="30">
        <f>'9B Sem 2'!I15</f>
        <v>72</v>
      </c>
      <c r="K40" s="30">
        <f>'9B Sem 2'!J15</f>
        <v>79</v>
      </c>
      <c r="L40" s="30">
        <f>'9B Sem 2'!K15</f>
        <v>66</v>
      </c>
      <c r="M40" s="30">
        <f>'9B Sem 2'!L15</f>
        <v>78</v>
      </c>
      <c r="N40" s="30">
        <f>'9B Sem 2'!M15</f>
        <v>81</v>
      </c>
      <c r="O40" s="30">
        <f>'9B Sem 2'!N15</f>
        <v>83</v>
      </c>
      <c r="P40" s="30">
        <f>'9B Sem 2'!O15</f>
        <v>93</v>
      </c>
      <c r="Q40" s="30">
        <f>'9B Sem 2'!P15</f>
        <v>861</v>
      </c>
      <c r="R40" s="30">
        <f>'9B Sem 2'!Q15</f>
        <v>78.272727272727266</v>
      </c>
      <c r="S40" s="30">
        <f>'9B Sem 2'!R15</f>
        <v>26</v>
      </c>
      <c r="T40" s="45">
        <f>'9B Sem 2'!S15</f>
        <v>0</v>
      </c>
      <c r="U40" s="45">
        <f>'9B Sem 2'!T15</f>
        <v>0</v>
      </c>
    </row>
    <row r="41" spans="1:21" ht="18.95" customHeight="1" x14ac:dyDescent="0.25">
      <c r="A41" s="292"/>
      <c r="B41" s="293"/>
      <c r="C41" s="294">
        <v>14</v>
      </c>
      <c r="D41" s="294" t="s">
        <v>23</v>
      </c>
      <c r="E41" s="84" t="s">
        <v>16</v>
      </c>
      <c r="F41" s="30">
        <f>AVERAGE(F39:F40)</f>
        <v>84</v>
      </c>
      <c r="G41" s="30">
        <f t="shared" ref="G41:U41" si="11">AVERAGE(G39:G40)</f>
        <v>71.5</v>
      </c>
      <c r="H41" s="30">
        <f t="shared" si="11"/>
        <v>73.5</v>
      </c>
      <c r="I41" s="30">
        <f t="shared" si="11"/>
        <v>69.5</v>
      </c>
      <c r="J41" s="30">
        <f t="shared" si="11"/>
        <v>63</v>
      </c>
      <c r="K41" s="30">
        <f t="shared" si="11"/>
        <v>72</v>
      </c>
      <c r="L41" s="30">
        <f t="shared" si="11"/>
        <v>65.5</v>
      </c>
      <c r="M41" s="30">
        <f t="shared" si="11"/>
        <v>81</v>
      </c>
      <c r="N41" s="30">
        <f t="shared" si="11"/>
        <v>78.5</v>
      </c>
      <c r="O41" s="30">
        <f t="shared" si="11"/>
        <v>85</v>
      </c>
      <c r="P41" s="30">
        <f t="shared" si="11"/>
        <v>92</v>
      </c>
      <c r="Q41" s="30">
        <f t="shared" si="11"/>
        <v>835.5</v>
      </c>
      <c r="R41" s="30">
        <f t="shared" si="11"/>
        <v>75.954545454545453</v>
      </c>
      <c r="S41" s="30"/>
      <c r="T41" s="30">
        <f t="shared" si="11"/>
        <v>0</v>
      </c>
      <c r="U41" s="30">
        <f t="shared" si="11"/>
        <v>0</v>
      </c>
    </row>
    <row r="42" spans="1:21" ht="18.95" customHeight="1" x14ac:dyDescent="0.25">
      <c r="A42" s="292">
        <v>13</v>
      </c>
      <c r="B42" s="293"/>
      <c r="C42" s="294">
        <v>15</v>
      </c>
      <c r="D42" s="294" t="s">
        <v>20</v>
      </c>
      <c r="E42" s="84" t="s">
        <v>21</v>
      </c>
      <c r="F42" s="30">
        <f>'9B Sem 1'!E16</f>
        <v>84</v>
      </c>
      <c r="G42" s="30">
        <f>'9B Sem 1'!F16</f>
        <v>73</v>
      </c>
      <c r="H42" s="30">
        <f>'9B Sem 1'!G16</f>
        <v>52</v>
      </c>
      <c r="I42" s="30">
        <f>'9B Sem 1'!H16</f>
        <v>63</v>
      </c>
      <c r="J42" s="30">
        <f>'9B Sem 1'!I16</f>
        <v>56</v>
      </c>
      <c r="K42" s="30">
        <f>'9B Sem 1'!J16</f>
        <v>56</v>
      </c>
      <c r="L42" s="30">
        <f>'9B Sem 1'!K16</f>
        <v>57</v>
      </c>
      <c r="M42" s="30">
        <f>'9B Sem 1'!L16</f>
        <v>65</v>
      </c>
      <c r="N42" s="30">
        <f>'9B Sem 1'!M16</f>
        <v>68</v>
      </c>
      <c r="O42" s="30">
        <f>'9B Sem 1'!N16</f>
        <v>87</v>
      </c>
      <c r="P42" s="30">
        <f>'9B Sem 1'!O16</f>
        <v>87</v>
      </c>
      <c r="Q42" s="30">
        <f>'9B Sem 1'!P16</f>
        <v>748</v>
      </c>
      <c r="R42" s="30">
        <f>'9B Sem 1'!Q16</f>
        <v>68</v>
      </c>
      <c r="S42" s="30">
        <f>'9B Sem 1'!R16</f>
        <v>40</v>
      </c>
      <c r="T42" s="45">
        <f>'9B Sem 1'!S16</f>
        <v>0</v>
      </c>
      <c r="U42" s="45">
        <f>'9B Sem 1'!T16</f>
        <v>0</v>
      </c>
    </row>
    <row r="43" spans="1:21" ht="18.95" customHeight="1" x14ac:dyDescent="0.25">
      <c r="A43" s="292"/>
      <c r="B43" s="293"/>
      <c r="C43" s="294">
        <v>15</v>
      </c>
      <c r="D43" s="294" t="s">
        <v>20</v>
      </c>
      <c r="E43" s="84" t="s">
        <v>22</v>
      </c>
      <c r="F43" s="30">
        <f>'9B Sem 2'!E16</f>
        <v>86</v>
      </c>
      <c r="G43" s="30">
        <f>'9B Sem 2'!F16</f>
        <v>62</v>
      </c>
      <c r="H43" s="30">
        <f>'9B Sem 2'!G16</f>
        <v>60</v>
      </c>
      <c r="I43" s="30">
        <f>'9B Sem 2'!H16</f>
        <v>60</v>
      </c>
      <c r="J43" s="30">
        <f>'9B Sem 2'!I16</f>
        <v>61</v>
      </c>
      <c r="K43" s="30">
        <f>'9B Sem 2'!J16</f>
        <v>58</v>
      </c>
      <c r="L43" s="30">
        <f>'9B Sem 2'!K16</f>
        <v>67</v>
      </c>
      <c r="M43" s="30">
        <f>'9B Sem 2'!L16</f>
        <v>60</v>
      </c>
      <c r="N43" s="30">
        <f>'9B Sem 2'!M16</f>
        <v>77</v>
      </c>
      <c r="O43" s="30">
        <f>'9B Sem 2'!N16</f>
        <v>87</v>
      </c>
      <c r="P43" s="30">
        <f>'9B Sem 2'!O16</f>
        <v>97</v>
      </c>
      <c r="Q43" s="30">
        <f>'9B Sem 2'!P16</f>
        <v>775</v>
      </c>
      <c r="R43" s="30">
        <f>'9B Sem 2'!Q16</f>
        <v>70.454545454545453</v>
      </c>
      <c r="S43" s="30">
        <f>'9B Sem 2'!R16</f>
        <v>40</v>
      </c>
      <c r="T43" s="45">
        <f>'9B Sem 2'!S16</f>
        <v>0</v>
      </c>
      <c r="U43" s="45">
        <f>'9B Sem 2'!T16</f>
        <v>0</v>
      </c>
    </row>
    <row r="44" spans="1:21" ht="18.95" customHeight="1" x14ac:dyDescent="0.25">
      <c r="A44" s="292"/>
      <c r="B44" s="293"/>
      <c r="C44" s="294">
        <v>15</v>
      </c>
      <c r="D44" s="294" t="s">
        <v>20</v>
      </c>
      <c r="E44" s="84" t="s">
        <v>16</v>
      </c>
      <c r="F44" s="30">
        <f>AVERAGE(F42:F43)</f>
        <v>85</v>
      </c>
      <c r="G44" s="30">
        <f t="shared" ref="G44:U44" si="12">AVERAGE(G42:G43)</f>
        <v>67.5</v>
      </c>
      <c r="H44" s="30">
        <f t="shared" si="12"/>
        <v>56</v>
      </c>
      <c r="I44" s="30">
        <f t="shared" si="12"/>
        <v>61.5</v>
      </c>
      <c r="J44" s="30">
        <f t="shared" si="12"/>
        <v>58.5</v>
      </c>
      <c r="K44" s="30">
        <f t="shared" si="12"/>
        <v>57</v>
      </c>
      <c r="L44" s="30">
        <f t="shared" si="12"/>
        <v>62</v>
      </c>
      <c r="M44" s="30">
        <f t="shared" si="12"/>
        <v>62.5</v>
      </c>
      <c r="N44" s="30">
        <f t="shared" si="12"/>
        <v>72.5</v>
      </c>
      <c r="O44" s="30">
        <f t="shared" si="12"/>
        <v>87</v>
      </c>
      <c r="P44" s="30">
        <f t="shared" si="12"/>
        <v>92</v>
      </c>
      <c r="Q44" s="30">
        <f t="shared" si="12"/>
        <v>761.5</v>
      </c>
      <c r="R44" s="30">
        <f t="shared" si="12"/>
        <v>69.22727272727272</v>
      </c>
      <c r="S44" s="30"/>
      <c r="T44" s="30">
        <f t="shared" si="12"/>
        <v>0</v>
      </c>
      <c r="U44" s="30">
        <f t="shared" si="12"/>
        <v>0</v>
      </c>
    </row>
    <row r="45" spans="1:21" ht="18.95" customHeight="1" x14ac:dyDescent="0.25">
      <c r="A45" s="295">
        <v>14</v>
      </c>
      <c r="B45" s="293"/>
      <c r="C45" s="294">
        <v>14</v>
      </c>
      <c r="D45" s="294" t="s">
        <v>20</v>
      </c>
      <c r="E45" s="84" t="s">
        <v>21</v>
      </c>
      <c r="F45" s="30">
        <f>'9B Sem 1'!E17</f>
        <v>81</v>
      </c>
      <c r="G45" s="30">
        <f>'9B Sem 1'!F17</f>
        <v>87</v>
      </c>
      <c r="H45" s="30">
        <f>'9B Sem 1'!G17</f>
        <v>74</v>
      </c>
      <c r="I45" s="30">
        <f>'9B Sem 1'!H17</f>
        <v>73</v>
      </c>
      <c r="J45" s="30">
        <f>'9B Sem 1'!I17</f>
        <v>79</v>
      </c>
      <c r="K45" s="30">
        <f>'9B Sem 1'!J17</f>
        <v>83</v>
      </c>
      <c r="L45" s="30">
        <f>'9B Sem 1'!K17</f>
        <v>72</v>
      </c>
      <c r="M45" s="30">
        <f>'9B Sem 1'!L17</f>
        <v>81</v>
      </c>
      <c r="N45" s="30">
        <f>'9B Sem 1'!M17</f>
        <v>77</v>
      </c>
      <c r="O45" s="30">
        <f>'9B Sem 1'!N17</f>
        <v>85</v>
      </c>
      <c r="P45" s="30">
        <f>'9B Sem 1'!O17</f>
        <v>90</v>
      </c>
      <c r="Q45" s="30">
        <f>'9B Sem 1'!P17</f>
        <v>882</v>
      </c>
      <c r="R45" s="30">
        <f>'9B Sem 1'!Q17</f>
        <v>80.181818181818187</v>
      </c>
      <c r="S45" s="30">
        <f>'9B Sem 1'!R17</f>
        <v>18</v>
      </c>
      <c r="T45" s="45">
        <f>'9B Sem 1'!S17</f>
        <v>0</v>
      </c>
      <c r="U45" s="45">
        <f>'9B Sem 1'!T17</f>
        <v>0</v>
      </c>
    </row>
    <row r="46" spans="1:21" ht="18.95" customHeight="1" x14ac:dyDescent="0.25">
      <c r="A46" s="295"/>
      <c r="B46" s="293"/>
      <c r="C46" s="294">
        <v>14</v>
      </c>
      <c r="D46" s="294" t="s">
        <v>20</v>
      </c>
      <c r="E46" s="84" t="s">
        <v>22</v>
      </c>
      <c r="F46" s="30">
        <f>'9B Sem 2'!E17</f>
        <v>78</v>
      </c>
      <c r="G46" s="30">
        <f>'9B Sem 2'!F17</f>
        <v>90</v>
      </c>
      <c r="H46" s="30">
        <f>'9B Sem 2'!G17</f>
        <v>86</v>
      </c>
      <c r="I46" s="30">
        <f>'9B Sem 2'!H17</f>
        <v>72</v>
      </c>
      <c r="J46" s="30">
        <f>'9B Sem 2'!I17</f>
        <v>81</v>
      </c>
      <c r="K46" s="30">
        <f>'9B Sem 2'!J17</f>
        <v>86</v>
      </c>
      <c r="L46" s="30">
        <f>'9B Sem 2'!K17</f>
        <v>73</v>
      </c>
      <c r="M46" s="30">
        <f>'9B Sem 2'!L17</f>
        <v>63</v>
      </c>
      <c r="N46" s="30">
        <f>'9B Sem 2'!M17</f>
        <v>88</v>
      </c>
      <c r="O46" s="30">
        <f>'9B Sem 2'!N17</f>
        <v>92</v>
      </c>
      <c r="P46" s="30">
        <f>'9B Sem 2'!O17</f>
        <v>94</v>
      </c>
      <c r="Q46" s="30">
        <f>'9B Sem 2'!P17</f>
        <v>903</v>
      </c>
      <c r="R46" s="30">
        <f>'9B Sem 2'!Q17</f>
        <v>82.090909090909093</v>
      </c>
      <c r="S46" s="30">
        <f>'9B Sem 2'!R17</f>
        <v>18</v>
      </c>
      <c r="T46" s="45">
        <f>'9B Sem 2'!S17</f>
        <v>0</v>
      </c>
      <c r="U46" s="45">
        <f>'9B Sem 2'!T17</f>
        <v>0</v>
      </c>
    </row>
    <row r="47" spans="1:21" ht="18.95" customHeight="1" x14ac:dyDescent="0.25">
      <c r="A47" s="295"/>
      <c r="B47" s="293"/>
      <c r="C47" s="294">
        <v>14</v>
      </c>
      <c r="D47" s="294" t="s">
        <v>20</v>
      </c>
      <c r="E47" s="84" t="s">
        <v>16</v>
      </c>
      <c r="F47" s="30">
        <f>AVERAGE(F45:F46)</f>
        <v>79.5</v>
      </c>
      <c r="G47" s="30">
        <f t="shared" ref="G47:U47" si="13">AVERAGE(G45:G46)</f>
        <v>88.5</v>
      </c>
      <c r="H47" s="30">
        <f t="shared" si="13"/>
        <v>80</v>
      </c>
      <c r="I47" s="30">
        <f t="shared" si="13"/>
        <v>72.5</v>
      </c>
      <c r="J47" s="30">
        <f t="shared" si="13"/>
        <v>80</v>
      </c>
      <c r="K47" s="30">
        <f t="shared" si="13"/>
        <v>84.5</v>
      </c>
      <c r="L47" s="30">
        <f t="shared" si="13"/>
        <v>72.5</v>
      </c>
      <c r="M47" s="30">
        <f t="shared" si="13"/>
        <v>72</v>
      </c>
      <c r="N47" s="30">
        <f t="shared" si="13"/>
        <v>82.5</v>
      </c>
      <c r="O47" s="30">
        <f t="shared" si="13"/>
        <v>88.5</v>
      </c>
      <c r="P47" s="30">
        <f t="shared" si="13"/>
        <v>92</v>
      </c>
      <c r="Q47" s="30">
        <f t="shared" si="13"/>
        <v>892.5</v>
      </c>
      <c r="R47" s="30">
        <f t="shared" si="13"/>
        <v>81.13636363636364</v>
      </c>
      <c r="S47" s="30"/>
      <c r="T47" s="30">
        <f t="shared" si="13"/>
        <v>0</v>
      </c>
      <c r="U47" s="30">
        <f t="shared" si="13"/>
        <v>0</v>
      </c>
    </row>
    <row r="48" spans="1:21" ht="18.95" customHeight="1" x14ac:dyDescent="0.25">
      <c r="A48" s="292">
        <v>15</v>
      </c>
      <c r="B48" s="293"/>
      <c r="C48" s="293">
        <v>15</v>
      </c>
      <c r="D48" s="293" t="s">
        <v>23</v>
      </c>
      <c r="E48" s="84" t="s">
        <v>21</v>
      </c>
      <c r="F48" s="30">
        <f>'9B Sem 1'!E18</f>
        <v>90</v>
      </c>
      <c r="G48" s="30">
        <f>'9B Sem 1'!F18</f>
        <v>76</v>
      </c>
      <c r="H48" s="31">
        <f>'9B Sem 1'!G18</f>
        <v>84</v>
      </c>
      <c r="I48" s="30">
        <f>'9B Sem 1'!H18</f>
        <v>79</v>
      </c>
      <c r="J48" s="30">
        <f>'9B Sem 1'!I18</f>
        <v>75</v>
      </c>
      <c r="K48" s="30">
        <f>'9B Sem 1'!J18</f>
        <v>77</v>
      </c>
      <c r="L48" s="30">
        <f>'9B Sem 1'!K18</f>
        <v>80</v>
      </c>
      <c r="M48" s="30">
        <f>'9B Sem 1'!L18</f>
        <v>89</v>
      </c>
      <c r="N48" s="30">
        <f>'9B Sem 1'!M18</f>
        <v>80</v>
      </c>
      <c r="O48" s="30">
        <f>'9B Sem 1'!N18</f>
        <v>95</v>
      </c>
      <c r="P48" s="30">
        <f>'9B Sem 1'!O18</f>
        <v>88</v>
      </c>
      <c r="Q48" s="30">
        <f>'9B Sem 1'!P18</f>
        <v>913</v>
      </c>
      <c r="R48" s="30">
        <f>'9B Sem 1'!Q18</f>
        <v>83</v>
      </c>
      <c r="S48" s="30">
        <f>'9B Sem 1'!R18</f>
        <v>13</v>
      </c>
      <c r="T48" s="45">
        <f>'9B Sem 1'!S18</f>
        <v>0</v>
      </c>
      <c r="U48" s="45">
        <f>'9B Sem 1'!T18</f>
        <v>0</v>
      </c>
    </row>
    <row r="49" spans="1:26" ht="18.95" customHeight="1" x14ac:dyDescent="0.25">
      <c r="A49" s="292"/>
      <c r="B49" s="293"/>
      <c r="C49" s="293">
        <v>15</v>
      </c>
      <c r="D49" s="293" t="s">
        <v>23</v>
      </c>
      <c r="E49" s="84" t="s">
        <v>22</v>
      </c>
      <c r="F49" s="30">
        <f>'9B Sem 2'!E18</f>
        <v>89</v>
      </c>
      <c r="G49" s="30">
        <f>'9B Sem 2'!F18</f>
        <v>74</v>
      </c>
      <c r="H49" s="31">
        <f>'9B Sem 2'!G18</f>
        <v>86</v>
      </c>
      <c r="I49" s="30">
        <f>'9B Sem 2'!H18</f>
        <v>81</v>
      </c>
      <c r="J49" s="30">
        <f>'9B Sem 2'!I18</f>
        <v>77</v>
      </c>
      <c r="K49" s="30">
        <f>'9B Sem 2'!J18</f>
        <v>86</v>
      </c>
      <c r="L49" s="30">
        <f>'9B Sem 2'!K18</f>
        <v>76</v>
      </c>
      <c r="M49" s="30">
        <f>'9B Sem 2'!L18</f>
        <v>88</v>
      </c>
      <c r="N49" s="30">
        <f>'9B Sem 2'!M18</f>
        <v>86</v>
      </c>
      <c r="O49" s="30">
        <f>'9B Sem 2'!N18</f>
        <v>94</v>
      </c>
      <c r="P49" s="30">
        <f>'9B Sem 2'!O18</f>
        <v>94</v>
      </c>
      <c r="Q49" s="30">
        <f>'9B Sem 2'!P18</f>
        <v>931</v>
      </c>
      <c r="R49" s="30">
        <f>'9B Sem 2'!Q18</f>
        <v>84.63636363636364</v>
      </c>
      <c r="S49" s="30">
        <f>'9B Sem 2'!R18</f>
        <v>12</v>
      </c>
      <c r="T49" s="45">
        <f>'9B Sem 2'!S18</f>
        <v>0</v>
      </c>
      <c r="U49" s="45">
        <f>'9B Sem 2'!T18</f>
        <v>0</v>
      </c>
      <c r="V49" s="6"/>
      <c r="W49" s="6"/>
      <c r="X49" s="6"/>
      <c r="Y49" s="6"/>
      <c r="Z49" s="6"/>
    </row>
    <row r="50" spans="1:26" ht="18.95" customHeight="1" x14ac:dyDescent="0.25">
      <c r="A50" s="292"/>
      <c r="B50" s="293"/>
      <c r="C50" s="293">
        <v>15</v>
      </c>
      <c r="D50" s="293" t="s">
        <v>23</v>
      </c>
      <c r="E50" s="84" t="s">
        <v>16</v>
      </c>
      <c r="F50" s="30">
        <f>AVERAGE(F48:F49)</f>
        <v>89.5</v>
      </c>
      <c r="G50" s="30">
        <f t="shared" ref="G50:U50" si="14">AVERAGE(G48:G49)</f>
        <v>75</v>
      </c>
      <c r="H50" s="30">
        <f t="shared" si="14"/>
        <v>85</v>
      </c>
      <c r="I50" s="30">
        <f t="shared" si="14"/>
        <v>80</v>
      </c>
      <c r="J50" s="30">
        <f t="shared" si="14"/>
        <v>76</v>
      </c>
      <c r="K50" s="30">
        <f t="shared" si="14"/>
        <v>81.5</v>
      </c>
      <c r="L50" s="30">
        <f t="shared" si="14"/>
        <v>78</v>
      </c>
      <c r="M50" s="30">
        <f t="shared" si="14"/>
        <v>88.5</v>
      </c>
      <c r="N50" s="30">
        <f t="shared" si="14"/>
        <v>83</v>
      </c>
      <c r="O50" s="30">
        <f t="shared" si="14"/>
        <v>94.5</v>
      </c>
      <c r="P50" s="30">
        <f t="shared" si="14"/>
        <v>91</v>
      </c>
      <c r="Q50" s="30">
        <f t="shared" si="14"/>
        <v>922</v>
      </c>
      <c r="R50" s="30">
        <f t="shared" si="14"/>
        <v>83.818181818181813</v>
      </c>
      <c r="S50" s="30"/>
      <c r="T50" s="30">
        <f t="shared" si="14"/>
        <v>0</v>
      </c>
      <c r="U50" s="30">
        <f t="shared" si="14"/>
        <v>0</v>
      </c>
      <c r="V50" s="6"/>
      <c r="W50" s="6"/>
      <c r="X50" s="6"/>
      <c r="Y50" s="6"/>
      <c r="Z50" s="6"/>
    </row>
    <row r="51" spans="1:26" ht="18.95" customHeight="1" x14ac:dyDescent="0.25">
      <c r="A51" s="295">
        <v>16</v>
      </c>
      <c r="B51" s="293"/>
      <c r="C51" s="294">
        <v>15</v>
      </c>
      <c r="D51" s="294" t="s">
        <v>23</v>
      </c>
      <c r="E51" s="84" t="s">
        <v>21</v>
      </c>
      <c r="F51" s="30">
        <f>'9B Sem 1'!E19</f>
        <v>83</v>
      </c>
      <c r="G51" s="30">
        <f>'9B Sem 1'!F19</f>
        <v>64</v>
      </c>
      <c r="H51" s="30">
        <f>'9B Sem 1'!G19</f>
        <v>68</v>
      </c>
      <c r="I51" s="30">
        <f>'9B Sem 1'!H19</f>
        <v>64</v>
      </c>
      <c r="J51" s="30">
        <f>'9B Sem 1'!I19</f>
        <v>60</v>
      </c>
      <c r="K51" s="30">
        <f>'9B Sem 1'!J19</f>
        <v>60</v>
      </c>
      <c r="L51" s="30">
        <f>'9B Sem 1'!K19</f>
        <v>60</v>
      </c>
      <c r="M51" s="30">
        <f>'9B Sem 1'!L19</f>
        <v>79</v>
      </c>
      <c r="N51" s="30">
        <f>'9B Sem 1'!M19</f>
        <v>69</v>
      </c>
      <c r="O51" s="30">
        <f>'9B Sem 1'!N19</f>
        <v>79</v>
      </c>
      <c r="P51" s="30">
        <f>'9B Sem 1'!O19</f>
        <v>86</v>
      </c>
      <c r="Q51" s="30">
        <f>'9B Sem 1'!P19</f>
        <v>772</v>
      </c>
      <c r="R51" s="30">
        <f>'9B Sem 1'!Q19</f>
        <v>70.181818181818187</v>
      </c>
      <c r="S51" s="30">
        <f>'9B Sem 1'!R19</f>
        <v>36</v>
      </c>
      <c r="T51" s="45">
        <f>'9B Sem 1'!S19</f>
        <v>0</v>
      </c>
      <c r="U51" s="45">
        <f>'9B Sem 1'!T19</f>
        <v>0</v>
      </c>
      <c r="V51" s="6"/>
      <c r="W51" s="6"/>
      <c r="X51" s="6"/>
      <c r="Y51" s="6"/>
      <c r="Z51" s="6"/>
    </row>
    <row r="52" spans="1:26" ht="18.95" customHeight="1" x14ac:dyDescent="0.25">
      <c r="A52" s="295"/>
      <c r="B52" s="293"/>
      <c r="C52" s="294">
        <v>15</v>
      </c>
      <c r="D52" s="294" t="s">
        <v>23</v>
      </c>
      <c r="E52" s="84" t="s">
        <v>22</v>
      </c>
      <c r="F52" s="30">
        <f>'9B Sem 2'!E19</f>
        <v>87</v>
      </c>
      <c r="G52" s="30">
        <f>'9B Sem 2'!F19</f>
        <v>69</v>
      </c>
      <c r="H52" s="30">
        <f>'9B Sem 2'!G19</f>
        <v>76</v>
      </c>
      <c r="I52" s="30">
        <f>'9B Sem 2'!H19</f>
        <v>59</v>
      </c>
      <c r="J52" s="30">
        <f>'9B Sem 2'!I19</f>
        <v>65</v>
      </c>
      <c r="K52" s="30">
        <f>'9B Sem 2'!J19</f>
        <v>56</v>
      </c>
      <c r="L52" s="30">
        <f>'9B Sem 2'!K19</f>
        <v>65</v>
      </c>
      <c r="M52" s="30">
        <f>'9B Sem 2'!L19</f>
        <v>61</v>
      </c>
      <c r="N52" s="30">
        <f>'9B Sem 2'!M19</f>
        <v>76</v>
      </c>
      <c r="O52" s="30">
        <f>'9B Sem 2'!N19</f>
        <v>77</v>
      </c>
      <c r="P52" s="30">
        <f>'9B Sem 2'!O19</f>
        <v>87</v>
      </c>
      <c r="Q52" s="30">
        <f>'9B Sem 2'!P19</f>
        <v>778</v>
      </c>
      <c r="R52" s="30">
        <f>'9B Sem 2'!Q19</f>
        <v>70.727272727272734</v>
      </c>
      <c r="S52" s="30">
        <f>'9B Sem 2'!R19</f>
        <v>39</v>
      </c>
      <c r="T52" s="45">
        <f>'9B Sem 2'!S19</f>
        <v>0</v>
      </c>
      <c r="U52" s="45">
        <f>'9B Sem 2'!T19</f>
        <v>0</v>
      </c>
      <c r="V52" s="6"/>
      <c r="W52" s="6"/>
      <c r="X52" s="6"/>
      <c r="Y52" s="6"/>
      <c r="Z52" s="6"/>
    </row>
    <row r="53" spans="1:26" ht="18.95" customHeight="1" x14ac:dyDescent="0.25">
      <c r="A53" s="295"/>
      <c r="B53" s="293"/>
      <c r="C53" s="294">
        <v>15</v>
      </c>
      <c r="D53" s="294" t="s">
        <v>23</v>
      </c>
      <c r="E53" s="84" t="s">
        <v>16</v>
      </c>
      <c r="F53" s="30">
        <f>AVERAGE(F51:F52)</f>
        <v>85</v>
      </c>
      <c r="G53" s="30">
        <f t="shared" ref="G53:U53" si="15">AVERAGE(G51:G52)</f>
        <v>66.5</v>
      </c>
      <c r="H53" s="30">
        <f t="shared" si="15"/>
        <v>72</v>
      </c>
      <c r="I53" s="30">
        <f t="shared" si="15"/>
        <v>61.5</v>
      </c>
      <c r="J53" s="30">
        <f t="shared" si="15"/>
        <v>62.5</v>
      </c>
      <c r="K53" s="30">
        <f t="shared" si="15"/>
        <v>58</v>
      </c>
      <c r="L53" s="30">
        <f t="shared" si="15"/>
        <v>62.5</v>
      </c>
      <c r="M53" s="30">
        <f t="shared" si="15"/>
        <v>70</v>
      </c>
      <c r="N53" s="30">
        <f t="shared" si="15"/>
        <v>72.5</v>
      </c>
      <c r="O53" s="30">
        <f t="shared" si="15"/>
        <v>78</v>
      </c>
      <c r="P53" s="30">
        <f t="shared" si="15"/>
        <v>86.5</v>
      </c>
      <c r="Q53" s="30">
        <f t="shared" si="15"/>
        <v>775</v>
      </c>
      <c r="R53" s="30">
        <f t="shared" si="15"/>
        <v>70.454545454545467</v>
      </c>
      <c r="S53" s="30"/>
      <c r="T53" s="30">
        <f t="shared" si="15"/>
        <v>0</v>
      </c>
      <c r="U53" s="30">
        <f t="shared" si="15"/>
        <v>0</v>
      </c>
      <c r="V53" s="6"/>
      <c r="W53" s="6"/>
      <c r="X53" s="6"/>
      <c r="Y53" s="6"/>
      <c r="Z53" s="6"/>
    </row>
    <row r="54" spans="1:26" ht="18.95" customHeight="1" x14ac:dyDescent="0.25">
      <c r="A54" s="295">
        <v>17</v>
      </c>
      <c r="B54" s="293"/>
      <c r="C54" s="293">
        <v>15</v>
      </c>
      <c r="D54" s="293" t="s">
        <v>20</v>
      </c>
      <c r="E54" s="84" t="s">
        <v>21</v>
      </c>
      <c r="F54" s="30">
        <f>'9B Sem 1'!E20</f>
        <v>76</v>
      </c>
      <c r="G54" s="30">
        <f>'9B Sem 1'!F20</f>
        <v>71</v>
      </c>
      <c r="H54" s="30">
        <f>'9B Sem 1'!G20</f>
        <v>60</v>
      </c>
      <c r="I54" s="30">
        <f>'9B Sem 1'!H20</f>
        <v>57</v>
      </c>
      <c r="J54" s="30">
        <f>'9B Sem 1'!I20</f>
        <v>65</v>
      </c>
      <c r="K54" s="30">
        <f>'9B Sem 1'!J20</f>
        <v>58</v>
      </c>
      <c r="L54" s="30">
        <f>'9B Sem 1'!K20</f>
        <v>69</v>
      </c>
      <c r="M54" s="30">
        <f>'9B Sem 1'!L20</f>
        <v>76</v>
      </c>
      <c r="N54" s="30">
        <f>'9B Sem 1'!M20</f>
        <v>72</v>
      </c>
      <c r="O54" s="30">
        <f>'9B Sem 1'!N20</f>
        <v>87</v>
      </c>
      <c r="P54" s="30">
        <f>'9B Sem 1'!O20</f>
        <v>86</v>
      </c>
      <c r="Q54" s="30">
        <f>'9B Sem 1'!P20</f>
        <v>777</v>
      </c>
      <c r="R54" s="30">
        <f>'9B Sem 1'!Q20</f>
        <v>70.63636363636364</v>
      </c>
      <c r="S54" s="30">
        <f>'9B Sem 1'!R20</f>
        <v>34</v>
      </c>
      <c r="T54" s="45">
        <f>'9B Sem 1'!S20</f>
        <v>0</v>
      </c>
      <c r="U54" s="45">
        <f>'9B Sem 1'!T20</f>
        <v>0</v>
      </c>
      <c r="V54" s="6"/>
      <c r="W54" s="6"/>
      <c r="X54" s="6"/>
      <c r="Y54" s="6"/>
      <c r="Z54" s="6"/>
    </row>
    <row r="55" spans="1:26" ht="18.95" customHeight="1" x14ac:dyDescent="0.25">
      <c r="A55" s="295"/>
      <c r="B55" s="293"/>
      <c r="C55" s="293">
        <v>15</v>
      </c>
      <c r="D55" s="293" t="s">
        <v>20</v>
      </c>
      <c r="E55" s="84" t="s">
        <v>22</v>
      </c>
      <c r="F55" s="30">
        <f>'9B Sem 2'!E20</f>
        <v>79</v>
      </c>
      <c r="G55" s="30">
        <f>'9B Sem 2'!F20</f>
        <v>80</v>
      </c>
      <c r="H55" s="30">
        <f>'9B Sem 2'!G20</f>
        <v>81</v>
      </c>
      <c r="I55" s="30">
        <f>'9B Sem 2'!H20</f>
        <v>65</v>
      </c>
      <c r="J55" s="30">
        <f>'9B Sem 2'!I20</f>
        <v>74</v>
      </c>
      <c r="K55" s="30">
        <f>'9B Sem 2'!J20</f>
        <v>78</v>
      </c>
      <c r="L55" s="30">
        <f>'9B Sem 2'!K20</f>
        <v>73</v>
      </c>
      <c r="M55" s="30">
        <f>'9B Sem 2'!L20</f>
        <v>79</v>
      </c>
      <c r="N55" s="30">
        <f>'9B Sem 2'!M20</f>
        <v>89</v>
      </c>
      <c r="O55" s="30">
        <f>'9B Sem 2'!N20</f>
        <v>96</v>
      </c>
      <c r="P55" s="30">
        <f>'9B Sem 2'!O20</f>
        <v>97</v>
      </c>
      <c r="Q55" s="30">
        <f>'9B Sem 2'!P20</f>
        <v>891</v>
      </c>
      <c r="R55" s="30">
        <f>'9B Sem 2'!Q20</f>
        <v>81</v>
      </c>
      <c r="S55" s="30">
        <f>'9B Sem 2'!R20</f>
        <v>20</v>
      </c>
      <c r="T55" s="45">
        <f>'9B Sem 2'!S20</f>
        <v>0</v>
      </c>
      <c r="U55" s="45">
        <f>'9B Sem 2'!T20</f>
        <v>0</v>
      </c>
      <c r="V55" s="6"/>
      <c r="W55" s="6"/>
      <c r="X55" s="6"/>
      <c r="Y55" s="6"/>
      <c r="Z55" s="6"/>
    </row>
    <row r="56" spans="1:26" ht="18.95" customHeight="1" x14ac:dyDescent="0.25">
      <c r="A56" s="295"/>
      <c r="B56" s="293"/>
      <c r="C56" s="293">
        <v>15</v>
      </c>
      <c r="D56" s="293" t="s">
        <v>20</v>
      </c>
      <c r="E56" s="84" t="s">
        <v>16</v>
      </c>
      <c r="F56" s="30">
        <f>AVERAGE(F54:F55)</f>
        <v>77.5</v>
      </c>
      <c r="G56" s="30">
        <f t="shared" ref="G56:U56" si="16">AVERAGE(G54:G55)</f>
        <v>75.5</v>
      </c>
      <c r="H56" s="30">
        <f t="shared" si="16"/>
        <v>70.5</v>
      </c>
      <c r="I56" s="30">
        <f t="shared" si="16"/>
        <v>61</v>
      </c>
      <c r="J56" s="30">
        <f t="shared" si="16"/>
        <v>69.5</v>
      </c>
      <c r="K56" s="30">
        <f t="shared" si="16"/>
        <v>68</v>
      </c>
      <c r="L56" s="30">
        <f t="shared" si="16"/>
        <v>71</v>
      </c>
      <c r="M56" s="30">
        <f t="shared" si="16"/>
        <v>77.5</v>
      </c>
      <c r="N56" s="30">
        <f t="shared" si="16"/>
        <v>80.5</v>
      </c>
      <c r="O56" s="30">
        <f t="shared" si="16"/>
        <v>91.5</v>
      </c>
      <c r="P56" s="30">
        <f t="shared" si="16"/>
        <v>91.5</v>
      </c>
      <c r="Q56" s="30">
        <f t="shared" si="16"/>
        <v>834</v>
      </c>
      <c r="R56" s="30">
        <f t="shared" si="16"/>
        <v>75.818181818181813</v>
      </c>
      <c r="S56" s="30"/>
      <c r="T56" s="30">
        <f t="shared" si="16"/>
        <v>0</v>
      </c>
      <c r="U56" s="30">
        <f t="shared" si="16"/>
        <v>0</v>
      </c>
      <c r="V56" s="6"/>
      <c r="W56" s="6"/>
      <c r="X56" s="6"/>
      <c r="Y56" s="6"/>
      <c r="Z56" s="6"/>
    </row>
    <row r="57" spans="1:26" ht="18.95" customHeight="1" x14ac:dyDescent="0.25">
      <c r="A57" s="295">
        <v>18</v>
      </c>
      <c r="B57" s="293"/>
      <c r="C57" s="294">
        <v>15</v>
      </c>
      <c r="D57" s="294" t="s">
        <v>23</v>
      </c>
      <c r="E57" s="84" t="s">
        <v>21</v>
      </c>
      <c r="F57" s="30">
        <f>'9B Sem 1'!E21</f>
        <v>86</v>
      </c>
      <c r="G57" s="30">
        <f>'9B Sem 1'!F21</f>
        <v>85</v>
      </c>
      <c r="H57" s="31">
        <f>'9B Sem 1'!G21</f>
        <v>94</v>
      </c>
      <c r="I57" s="30">
        <f>'9B Sem 1'!H21</f>
        <v>85</v>
      </c>
      <c r="J57" s="30">
        <f>'9B Sem 1'!I21</f>
        <v>83</v>
      </c>
      <c r="K57" s="30">
        <f>'9B Sem 1'!J21</f>
        <v>91</v>
      </c>
      <c r="L57" s="30">
        <f>'9B Sem 1'!K21</f>
        <v>90</v>
      </c>
      <c r="M57" s="30">
        <f>'9B Sem 1'!L21</f>
        <v>97</v>
      </c>
      <c r="N57" s="30">
        <f>'9B Sem 1'!M21</f>
        <v>91</v>
      </c>
      <c r="O57" s="30">
        <f>'9B Sem 1'!N21</f>
        <v>100</v>
      </c>
      <c r="P57" s="30">
        <f>'9B Sem 1'!O21</f>
        <v>82</v>
      </c>
      <c r="Q57" s="30">
        <f>'9B Sem 1'!P21</f>
        <v>984</v>
      </c>
      <c r="R57" s="30">
        <f>'9B Sem 1'!Q21</f>
        <v>89.454545454545453</v>
      </c>
      <c r="S57" s="30">
        <f>'9B Sem 1'!R21</f>
        <v>7</v>
      </c>
      <c r="T57" s="45">
        <f>'9B Sem 1'!S21</f>
        <v>0</v>
      </c>
      <c r="U57" s="45">
        <f>'9B Sem 1'!T21</f>
        <v>0</v>
      </c>
      <c r="V57" s="6"/>
      <c r="W57" s="6"/>
      <c r="X57" s="6"/>
      <c r="Y57" s="6"/>
      <c r="Z57" s="6"/>
    </row>
    <row r="58" spans="1:26" ht="18.95" customHeight="1" x14ac:dyDescent="0.25">
      <c r="A58" s="295"/>
      <c r="B58" s="293"/>
      <c r="C58" s="294">
        <v>15</v>
      </c>
      <c r="D58" s="294" t="s">
        <v>23</v>
      </c>
      <c r="E58" s="84" t="s">
        <v>22</v>
      </c>
      <c r="F58" s="30">
        <f>'9B Sem 2'!E21</f>
        <v>89</v>
      </c>
      <c r="G58" s="30">
        <f>'9B Sem 2'!F21</f>
        <v>90</v>
      </c>
      <c r="H58" s="31">
        <f>'9B Sem 2'!G21</f>
        <v>91</v>
      </c>
      <c r="I58" s="30">
        <f>'9B Sem 2'!H21</f>
        <v>91</v>
      </c>
      <c r="J58" s="30">
        <f>'9B Sem 2'!I21</f>
        <v>88</v>
      </c>
      <c r="K58" s="30">
        <f>'9B Sem 2'!J21</f>
        <v>97</v>
      </c>
      <c r="L58" s="30">
        <f>'9B Sem 2'!K21</f>
        <v>90</v>
      </c>
      <c r="M58" s="30">
        <f>'9B Sem 2'!L21</f>
        <v>96</v>
      </c>
      <c r="N58" s="30">
        <f>'9B Sem 2'!M21</f>
        <v>97</v>
      </c>
      <c r="O58" s="30">
        <f>'9B Sem 2'!N21</f>
        <v>99</v>
      </c>
      <c r="P58" s="30">
        <f>'9B Sem 2'!O21</f>
        <v>99</v>
      </c>
      <c r="Q58" s="30">
        <f>'9B Sem 2'!P21</f>
        <v>1027</v>
      </c>
      <c r="R58" s="30">
        <f>'9B Sem 2'!Q21</f>
        <v>93.36363636363636</v>
      </c>
      <c r="S58" s="30">
        <f>'9B Sem 2'!R21</f>
        <v>4</v>
      </c>
      <c r="T58" s="45">
        <f>'9B Sem 2'!S21</f>
        <v>0</v>
      </c>
      <c r="U58" s="45">
        <f>'9B Sem 2'!T21</f>
        <v>0</v>
      </c>
      <c r="V58" s="6"/>
      <c r="W58" s="6"/>
      <c r="X58" s="6"/>
      <c r="Y58" s="6"/>
      <c r="Z58" s="6"/>
    </row>
    <row r="59" spans="1:26" ht="18.95" customHeight="1" x14ac:dyDescent="0.25">
      <c r="A59" s="295"/>
      <c r="B59" s="293"/>
      <c r="C59" s="294">
        <v>15</v>
      </c>
      <c r="D59" s="294" t="s">
        <v>23</v>
      </c>
      <c r="E59" s="84" t="s">
        <v>16</v>
      </c>
      <c r="F59" s="30">
        <f>AVERAGE(F57:F58)</f>
        <v>87.5</v>
      </c>
      <c r="G59" s="30">
        <f t="shared" ref="G59:U59" si="17">AVERAGE(G57:G58)</f>
        <v>87.5</v>
      </c>
      <c r="H59" s="30">
        <f t="shared" si="17"/>
        <v>92.5</v>
      </c>
      <c r="I59" s="30">
        <f t="shared" si="17"/>
        <v>88</v>
      </c>
      <c r="J59" s="30">
        <f t="shared" si="17"/>
        <v>85.5</v>
      </c>
      <c r="K59" s="30">
        <f t="shared" si="17"/>
        <v>94</v>
      </c>
      <c r="L59" s="30">
        <f t="shared" si="17"/>
        <v>90</v>
      </c>
      <c r="M59" s="30">
        <f t="shared" si="17"/>
        <v>96.5</v>
      </c>
      <c r="N59" s="30">
        <f t="shared" si="17"/>
        <v>94</v>
      </c>
      <c r="O59" s="30">
        <f t="shared" si="17"/>
        <v>99.5</v>
      </c>
      <c r="P59" s="30">
        <f t="shared" si="17"/>
        <v>90.5</v>
      </c>
      <c r="Q59" s="30">
        <f t="shared" si="17"/>
        <v>1005.5</v>
      </c>
      <c r="R59" s="30">
        <f t="shared" si="17"/>
        <v>91.409090909090907</v>
      </c>
      <c r="S59" s="30"/>
      <c r="T59" s="30">
        <f t="shared" si="17"/>
        <v>0</v>
      </c>
      <c r="U59" s="30">
        <f t="shared" si="17"/>
        <v>0</v>
      </c>
      <c r="V59" s="6"/>
      <c r="W59" s="6"/>
      <c r="X59" s="6"/>
      <c r="Y59" s="6"/>
      <c r="Z59" s="6"/>
    </row>
    <row r="60" spans="1:26" ht="18.95" customHeight="1" x14ac:dyDescent="0.25">
      <c r="A60" s="292">
        <v>19</v>
      </c>
      <c r="B60" s="293"/>
      <c r="C60" s="293">
        <v>14</v>
      </c>
      <c r="D60" s="293" t="s">
        <v>20</v>
      </c>
      <c r="E60" s="84" t="s">
        <v>21</v>
      </c>
      <c r="F60" s="30">
        <f>'9B Sem 1'!E22</f>
        <v>89</v>
      </c>
      <c r="G60" s="30">
        <f>'9B Sem 1'!F22</f>
        <v>78</v>
      </c>
      <c r="H60" s="30">
        <f>'9B Sem 1'!G22</f>
        <v>62</v>
      </c>
      <c r="I60" s="30">
        <f>'9B Sem 1'!H22</f>
        <v>60</v>
      </c>
      <c r="J60" s="30">
        <f>'9B Sem 1'!I22</f>
        <v>63</v>
      </c>
      <c r="K60" s="30">
        <f>'9B Sem 1'!J22</f>
        <v>65</v>
      </c>
      <c r="L60" s="30">
        <f>'9B Sem 1'!K22</f>
        <v>58</v>
      </c>
      <c r="M60" s="30">
        <f>'9B Sem 1'!L22</f>
        <v>83</v>
      </c>
      <c r="N60" s="30">
        <f>'9B Sem 1'!M22</f>
        <v>86</v>
      </c>
      <c r="O60" s="30">
        <f>'9B Sem 1'!N22</f>
        <v>85</v>
      </c>
      <c r="P60" s="30">
        <f>'9B Sem 1'!O22</f>
        <v>88</v>
      </c>
      <c r="Q60" s="30">
        <f>'9B Sem 1'!P22</f>
        <v>817</v>
      </c>
      <c r="R60" s="30">
        <f>'9B Sem 1'!Q22</f>
        <v>74.272727272727266</v>
      </c>
      <c r="S60" s="30">
        <f>'9B Sem 1'!R22</f>
        <v>29</v>
      </c>
      <c r="T60" s="45">
        <f>'9B Sem 1'!S22</f>
        <v>0</v>
      </c>
      <c r="U60" s="45">
        <f>'9B Sem 1'!T22</f>
        <v>0</v>
      </c>
      <c r="V60" s="6"/>
      <c r="W60" s="6"/>
      <c r="X60" s="6"/>
      <c r="Y60" s="6"/>
      <c r="Z60" s="6"/>
    </row>
    <row r="61" spans="1:26" ht="18.95" customHeight="1" x14ac:dyDescent="0.25">
      <c r="A61" s="292"/>
      <c r="B61" s="293"/>
      <c r="C61" s="293">
        <v>14</v>
      </c>
      <c r="D61" s="293" t="s">
        <v>20</v>
      </c>
      <c r="E61" s="84" t="s">
        <v>22</v>
      </c>
      <c r="F61" s="30">
        <f>'9B Sem 2'!E22</f>
        <v>89</v>
      </c>
      <c r="G61" s="30">
        <f>'9B Sem 2'!F22</f>
        <v>84</v>
      </c>
      <c r="H61" s="30">
        <f>'9B Sem 2'!G22</f>
        <v>69</v>
      </c>
      <c r="I61" s="30">
        <f>'9B Sem 2'!H22</f>
        <v>63</v>
      </c>
      <c r="J61" s="30">
        <f>'9B Sem 2'!I22</f>
        <v>65</v>
      </c>
      <c r="K61" s="30">
        <f>'9B Sem 2'!J22</f>
        <v>68</v>
      </c>
      <c r="L61" s="30">
        <f>'9B Sem 2'!K22</f>
        <v>67</v>
      </c>
      <c r="M61" s="30">
        <f>'9B Sem 2'!L22</f>
        <v>77</v>
      </c>
      <c r="N61" s="30">
        <f>'9B Sem 2'!M22</f>
        <v>84</v>
      </c>
      <c r="O61" s="30">
        <f>'9B Sem 2'!N22</f>
        <v>83</v>
      </c>
      <c r="P61" s="30">
        <f>'9B Sem 2'!O22</f>
        <v>86</v>
      </c>
      <c r="Q61" s="30">
        <f>'9B Sem 2'!P22</f>
        <v>835</v>
      </c>
      <c r="R61" s="30">
        <f>'9B Sem 2'!Q22</f>
        <v>75.909090909090907</v>
      </c>
      <c r="S61" s="30">
        <f>'9B Sem 2'!R22</f>
        <v>32</v>
      </c>
      <c r="T61" s="45">
        <f>'9B Sem 2'!S22</f>
        <v>0</v>
      </c>
      <c r="U61" s="45">
        <f>'9B Sem 2'!T22</f>
        <v>0</v>
      </c>
      <c r="V61" s="6"/>
      <c r="W61" s="6"/>
      <c r="X61" s="6"/>
      <c r="Y61" s="6"/>
      <c r="Z61" s="6"/>
    </row>
    <row r="62" spans="1:26" ht="18.95" customHeight="1" x14ac:dyDescent="0.25">
      <c r="A62" s="292"/>
      <c r="B62" s="293"/>
      <c r="C62" s="293">
        <v>14</v>
      </c>
      <c r="D62" s="293" t="s">
        <v>20</v>
      </c>
      <c r="E62" s="84" t="s">
        <v>16</v>
      </c>
      <c r="F62" s="30">
        <f>AVERAGE(F60:F61)</f>
        <v>89</v>
      </c>
      <c r="G62" s="30">
        <f t="shared" ref="G62:U62" si="18">AVERAGE(G60:G61)</f>
        <v>81</v>
      </c>
      <c r="H62" s="30">
        <f t="shared" si="18"/>
        <v>65.5</v>
      </c>
      <c r="I62" s="30">
        <f t="shared" si="18"/>
        <v>61.5</v>
      </c>
      <c r="J62" s="30">
        <f t="shared" si="18"/>
        <v>64</v>
      </c>
      <c r="K62" s="30">
        <f t="shared" si="18"/>
        <v>66.5</v>
      </c>
      <c r="L62" s="30">
        <f t="shared" si="18"/>
        <v>62.5</v>
      </c>
      <c r="M62" s="30">
        <f t="shared" si="18"/>
        <v>80</v>
      </c>
      <c r="N62" s="30">
        <f t="shared" si="18"/>
        <v>85</v>
      </c>
      <c r="O62" s="30">
        <f t="shared" si="18"/>
        <v>84</v>
      </c>
      <c r="P62" s="30">
        <f t="shared" si="18"/>
        <v>87</v>
      </c>
      <c r="Q62" s="30">
        <f t="shared" si="18"/>
        <v>826</v>
      </c>
      <c r="R62" s="30">
        <f t="shared" si="18"/>
        <v>75.090909090909093</v>
      </c>
      <c r="S62" s="30"/>
      <c r="T62" s="30">
        <f t="shared" si="18"/>
        <v>0</v>
      </c>
      <c r="U62" s="30">
        <f t="shared" si="18"/>
        <v>0</v>
      </c>
      <c r="V62" s="6"/>
      <c r="W62" s="6"/>
      <c r="X62" s="6"/>
      <c r="Y62" s="6"/>
      <c r="Z62" s="6"/>
    </row>
    <row r="63" spans="1:26" ht="18.95" customHeight="1" x14ac:dyDescent="0.25">
      <c r="A63" s="292">
        <v>20</v>
      </c>
      <c r="B63" s="293"/>
      <c r="C63" s="293">
        <v>15</v>
      </c>
      <c r="D63" s="293" t="s">
        <v>23</v>
      </c>
      <c r="E63" s="84" t="s">
        <v>21</v>
      </c>
      <c r="F63" s="30">
        <f>'9B Sem 1'!E23</f>
        <v>60</v>
      </c>
      <c r="G63" s="30">
        <f>'9B Sem 1'!F23</f>
        <v>53</v>
      </c>
      <c r="H63" s="30">
        <f>'9B Sem 1'!G23</f>
        <v>48</v>
      </c>
      <c r="I63" s="30">
        <f>'9B Sem 1'!H23</f>
        <v>41</v>
      </c>
      <c r="J63" s="30">
        <f>'9B Sem 1'!I23</f>
        <v>60</v>
      </c>
      <c r="K63" s="30">
        <f>'9B Sem 1'!J23</f>
        <v>49</v>
      </c>
      <c r="L63" s="30">
        <f>'9B Sem 1'!K23</f>
        <v>45</v>
      </c>
      <c r="M63" s="30">
        <f>'9B Sem 1'!L23</f>
        <v>52</v>
      </c>
      <c r="N63" s="30">
        <f>'9B Sem 1'!M23</f>
        <v>55</v>
      </c>
      <c r="O63" s="30">
        <f>'9B Sem 1'!N23</f>
        <v>71</v>
      </c>
      <c r="P63" s="30">
        <f>'9B Sem 1'!O23</f>
        <v>79</v>
      </c>
      <c r="Q63" s="30">
        <f>'9B Sem 1'!P23</f>
        <v>613</v>
      </c>
      <c r="R63" s="30">
        <f>'9B Sem 1'!Q23</f>
        <v>55.727272727272727</v>
      </c>
      <c r="S63" s="30">
        <f>'9B Sem 1'!R23</f>
        <v>50</v>
      </c>
      <c r="T63" s="45">
        <f>'9B Sem 1'!S23</f>
        <v>0</v>
      </c>
      <c r="U63" s="45">
        <f>'9B Sem 1'!T23</f>
        <v>0</v>
      </c>
      <c r="V63" s="6"/>
      <c r="W63" s="6"/>
      <c r="X63" s="6"/>
      <c r="Y63" s="6"/>
      <c r="Z63" s="6"/>
    </row>
    <row r="64" spans="1:26" ht="18.95" customHeight="1" x14ac:dyDescent="0.25">
      <c r="A64" s="292"/>
      <c r="B64" s="293"/>
      <c r="C64" s="293">
        <v>15</v>
      </c>
      <c r="D64" s="293" t="s">
        <v>23</v>
      </c>
      <c r="E64" s="84" t="s">
        <v>22</v>
      </c>
      <c r="F64" s="30">
        <f>'9B Sem 2'!E23</f>
        <v>73</v>
      </c>
      <c r="G64" s="30">
        <f>'9B Sem 2'!F23</f>
        <v>55</v>
      </c>
      <c r="H64" s="30">
        <f>'9B Sem 2'!G23</f>
        <v>61</v>
      </c>
      <c r="I64" s="30">
        <f>'9B Sem 2'!H23</f>
        <v>44</v>
      </c>
      <c r="J64" s="30">
        <f>'9B Sem 2'!I23</f>
        <v>42</v>
      </c>
      <c r="K64" s="30">
        <f>'9B Sem 2'!J23</f>
        <v>48</v>
      </c>
      <c r="L64" s="30">
        <f>'9B Sem 2'!K23</f>
        <v>45</v>
      </c>
      <c r="M64" s="30">
        <f>'9B Sem 2'!L23</f>
        <v>50</v>
      </c>
      <c r="N64" s="30">
        <f>'9B Sem 2'!M23</f>
        <v>53</v>
      </c>
      <c r="O64" s="30">
        <f>'9B Sem 2'!N23</f>
        <v>76</v>
      </c>
      <c r="P64" s="30">
        <f>'9B Sem 2'!O23</f>
        <v>80</v>
      </c>
      <c r="Q64" s="30">
        <f>'9B Sem 2'!P23</f>
        <v>627</v>
      </c>
      <c r="R64" s="30">
        <f>'9B Sem 2'!Q23</f>
        <v>57</v>
      </c>
      <c r="S64" s="30">
        <f>'9B Sem 2'!R23</f>
        <v>49</v>
      </c>
      <c r="T64" s="45">
        <f>'9B Sem 2'!S23</f>
        <v>0</v>
      </c>
      <c r="U64" s="45">
        <f>'9B Sem 2'!T23</f>
        <v>0</v>
      </c>
      <c r="V64" s="6"/>
      <c r="W64" s="6"/>
      <c r="X64" s="6"/>
      <c r="Y64" s="6"/>
      <c r="Z64" s="6"/>
    </row>
    <row r="65" spans="1:26" ht="18.95" customHeight="1" x14ac:dyDescent="0.25">
      <c r="A65" s="292"/>
      <c r="B65" s="293"/>
      <c r="C65" s="293">
        <v>15</v>
      </c>
      <c r="D65" s="293" t="s">
        <v>23</v>
      </c>
      <c r="E65" s="84" t="s">
        <v>16</v>
      </c>
      <c r="F65" s="30">
        <f>AVERAGE(F63:F64)</f>
        <v>66.5</v>
      </c>
      <c r="G65" s="30">
        <f t="shared" ref="G65:U65" si="19">AVERAGE(G63:G64)</f>
        <v>54</v>
      </c>
      <c r="H65" s="30">
        <f t="shared" si="19"/>
        <v>54.5</v>
      </c>
      <c r="I65" s="30">
        <f t="shared" si="19"/>
        <v>42.5</v>
      </c>
      <c r="J65" s="30">
        <f t="shared" si="19"/>
        <v>51</v>
      </c>
      <c r="K65" s="30">
        <f t="shared" si="19"/>
        <v>48.5</v>
      </c>
      <c r="L65" s="30">
        <f t="shared" si="19"/>
        <v>45</v>
      </c>
      <c r="M65" s="30">
        <f t="shared" si="19"/>
        <v>51</v>
      </c>
      <c r="N65" s="30">
        <f t="shared" si="19"/>
        <v>54</v>
      </c>
      <c r="O65" s="30">
        <f t="shared" si="19"/>
        <v>73.5</v>
      </c>
      <c r="P65" s="30">
        <f t="shared" si="19"/>
        <v>79.5</v>
      </c>
      <c r="Q65" s="30">
        <f t="shared" si="19"/>
        <v>620</v>
      </c>
      <c r="R65" s="30">
        <f t="shared" si="19"/>
        <v>56.36363636363636</v>
      </c>
      <c r="S65" s="30"/>
      <c r="T65" s="30">
        <f t="shared" si="19"/>
        <v>0</v>
      </c>
      <c r="U65" s="30">
        <f t="shared" si="19"/>
        <v>0</v>
      </c>
      <c r="V65" s="6"/>
      <c r="W65" s="6"/>
      <c r="X65" s="6"/>
      <c r="Y65" s="6"/>
      <c r="Z65" s="6"/>
    </row>
    <row r="66" spans="1:26" ht="18.95" customHeight="1" x14ac:dyDescent="0.25">
      <c r="A66" s="292">
        <v>21</v>
      </c>
      <c r="B66" s="293"/>
      <c r="C66" s="294">
        <v>15</v>
      </c>
      <c r="D66" s="294" t="s">
        <v>23</v>
      </c>
      <c r="E66" s="84" t="s">
        <v>21</v>
      </c>
      <c r="F66" s="30">
        <f>'9B Sem 1'!E24</f>
        <v>84</v>
      </c>
      <c r="G66" s="30">
        <f>'9B Sem 1'!F24</f>
        <v>56</v>
      </c>
      <c r="H66" s="30">
        <f>'9B Sem 1'!G24</f>
        <v>75</v>
      </c>
      <c r="I66" s="30">
        <f>'9B Sem 1'!H24</f>
        <v>77</v>
      </c>
      <c r="J66" s="30">
        <f>'9B Sem 1'!I24</f>
        <v>66</v>
      </c>
      <c r="K66" s="30">
        <f>'9B Sem 1'!J24</f>
        <v>73</v>
      </c>
      <c r="L66" s="30">
        <f>'9B Sem 1'!K24</f>
        <v>75</v>
      </c>
      <c r="M66" s="30">
        <f>'9B Sem 1'!L24</f>
        <v>78</v>
      </c>
      <c r="N66" s="30">
        <f>'9B Sem 1'!M24</f>
        <v>75</v>
      </c>
      <c r="O66" s="30">
        <f>'9B Sem 1'!N24</f>
        <v>90</v>
      </c>
      <c r="P66" s="30">
        <f>'9B Sem 1'!O24</f>
        <v>96</v>
      </c>
      <c r="Q66" s="30">
        <f>'9B Sem 1'!P24</f>
        <v>845</v>
      </c>
      <c r="R66" s="30">
        <f>'9B Sem 1'!Q24</f>
        <v>76.818181818181813</v>
      </c>
      <c r="S66" s="30">
        <f>'9B Sem 1'!R24</f>
        <v>23</v>
      </c>
      <c r="T66" s="45">
        <f>'9B Sem 1'!S24</f>
        <v>0</v>
      </c>
      <c r="U66" s="45">
        <f>'9B Sem 1'!T24</f>
        <v>0</v>
      </c>
      <c r="V66" s="6"/>
      <c r="W66" s="6"/>
      <c r="X66" s="6"/>
      <c r="Y66" s="6"/>
      <c r="Z66" s="6"/>
    </row>
    <row r="67" spans="1:26" ht="18.95" customHeight="1" x14ac:dyDescent="0.25">
      <c r="A67" s="292"/>
      <c r="B67" s="293"/>
      <c r="C67" s="294">
        <v>15</v>
      </c>
      <c r="D67" s="294" t="s">
        <v>23</v>
      </c>
      <c r="E67" s="84" t="s">
        <v>22</v>
      </c>
      <c r="F67" s="30">
        <f>'9B Sem 2'!E24</f>
        <v>90</v>
      </c>
      <c r="G67" s="30">
        <f>'9B Sem 2'!F24</f>
        <v>69</v>
      </c>
      <c r="H67" s="30">
        <f>'9B Sem 2'!G24</f>
        <v>74</v>
      </c>
      <c r="I67" s="30">
        <f>'9B Sem 2'!H24</f>
        <v>72</v>
      </c>
      <c r="J67" s="30">
        <f>'9B Sem 2'!I24</f>
        <v>74</v>
      </c>
      <c r="K67" s="30">
        <f>'9B Sem 2'!J24</f>
        <v>82</v>
      </c>
      <c r="L67" s="30">
        <f>'9B Sem 2'!K24</f>
        <v>74</v>
      </c>
      <c r="M67" s="30">
        <f>'9B Sem 2'!L24</f>
        <v>82</v>
      </c>
      <c r="N67" s="30">
        <f>'9B Sem 2'!M24</f>
        <v>79</v>
      </c>
      <c r="O67" s="30">
        <f>'9B Sem 2'!N24</f>
        <v>86</v>
      </c>
      <c r="P67" s="30">
        <f>'9B Sem 2'!O24</f>
        <v>95</v>
      </c>
      <c r="Q67" s="30">
        <f>'9B Sem 2'!P24</f>
        <v>877</v>
      </c>
      <c r="R67" s="30">
        <f>'9B Sem 2'!Q24</f>
        <v>79.727272727272734</v>
      </c>
      <c r="S67" s="30">
        <f>'9B Sem 2'!R24</f>
        <v>23</v>
      </c>
      <c r="T67" s="45">
        <f>'9B Sem 2'!S24</f>
        <v>0</v>
      </c>
      <c r="U67" s="45">
        <f>'9B Sem 2'!T24</f>
        <v>0</v>
      </c>
      <c r="V67" s="6"/>
      <c r="W67" s="6"/>
      <c r="X67" s="6"/>
      <c r="Y67" s="6"/>
      <c r="Z67" s="6"/>
    </row>
    <row r="68" spans="1:26" ht="18.95" customHeight="1" x14ac:dyDescent="0.25">
      <c r="A68" s="292"/>
      <c r="B68" s="293"/>
      <c r="C68" s="294">
        <v>15</v>
      </c>
      <c r="D68" s="294" t="s">
        <v>23</v>
      </c>
      <c r="E68" s="84" t="s">
        <v>16</v>
      </c>
      <c r="F68" s="30">
        <f>AVERAGE(F66:F67)</f>
        <v>87</v>
      </c>
      <c r="G68" s="30">
        <f t="shared" ref="G68:U68" si="20">AVERAGE(G66:G67)</f>
        <v>62.5</v>
      </c>
      <c r="H68" s="30">
        <f t="shared" si="20"/>
        <v>74.5</v>
      </c>
      <c r="I68" s="30">
        <f t="shared" si="20"/>
        <v>74.5</v>
      </c>
      <c r="J68" s="30">
        <f t="shared" si="20"/>
        <v>70</v>
      </c>
      <c r="K68" s="30">
        <f t="shared" si="20"/>
        <v>77.5</v>
      </c>
      <c r="L68" s="30">
        <f t="shared" si="20"/>
        <v>74.5</v>
      </c>
      <c r="M68" s="30">
        <f t="shared" si="20"/>
        <v>80</v>
      </c>
      <c r="N68" s="30">
        <f t="shared" si="20"/>
        <v>77</v>
      </c>
      <c r="O68" s="30">
        <f t="shared" si="20"/>
        <v>88</v>
      </c>
      <c r="P68" s="30">
        <f t="shared" si="20"/>
        <v>95.5</v>
      </c>
      <c r="Q68" s="30">
        <f t="shared" si="20"/>
        <v>861</v>
      </c>
      <c r="R68" s="30">
        <f t="shared" si="20"/>
        <v>78.27272727272728</v>
      </c>
      <c r="S68" s="30"/>
      <c r="T68" s="30">
        <f t="shared" si="20"/>
        <v>0</v>
      </c>
      <c r="U68" s="30">
        <f t="shared" si="20"/>
        <v>0</v>
      </c>
      <c r="V68" s="6"/>
      <c r="W68" s="6"/>
      <c r="X68" s="6"/>
      <c r="Y68" s="6"/>
      <c r="Z68" s="6"/>
    </row>
    <row r="69" spans="1:26" ht="18.95" customHeight="1" x14ac:dyDescent="0.25">
      <c r="A69" s="295">
        <v>22</v>
      </c>
      <c r="B69" s="293"/>
      <c r="C69" s="294">
        <v>15</v>
      </c>
      <c r="D69" s="294" t="s">
        <v>23</v>
      </c>
      <c r="E69" s="84" t="s">
        <v>21</v>
      </c>
      <c r="F69" s="30">
        <f>'9B Sem 1'!E25</f>
        <v>75</v>
      </c>
      <c r="G69" s="30">
        <f>'9B Sem 1'!F25</f>
        <v>82</v>
      </c>
      <c r="H69" s="30">
        <f>'9B Sem 1'!G25</f>
        <v>48</v>
      </c>
      <c r="I69" s="30">
        <f>'9B Sem 1'!H25</f>
        <v>57</v>
      </c>
      <c r="J69" s="30">
        <f>'9B Sem 1'!I25</f>
        <v>55</v>
      </c>
      <c r="K69" s="30">
        <f>'9B Sem 1'!J25</f>
        <v>46</v>
      </c>
      <c r="L69" s="30">
        <f>'9B Sem 1'!K25</f>
        <v>54</v>
      </c>
      <c r="M69" s="30">
        <f>'9B Sem 1'!L25</f>
        <v>60</v>
      </c>
      <c r="N69" s="30">
        <f>'9B Sem 1'!M25</f>
        <v>77</v>
      </c>
      <c r="O69" s="30">
        <f>'9B Sem 1'!N25</f>
        <v>86</v>
      </c>
      <c r="P69" s="30">
        <f>'9B Sem 1'!O25</f>
        <v>82</v>
      </c>
      <c r="Q69" s="30">
        <f>'9B Sem 1'!P25</f>
        <v>722</v>
      </c>
      <c r="R69" s="30">
        <f>'9B Sem 1'!Q25</f>
        <v>65.63636363636364</v>
      </c>
      <c r="S69" s="30">
        <f>'9B Sem 1'!R25</f>
        <v>44</v>
      </c>
      <c r="T69" s="45">
        <f>'9B Sem 1'!S25</f>
        <v>0</v>
      </c>
      <c r="U69" s="45">
        <f>'9B Sem 1'!T25</f>
        <v>0</v>
      </c>
      <c r="V69" s="6"/>
      <c r="W69" s="6"/>
      <c r="X69" s="6"/>
      <c r="Y69" s="6"/>
      <c r="Z69" s="6"/>
    </row>
    <row r="70" spans="1:26" ht="18.95" customHeight="1" x14ac:dyDescent="0.25">
      <c r="A70" s="295"/>
      <c r="B70" s="293"/>
      <c r="C70" s="294">
        <v>15</v>
      </c>
      <c r="D70" s="294" t="s">
        <v>23</v>
      </c>
      <c r="E70" s="84" t="s">
        <v>22</v>
      </c>
      <c r="F70" s="30">
        <f>'9B Sem 2'!E25</f>
        <v>78</v>
      </c>
      <c r="G70" s="30">
        <f>'9B Sem 2'!F25</f>
        <v>84</v>
      </c>
      <c r="H70" s="30">
        <f>'9B Sem 2'!G25</f>
        <v>49</v>
      </c>
      <c r="I70" s="30">
        <f>'9B Sem 2'!H25</f>
        <v>57</v>
      </c>
      <c r="J70" s="30">
        <f>'9B Sem 2'!I25</f>
        <v>47</v>
      </c>
      <c r="K70" s="30">
        <f>'9B Sem 2'!J25</f>
        <v>49</v>
      </c>
      <c r="L70" s="30">
        <f>'9B Sem 2'!K25</f>
        <v>64</v>
      </c>
      <c r="M70" s="30">
        <f>'9B Sem 2'!L25</f>
        <v>59</v>
      </c>
      <c r="N70" s="30">
        <f>'9B Sem 2'!M25</f>
        <v>85</v>
      </c>
      <c r="O70" s="30">
        <f>'9B Sem 2'!N25</f>
        <v>77</v>
      </c>
      <c r="P70" s="30">
        <f>'9B Sem 2'!O25</f>
        <v>86</v>
      </c>
      <c r="Q70" s="30">
        <f>'9B Sem 2'!P25</f>
        <v>735</v>
      </c>
      <c r="R70" s="30">
        <f>'9B Sem 2'!Q25</f>
        <v>66.818181818181813</v>
      </c>
      <c r="S70" s="30">
        <f>'9B Sem 2'!R25</f>
        <v>44</v>
      </c>
      <c r="T70" s="45">
        <f>'9B Sem 2'!S25</f>
        <v>0</v>
      </c>
      <c r="U70" s="45">
        <f>'9B Sem 2'!T25</f>
        <v>0</v>
      </c>
      <c r="V70" s="6"/>
      <c r="W70" s="6"/>
      <c r="X70" s="6"/>
      <c r="Y70" s="6"/>
      <c r="Z70" s="6"/>
    </row>
    <row r="71" spans="1:26" ht="18.95" customHeight="1" x14ac:dyDescent="0.25">
      <c r="A71" s="295"/>
      <c r="B71" s="293"/>
      <c r="C71" s="294">
        <v>15</v>
      </c>
      <c r="D71" s="294" t="s">
        <v>23</v>
      </c>
      <c r="E71" s="84" t="s">
        <v>16</v>
      </c>
      <c r="F71" s="30">
        <f>AVERAGE(F69:F70)</f>
        <v>76.5</v>
      </c>
      <c r="G71" s="30">
        <f t="shared" ref="G71:U71" si="21">AVERAGE(G69:G70)</f>
        <v>83</v>
      </c>
      <c r="H71" s="30">
        <f t="shared" si="21"/>
        <v>48.5</v>
      </c>
      <c r="I71" s="30">
        <f t="shared" si="21"/>
        <v>57</v>
      </c>
      <c r="J71" s="30">
        <f t="shared" si="21"/>
        <v>51</v>
      </c>
      <c r="K71" s="30">
        <f t="shared" si="21"/>
        <v>47.5</v>
      </c>
      <c r="L71" s="30">
        <f t="shared" si="21"/>
        <v>59</v>
      </c>
      <c r="M71" s="30">
        <f t="shared" si="21"/>
        <v>59.5</v>
      </c>
      <c r="N71" s="30">
        <f t="shared" si="21"/>
        <v>81</v>
      </c>
      <c r="O71" s="30">
        <f t="shared" si="21"/>
        <v>81.5</v>
      </c>
      <c r="P71" s="30">
        <f t="shared" si="21"/>
        <v>84</v>
      </c>
      <c r="Q71" s="30">
        <f t="shared" si="21"/>
        <v>728.5</v>
      </c>
      <c r="R71" s="30">
        <f t="shared" si="21"/>
        <v>66.22727272727272</v>
      </c>
      <c r="S71" s="30"/>
      <c r="T71" s="30">
        <f t="shared" si="21"/>
        <v>0</v>
      </c>
      <c r="U71" s="30">
        <f t="shared" si="21"/>
        <v>0</v>
      </c>
      <c r="V71" s="6"/>
      <c r="W71" s="6"/>
      <c r="X71" s="6"/>
      <c r="Y71" s="6"/>
      <c r="Z71" s="6"/>
    </row>
    <row r="72" spans="1:26" ht="18.95" customHeight="1" x14ac:dyDescent="0.25">
      <c r="A72" s="295">
        <v>23</v>
      </c>
      <c r="B72" s="293"/>
      <c r="C72" s="294">
        <v>14</v>
      </c>
      <c r="D72" s="294" t="s">
        <v>23</v>
      </c>
      <c r="E72" s="84" t="s">
        <v>21</v>
      </c>
      <c r="F72" s="30">
        <f>'9B Sem 1'!E26</f>
        <v>85</v>
      </c>
      <c r="G72" s="30">
        <f>'9B Sem 1'!F26</f>
        <v>74</v>
      </c>
      <c r="H72" s="30">
        <f>'9B Sem 1'!G26</f>
        <v>89</v>
      </c>
      <c r="I72" s="30">
        <f>'9B Sem 1'!H26</f>
        <v>73</v>
      </c>
      <c r="J72" s="30">
        <f>'9B Sem 1'!I26</f>
        <v>73</v>
      </c>
      <c r="K72" s="30">
        <f>'9B Sem 1'!J26</f>
        <v>84</v>
      </c>
      <c r="L72" s="30">
        <f>'9B Sem 1'!K26</f>
        <v>63</v>
      </c>
      <c r="M72" s="30">
        <f>'9B Sem 1'!L26</f>
        <v>88</v>
      </c>
      <c r="N72" s="30">
        <f>'9B Sem 1'!M26</f>
        <v>72</v>
      </c>
      <c r="O72" s="30">
        <f>'9B Sem 1'!N26</f>
        <v>89</v>
      </c>
      <c r="P72" s="30">
        <f>'9B Sem 1'!O26</f>
        <v>97</v>
      </c>
      <c r="Q72" s="30">
        <f>'9B Sem 1'!P26</f>
        <v>887</v>
      </c>
      <c r="R72" s="30">
        <f>'9B Sem 1'!Q26</f>
        <v>80.63636363636364</v>
      </c>
      <c r="S72" s="30">
        <f>'9B Sem 1'!R26</f>
        <v>17</v>
      </c>
      <c r="T72" s="45">
        <f>'9B Sem 1'!S26</f>
        <v>0</v>
      </c>
      <c r="U72" s="45">
        <f>'9B Sem 1'!T26</f>
        <v>0</v>
      </c>
      <c r="V72" s="6"/>
      <c r="W72" s="6"/>
      <c r="X72" s="6"/>
      <c r="Y72" s="6"/>
      <c r="Z72" s="6"/>
    </row>
    <row r="73" spans="1:26" ht="18.95" customHeight="1" x14ac:dyDescent="0.25">
      <c r="A73" s="295"/>
      <c r="B73" s="293"/>
      <c r="C73" s="294">
        <v>14</v>
      </c>
      <c r="D73" s="294" t="s">
        <v>23</v>
      </c>
      <c r="E73" s="84" t="s">
        <v>22</v>
      </c>
      <c r="F73" s="30">
        <f>'9B Sem 2'!E26</f>
        <v>85</v>
      </c>
      <c r="G73" s="30">
        <f>'9B Sem 2'!F26</f>
        <v>74</v>
      </c>
      <c r="H73" s="30">
        <f>'9B Sem 2'!G26</f>
        <v>91</v>
      </c>
      <c r="I73" s="30">
        <f>'9B Sem 2'!H26</f>
        <v>76</v>
      </c>
      <c r="J73" s="30">
        <f>'9B Sem 2'!I26</f>
        <v>79</v>
      </c>
      <c r="K73" s="30">
        <f>'9B Sem 2'!J26</f>
        <v>92</v>
      </c>
      <c r="L73" s="30">
        <f>'9B Sem 2'!K26</f>
        <v>81</v>
      </c>
      <c r="M73" s="30">
        <f>'9B Sem 2'!L26</f>
        <v>87</v>
      </c>
      <c r="N73" s="30">
        <f>'9B Sem 2'!M26</f>
        <v>82</v>
      </c>
      <c r="O73" s="30">
        <f>'9B Sem 2'!N26</f>
        <v>88</v>
      </c>
      <c r="P73" s="30">
        <f>'9B Sem 2'!O26</f>
        <v>93</v>
      </c>
      <c r="Q73" s="30">
        <f>'9B Sem 2'!P26</f>
        <v>928</v>
      </c>
      <c r="R73" s="30">
        <f>'9B Sem 2'!Q26</f>
        <v>84.36363636363636</v>
      </c>
      <c r="S73" s="30">
        <f>'9B Sem 2'!R26</f>
        <v>13</v>
      </c>
      <c r="T73" s="45">
        <f>'9B Sem 2'!S26</f>
        <v>0</v>
      </c>
      <c r="U73" s="45">
        <f>'9B Sem 2'!T26</f>
        <v>0</v>
      </c>
      <c r="V73" s="6"/>
      <c r="W73" s="6"/>
      <c r="X73" s="6"/>
      <c r="Y73" s="6"/>
      <c r="Z73" s="6"/>
    </row>
    <row r="74" spans="1:26" ht="18.95" customHeight="1" x14ac:dyDescent="0.25">
      <c r="A74" s="295"/>
      <c r="B74" s="293"/>
      <c r="C74" s="294">
        <v>14</v>
      </c>
      <c r="D74" s="294" t="s">
        <v>23</v>
      </c>
      <c r="E74" s="84" t="s">
        <v>16</v>
      </c>
      <c r="F74" s="30">
        <f>AVERAGE(F72:F73)</f>
        <v>85</v>
      </c>
      <c r="G74" s="30">
        <f t="shared" ref="G74:U74" si="22">AVERAGE(G72:G73)</f>
        <v>74</v>
      </c>
      <c r="H74" s="30">
        <f t="shared" si="22"/>
        <v>90</v>
      </c>
      <c r="I74" s="30">
        <f t="shared" si="22"/>
        <v>74.5</v>
      </c>
      <c r="J74" s="30">
        <f t="shared" si="22"/>
        <v>76</v>
      </c>
      <c r="K74" s="30">
        <f t="shared" si="22"/>
        <v>88</v>
      </c>
      <c r="L74" s="30">
        <f t="shared" si="22"/>
        <v>72</v>
      </c>
      <c r="M74" s="30">
        <f t="shared" si="22"/>
        <v>87.5</v>
      </c>
      <c r="N74" s="30">
        <f t="shared" si="22"/>
        <v>77</v>
      </c>
      <c r="O74" s="30">
        <f t="shared" si="22"/>
        <v>88.5</v>
      </c>
      <c r="P74" s="30">
        <f t="shared" si="22"/>
        <v>95</v>
      </c>
      <c r="Q74" s="30">
        <f t="shared" si="22"/>
        <v>907.5</v>
      </c>
      <c r="R74" s="30">
        <f t="shared" si="22"/>
        <v>82.5</v>
      </c>
      <c r="S74" s="30"/>
      <c r="T74" s="30">
        <f t="shared" si="22"/>
        <v>0</v>
      </c>
      <c r="U74" s="30">
        <f t="shared" si="22"/>
        <v>0</v>
      </c>
      <c r="V74" s="6"/>
      <c r="W74" s="6"/>
      <c r="X74" s="6"/>
      <c r="Y74" s="6"/>
      <c r="Z74" s="6"/>
    </row>
    <row r="75" spans="1:26" ht="18.95" customHeight="1" x14ac:dyDescent="0.25">
      <c r="A75" s="292">
        <v>24</v>
      </c>
      <c r="B75" s="293"/>
      <c r="C75" s="294">
        <v>15</v>
      </c>
      <c r="D75" s="294" t="s">
        <v>23</v>
      </c>
      <c r="E75" s="84" t="s">
        <v>21</v>
      </c>
      <c r="F75" s="30">
        <f>'9B Sem 1'!E27</f>
        <v>87</v>
      </c>
      <c r="G75" s="30">
        <f>'9B Sem 1'!F27</f>
        <v>62</v>
      </c>
      <c r="H75" s="31">
        <f>'9B Sem 1'!G27</f>
        <v>51</v>
      </c>
      <c r="I75" s="31">
        <f>'9B Sem 1'!H27</f>
        <v>62</v>
      </c>
      <c r="J75" s="30">
        <f>'9B Sem 1'!I27</f>
        <v>56</v>
      </c>
      <c r="K75" s="31">
        <f>'9B Sem 1'!J27</f>
        <v>66</v>
      </c>
      <c r="L75" s="30">
        <f>'9B Sem 1'!K27</f>
        <v>74</v>
      </c>
      <c r="M75" s="30">
        <f>'9B Sem 1'!L27</f>
        <v>70</v>
      </c>
      <c r="N75" s="30">
        <f>'9B Sem 1'!M27</f>
        <v>67</v>
      </c>
      <c r="O75" s="30">
        <f>'9B Sem 1'!N27</f>
        <v>80</v>
      </c>
      <c r="P75" s="30">
        <f>'9B Sem 1'!O27</f>
        <v>85</v>
      </c>
      <c r="Q75" s="30">
        <f>'9B Sem 1'!P27</f>
        <v>760</v>
      </c>
      <c r="R75" s="30">
        <f>'9B Sem 1'!Q27</f>
        <v>69.090909090909093</v>
      </c>
      <c r="S75" s="30">
        <f>'9B Sem 1'!R27</f>
        <v>38</v>
      </c>
      <c r="T75" s="45">
        <f>'9B Sem 1'!S27</f>
        <v>0</v>
      </c>
      <c r="U75" s="45">
        <f>'9B Sem 1'!T27</f>
        <v>0</v>
      </c>
      <c r="V75" s="6"/>
      <c r="W75" s="6"/>
      <c r="X75" s="6"/>
      <c r="Y75" s="6"/>
      <c r="Z75" s="6"/>
    </row>
    <row r="76" spans="1:26" ht="18.95" customHeight="1" x14ac:dyDescent="0.25">
      <c r="A76" s="292"/>
      <c r="B76" s="293"/>
      <c r="C76" s="294">
        <v>15</v>
      </c>
      <c r="D76" s="294" t="s">
        <v>23</v>
      </c>
      <c r="E76" s="84" t="s">
        <v>22</v>
      </c>
      <c r="F76" s="30">
        <f>'9B Sem 2'!E27</f>
        <v>78</v>
      </c>
      <c r="G76" s="30">
        <f>'9B Sem 2'!F27</f>
        <v>70</v>
      </c>
      <c r="H76" s="31">
        <f>'9B Sem 2'!G27</f>
        <v>62</v>
      </c>
      <c r="I76" s="31">
        <f>'9B Sem 2'!H27</f>
        <v>64</v>
      </c>
      <c r="J76" s="30">
        <f>'9B Sem 2'!I27</f>
        <v>57</v>
      </c>
      <c r="K76" s="31">
        <f>'9B Sem 2'!J27</f>
        <v>72</v>
      </c>
      <c r="L76" s="30">
        <f>'9B Sem 2'!K27</f>
        <v>73</v>
      </c>
      <c r="M76" s="30">
        <f>'9B Sem 2'!L27</f>
        <v>72</v>
      </c>
      <c r="N76" s="30">
        <f>'9B Sem 2'!M27</f>
        <v>83</v>
      </c>
      <c r="O76" s="30">
        <f>'9B Sem 2'!N27</f>
        <v>83</v>
      </c>
      <c r="P76" s="30">
        <f>'9B Sem 2'!O27</f>
        <v>86</v>
      </c>
      <c r="Q76" s="30">
        <f>'9B Sem 2'!P27</f>
        <v>800</v>
      </c>
      <c r="R76" s="30">
        <f>'9B Sem 2'!Q27</f>
        <v>72.727272727272734</v>
      </c>
      <c r="S76" s="30">
        <f>'9B Sem 2'!R27</f>
        <v>34</v>
      </c>
      <c r="T76" s="45">
        <f>'9B Sem 2'!S27</f>
        <v>0</v>
      </c>
      <c r="U76" s="45">
        <f>'9B Sem 2'!T27</f>
        <v>0</v>
      </c>
      <c r="V76" s="6"/>
      <c r="W76" s="6"/>
      <c r="X76" s="6"/>
      <c r="Y76" s="6"/>
      <c r="Z76" s="6"/>
    </row>
    <row r="77" spans="1:26" ht="18.95" customHeight="1" x14ac:dyDescent="0.25">
      <c r="A77" s="292"/>
      <c r="B77" s="293"/>
      <c r="C77" s="294">
        <v>15</v>
      </c>
      <c r="D77" s="294" t="s">
        <v>23</v>
      </c>
      <c r="E77" s="84" t="s">
        <v>16</v>
      </c>
      <c r="F77" s="30">
        <f>AVERAGE(F75:F76)</f>
        <v>82.5</v>
      </c>
      <c r="G77" s="30">
        <f t="shared" ref="G77:U77" si="23">AVERAGE(G75:G76)</f>
        <v>66</v>
      </c>
      <c r="H77" s="30">
        <f t="shared" si="23"/>
        <v>56.5</v>
      </c>
      <c r="I77" s="30">
        <f t="shared" si="23"/>
        <v>63</v>
      </c>
      <c r="J77" s="30">
        <f t="shared" si="23"/>
        <v>56.5</v>
      </c>
      <c r="K77" s="30">
        <f t="shared" si="23"/>
        <v>69</v>
      </c>
      <c r="L77" s="30">
        <f t="shared" si="23"/>
        <v>73.5</v>
      </c>
      <c r="M77" s="30">
        <f t="shared" si="23"/>
        <v>71</v>
      </c>
      <c r="N77" s="30">
        <f t="shared" si="23"/>
        <v>75</v>
      </c>
      <c r="O77" s="30">
        <f t="shared" si="23"/>
        <v>81.5</v>
      </c>
      <c r="P77" s="30">
        <f t="shared" si="23"/>
        <v>85.5</v>
      </c>
      <c r="Q77" s="30">
        <f t="shared" si="23"/>
        <v>780</v>
      </c>
      <c r="R77" s="30">
        <f t="shared" si="23"/>
        <v>70.909090909090907</v>
      </c>
      <c r="S77" s="30"/>
      <c r="T77" s="30">
        <f t="shared" si="23"/>
        <v>0</v>
      </c>
      <c r="U77" s="30">
        <f t="shared" si="23"/>
        <v>0</v>
      </c>
      <c r="V77" s="6"/>
      <c r="W77" s="6"/>
      <c r="X77" s="6"/>
      <c r="Y77" s="6"/>
      <c r="Z77" s="6"/>
    </row>
    <row r="78" spans="1:26" ht="18.95" customHeight="1" x14ac:dyDescent="0.25">
      <c r="A78" s="295">
        <v>25</v>
      </c>
      <c r="B78" s="293"/>
      <c r="C78" s="293">
        <v>15</v>
      </c>
      <c r="D78" s="293" t="s">
        <v>20</v>
      </c>
      <c r="E78" s="84" t="s">
        <v>21</v>
      </c>
      <c r="F78" s="30">
        <f>'9B Sem 1'!E28</f>
        <v>90</v>
      </c>
      <c r="G78" s="31">
        <f>'9B Sem 1'!F28</f>
        <v>77</v>
      </c>
      <c r="H78" s="31">
        <f>'9B Sem 1'!G28</f>
        <v>74</v>
      </c>
      <c r="I78" s="30">
        <f>'9B Sem 1'!H28</f>
        <v>75</v>
      </c>
      <c r="J78" s="31">
        <f>'9B Sem 1'!I28</f>
        <v>78</v>
      </c>
      <c r="K78" s="30">
        <f>'9B Sem 1'!J28</f>
        <v>83</v>
      </c>
      <c r="L78" s="30">
        <f>'9B Sem 1'!K28</f>
        <v>73</v>
      </c>
      <c r="M78" s="30">
        <f>'9B Sem 1'!L28</f>
        <v>76</v>
      </c>
      <c r="N78" s="30">
        <f>'9B Sem 1'!M28</f>
        <v>85</v>
      </c>
      <c r="O78" s="30">
        <f>'9B Sem 1'!N28</f>
        <v>96</v>
      </c>
      <c r="P78" s="30">
        <f>'9B Sem 1'!O28</f>
        <v>82</v>
      </c>
      <c r="Q78" s="30">
        <f>'9B Sem 1'!P28</f>
        <v>889</v>
      </c>
      <c r="R78" s="30">
        <f>'9B Sem 1'!Q28</f>
        <v>80.818181818181813</v>
      </c>
      <c r="S78" s="30">
        <f>'9B Sem 1'!R28</f>
        <v>16</v>
      </c>
      <c r="T78" s="45">
        <f>'9B Sem 1'!S28</f>
        <v>0</v>
      </c>
      <c r="U78" s="45">
        <f>'9B Sem 1'!T28</f>
        <v>0</v>
      </c>
      <c r="V78" s="6"/>
      <c r="W78" s="6"/>
      <c r="X78" s="6"/>
      <c r="Y78" s="6"/>
      <c r="Z78" s="6"/>
    </row>
    <row r="79" spans="1:26" ht="18.95" customHeight="1" x14ac:dyDescent="0.25">
      <c r="A79" s="295"/>
      <c r="B79" s="293"/>
      <c r="C79" s="293">
        <v>15</v>
      </c>
      <c r="D79" s="293" t="s">
        <v>20</v>
      </c>
      <c r="E79" s="84" t="s">
        <v>22</v>
      </c>
      <c r="F79" s="30">
        <f>'9B Sem 2'!E28</f>
        <v>87</v>
      </c>
      <c r="G79" s="31">
        <f>'9B Sem 2'!F28</f>
        <v>81</v>
      </c>
      <c r="H79" s="31">
        <f>'9B Sem 2'!G28</f>
        <v>73</v>
      </c>
      <c r="I79" s="30">
        <f>'9B Sem 2'!H28</f>
        <v>72</v>
      </c>
      <c r="J79" s="31">
        <f>'9B Sem 2'!I28</f>
        <v>66</v>
      </c>
      <c r="K79" s="30">
        <f>'9B Sem 2'!J28</f>
        <v>89</v>
      </c>
      <c r="L79" s="30">
        <f>'9B Sem 2'!K28</f>
        <v>82</v>
      </c>
      <c r="M79" s="30">
        <f>'9B Sem 2'!L28</f>
        <v>69</v>
      </c>
      <c r="N79" s="30">
        <f>'9B Sem 2'!M28</f>
        <v>92</v>
      </c>
      <c r="O79" s="30">
        <f>'9B Sem 2'!N28</f>
        <v>87</v>
      </c>
      <c r="P79" s="30">
        <f>'9B Sem 2'!O28</f>
        <v>92</v>
      </c>
      <c r="Q79" s="30">
        <f>'9B Sem 2'!P28</f>
        <v>890</v>
      </c>
      <c r="R79" s="30">
        <f>'9B Sem 2'!Q28</f>
        <v>80.909090909090907</v>
      </c>
      <c r="S79" s="30">
        <f>'9B Sem 2'!R28</f>
        <v>21</v>
      </c>
      <c r="T79" s="45">
        <f>'9B Sem 2'!S28</f>
        <v>0</v>
      </c>
      <c r="U79" s="45">
        <f>'9B Sem 2'!T28</f>
        <v>0</v>
      </c>
      <c r="V79" s="6"/>
      <c r="W79" s="6"/>
      <c r="X79" s="6"/>
      <c r="Y79" s="6"/>
      <c r="Z79" s="6"/>
    </row>
    <row r="80" spans="1:26" ht="18.95" customHeight="1" x14ac:dyDescent="0.25">
      <c r="A80" s="295"/>
      <c r="B80" s="293"/>
      <c r="C80" s="293">
        <v>15</v>
      </c>
      <c r="D80" s="293" t="s">
        <v>20</v>
      </c>
      <c r="E80" s="84" t="s">
        <v>16</v>
      </c>
      <c r="F80" s="30">
        <f>AVERAGE(F78:F79)</f>
        <v>88.5</v>
      </c>
      <c r="G80" s="30">
        <f t="shared" ref="G80:U80" si="24">AVERAGE(G78:G79)</f>
        <v>79</v>
      </c>
      <c r="H80" s="30">
        <f t="shared" si="24"/>
        <v>73.5</v>
      </c>
      <c r="I80" s="30">
        <f t="shared" si="24"/>
        <v>73.5</v>
      </c>
      <c r="J80" s="30">
        <f t="shared" si="24"/>
        <v>72</v>
      </c>
      <c r="K80" s="30">
        <f t="shared" si="24"/>
        <v>86</v>
      </c>
      <c r="L80" s="30">
        <f t="shared" si="24"/>
        <v>77.5</v>
      </c>
      <c r="M80" s="30">
        <f t="shared" si="24"/>
        <v>72.5</v>
      </c>
      <c r="N80" s="30">
        <f t="shared" si="24"/>
        <v>88.5</v>
      </c>
      <c r="O80" s="30">
        <f t="shared" si="24"/>
        <v>91.5</v>
      </c>
      <c r="P80" s="30">
        <f t="shared" si="24"/>
        <v>87</v>
      </c>
      <c r="Q80" s="30">
        <f t="shared" si="24"/>
        <v>889.5</v>
      </c>
      <c r="R80" s="30">
        <f t="shared" si="24"/>
        <v>80.86363636363636</v>
      </c>
      <c r="S80" s="30"/>
      <c r="T80" s="30">
        <f t="shared" si="24"/>
        <v>0</v>
      </c>
      <c r="U80" s="30">
        <f t="shared" si="24"/>
        <v>0</v>
      </c>
      <c r="V80" s="6"/>
      <c r="W80" s="6"/>
      <c r="X80" s="6"/>
      <c r="Y80" s="6"/>
      <c r="Z80" s="6"/>
    </row>
    <row r="81" spans="1:26" ht="18.95" customHeight="1" x14ac:dyDescent="0.25">
      <c r="A81" s="292">
        <v>26</v>
      </c>
      <c r="B81" s="293"/>
      <c r="C81" s="297">
        <v>14</v>
      </c>
      <c r="D81" s="297" t="s">
        <v>23</v>
      </c>
      <c r="E81" s="84" t="s">
        <v>21</v>
      </c>
      <c r="F81" s="30">
        <f>'9B Sem 1'!E29</f>
        <v>90</v>
      </c>
      <c r="G81" s="30">
        <f>'9B Sem 1'!F29</f>
        <v>75</v>
      </c>
      <c r="H81" s="30">
        <f>'9B Sem 1'!G29</f>
        <v>84</v>
      </c>
      <c r="I81" s="30">
        <f>'9B Sem 1'!H29</f>
        <v>82</v>
      </c>
      <c r="J81" s="30">
        <f>'9B Sem 1'!I29</f>
        <v>80</v>
      </c>
      <c r="K81" s="30">
        <f>'9B Sem 1'!J29</f>
        <v>96</v>
      </c>
      <c r="L81" s="30">
        <f>'9B Sem 1'!K29</f>
        <v>90</v>
      </c>
      <c r="M81" s="30">
        <f>'9B Sem 1'!L29</f>
        <v>96</v>
      </c>
      <c r="N81" s="30">
        <f>'9B Sem 1'!M29</f>
        <v>84</v>
      </c>
      <c r="O81" s="30">
        <f>'9B Sem 1'!N29</f>
        <v>100</v>
      </c>
      <c r="P81" s="30">
        <f>'9B Sem 1'!O29</f>
        <v>100</v>
      </c>
      <c r="Q81" s="30">
        <f>'9B Sem 1'!P29</f>
        <v>977</v>
      </c>
      <c r="R81" s="30">
        <f>'9B Sem 1'!Q29</f>
        <v>88.818181818181813</v>
      </c>
      <c r="S81" s="30">
        <f>'9B Sem 1'!R29</f>
        <v>8</v>
      </c>
      <c r="T81" s="45">
        <f>'9B Sem 1'!S29</f>
        <v>0</v>
      </c>
      <c r="U81" s="45">
        <f>'9B Sem 1'!T29</f>
        <v>0</v>
      </c>
      <c r="V81" s="6"/>
      <c r="W81" s="6"/>
      <c r="X81" s="6"/>
      <c r="Y81" s="6"/>
      <c r="Z81" s="6"/>
    </row>
    <row r="82" spans="1:26" ht="18.95" customHeight="1" x14ac:dyDescent="0.25">
      <c r="A82" s="292"/>
      <c r="B82" s="293"/>
      <c r="C82" s="297">
        <v>14</v>
      </c>
      <c r="D82" s="297" t="s">
        <v>23</v>
      </c>
      <c r="E82" s="84" t="s">
        <v>22</v>
      </c>
      <c r="F82" s="30">
        <f>'9B Sem 2'!E29</f>
        <v>92</v>
      </c>
      <c r="G82" s="30">
        <f>'9B Sem 2'!F29</f>
        <v>84</v>
      </c>
      <c r="H82" s="30">
        <f>'9B Sem 2'!G29</f>
        <v>86</v>
      </c>
      <c r="I82" s="30">
        <f>'9B Sem 2'!H29</f>
        <v>93</v>
      </c>
      <c r="J82" s="30">
        <f>'9B Sem 2'!I29</f>
        <v>83</v>
      </c>
      <c r="K82" s="30">
        <f>'9B Sem 2'!J29</f>
        <v>98</v>
      </c>
      <c r="L82" s="30">
        <f>'9B Sem 2'!K29</f>
        <v>87</v>
      </c>
      <c r="M82" s="30">
        <f>'9B Sem 2'!L29</f>
        <v>93</v>
      </c>
      <c r="N82" s="30">
        <f>'9B Sem 2'!M29</f>
        <v>100</v>
      </c>
      <c r="O82" s="30">
        <f>'9B Sem 2'!N29</f>
        <v>97</v>
      </c>
      <c r="P82" s="30">
        <f>'9B Sem 2'!O29</f>
        <v>97</v>
      </c>
      <c r="Q82" s="30">
        <f>'9B Sem 2'!P29</f>
        <v>1010</v>
      </c>
      <c r="R82" s="30">
        <f>'9B Sem 2'!Q29</f>
        <v>91.818181818181813</v>
      </c>
      <c r="S82" s="30">
        <f>'9B Sem 2'!R29</f>
        <v>6</v>
      </c>
      <c r="T82" s="45">
        <f>'9B Sem 2'!S29</f>
        <v>0</v>
      </c>
      <c r="U82" s="45">
        <f>'9B Sem 2'!T29</f>
        <v>0</v>
      </c>
      <c r="V82" s="6"/>
      <c r="W82" s="6"/>
      <c r="X82" s="6"/>
      <c r="Y82" s="6"/>
      <c r="Z82" s="6"/>
    </row>
    <row r="83" spans="1:26" ht="18.95" customHeight="1" x14ac:dyDescent="0.25">
      <c r="A83" s="292"/>
      <c r="B83" s="293"/>
      <c r="C83" s="297">
        <v>14</v>
      </c>
      <c r="D83" s="297" t="s">
        <v>23</v>
      </c>
      <c r="E83" s="84" t="s">
        <v>16</v>
      </c>
      <c r="F83" s="30">
        <f>AVERAGE(F81:F82)</f>
        <v>91</v>
      </c>
      <c r="G83" s="30">
        <f t="shared" ref="G83:U83" si="25">AVERAGE(G81:G82)</f>
        <v>79.5</v>
      </c>
      <c r="H83" s="30">
        <f t="shared" si="25"/>
        <v>85</v>
      </c>
      <c r="I83" s="30">
        <f t="shared" si="25"/>
        <v>87.5</v>
      </c>
      <c r="J83" s="30">
        <f t="shared" si="25"/>
        <v>81.5</v>
      </c>
      <c r="K83" s="30">
        <f t="shared" si="25"/>
        <v>97</v>
      </c>
      <c r="L83" s="30">
        <f t="shared" si="25"/>
        <v>88.5</v>
      </c>
      <c r="M83" s="30">
        <f t="shared" si="25"/>
        <v>94.5</v>
      </c>
      <c r="N83" s="30">
        <f t="shared" si="25"/>
        <v>92</v>
      </c>
      <c r="O83" s="30">
        <f t="shared" si="25"/>
        <v>98.5</v>
      </c>
      <c r="P83" s="30">
        <f t="shared" si="25"/>
        <v>98.5</v>
      </c>
      <c r="Q83" s="30">
        <f t="shared" si="25"/>
        <v>993.5</v>
      </c>
      <c r="R83" s="30">
        <f t="shared" si="25"/>
        <v>90.318181818181813</v>
      </c>
      <c r="S83" s="30"/>
      <c r="T83" s="30">
        <f t="shared" si="25"/>
        <v>0</v>
      </c>
      <c r="U83" s="30">
        <f t="shared" si="25"/>
        <v>0</v>
      </c>
      <c r="V83" s="6"/>
      <c r="W83" s="6"/>
      <c r="X83" s="6"/>
      <c r="Y83" s="6"/>
      <c r="Z83" s="6"/>
    </row>
    <row r="84" spans="1:26" ht="18.95" customHeight="1" x14ac:dyDescent="0.25">
      <c r="A84" s="292">
        <v>27</v>
      </c>
      <c r="B84" s="293"/>
      <c r="C84" s="293">
        <v>14</v>
      </c>
      <c r="D84" s="293" t="s">
        <v>23</v>
      </c>
      <c r="E84" s="84" t="s">
        <v>21</v>
      </c>
      <c r="F84" s="30">
        <f>'9B Sem 1'!E30</f>
        <v>91</v>
      </c>
      <c r="G84" s="30">
        <f>'9B Sem 1'!F30</f>
        <v>72</v>
      </c>
      <c r="H84" s="31">
        <f>'9B Sem 1'!G30</f>
        <v>77</v>
      </c>
      <c r="I84" s="30">
        <f>'9B Sem 1'!H30</f>
        <v>74</v>
      </c>
      <c r="J84" s="30">
        <f>'9B Sem 1'!I30</f>
        <v>70</v>
      </c>
      <c r="K84" s="30">
        <f>'9B Sem 1'!J30</f>
        <v>80</v>
      </c>
      <c r="L84" s="30">
        <f>'9B Sem 1'!K30</f>
        <v>69</v>
      </c>
      <c r="M84" s="30">
        <f>'9B Sem 1'!L30</f>
        <v>81</v>
      </c>
      <c r="N84" s="30">
        <f>'9B Sem 1'!M30</f>
        <v>87</v>
      </c>
      <c r="O84" s="30">
        <f>'9B Sem 1'!N30</f>
        <v>89</v>
      </c>
      <c r="P84" s="30">
        <f>'9B Sem 1'!O30</f>
        <v>92</v>
      </c>
      <c r="Q84" s="30">
        <f>'9B Sem 1'!P30</f>
        <v>882</v>
      </c>
      <c r="R84" s="30">
        <f>'9B Sem 1'!Q30</f>
        <v>80.181818181818187</v>
      </c>
      <c r="S84" s="30">
        <f>'9B Sem 1'!R30</f>
        <v>18</v>
      </c>
      <c r="T84" s="45">
        <f>'9B Sem 1'!S30</f>
        <v>0</v>
      </c>
      <c r="U84" s="45">
        <f>'9B Sem 1'!T30</f>
        <v>0</v>
      </c>
      <c r="V84" s="6"/>
      <c r="W84" s="6"/>
      <c r="X84" s="6"/>
      <c r="Y84" s="6"/>
      <c r="Z84" s="6"/>
    </row>
    <row r="85" spans="1:26" ht="18.95" customHeight="1" x14ac:dyDescent="0.25">
      <c r="A85" s="292"/>
      <c r="B85" s="293"/>
      <c r="C85" s="293">
        <v>14</v>
      </c>
      <c r="D85" s="293" t="s">
        <v>23</v>
      </c>
      <c r="E85" s="84" t="s">
        <v>22</v>
      </c>
      <c r="F85" s="30">
        <f>'9B Sem 2'!E30</f>
        <v>93</v>
      </c>
      <c r="G85" s="30">
        <f>'9B Sem 2'!F30</f>
        <v>70</v>
      </c>
      <c r="H85" s="31">
        <f>'9B Sem 2'!G30</f>
        <v>70</v>
      </c>
      <c r="I85" s="30">
        <f>'9B Sem 2'!H30</f>
        <v>60</v>
      </c>
      <c r="J85" s="30">
        <f>'9B Sem 2'!I30</f>
        <v>69</v>
      </c>
      <c r="K85" s="30">
        <f>'9B Sem 2'!J30</f>
        <v>85</v>
      </c>
      <c r="L85" s="30">
        <f>'9B Sem 2'!K30</f>
        <v>72</v>
      </c>
      <c r="M85" s="30">
        <f>'9B Sem 2'!L30</f>
        <v>80</v>
      </c>
      <c r="N85" s="30">
        <f>'9B Sem 2'!M30</f>
        <v>90</v>
      </c>
      <c r="O85" s="30">
        <f>'9B Sem 2'!N30</f>
        <v>87</v>
      </c>
      <c r="P85" s="30">
        <f>'9B Sem 2'!O30</f>
        <v>97</v>
      </c>
      <c r="Q85" s="30">
        <f>'9B Sem 2'!P30</f>
        <v>873</v>
      </c>
      <c r="R85" s="30">
        <f>'9B Sem 2'!Q30</f>
        <v>79.36363636363636</v>
      </c>
      <c r="S85" s="30">
        <f>'9B Sem 2'!R30</f>
        <v>24</v>
      </c>
      <c r="T85" s="45">
        <f>'9B Sem 2'!S30</f>
        <v>0</v>
      </c>
      <c r="U85" s="45">
        <f>'9B Sem 2'!T30</f>
        <v>0</v>
      </c>
      <c r="V85" s="6"/>
      <c r="W85" s="6"/>
      <c r="X85" s="6"/>
      <c r="Y85" s="6"/>
      <c r="Z85" s="6"/>
    </row>
    <row r="86" spans="1:26" ht="18.95" customHeight="1" x14ac:dyDescent="0.25">
      <c r="A86" s="292"/>
      <c r="B86" s="293"/>
      <c r="C86" s="293">
        <v>14</v>
      </c>
      <c r="D86" s="293" t="s">
        <v>23</v>
      </c>
      <c r="E86" s="84" t="s">
        <v>16</v>
      </c>
      <c r="F86" s="30">
        <f>AVERAGE(F84:F85)</f>
        <v>92</v>
      </c>
      <c r="G86" s="30">
        <f t="shared" ref="G86:U86" si="26">AVERAGE(G84:G85)</f>
        <v>71</v>
      </c>
      <c r="H86" s="30">
        <f t="shared" si="26"/>
        <v>73.5</v>
      </c>
      <c r="I86" s="30">
        <f t="shared" si="26"/>
        <v>67</v>
      </c>
      <c r="J86" s="30">
        <f t="shared" si="26"/>
        <v>69.5</v>
      </c>
      <c r="K86" s="30">
        <f t="shared" si="26"/>
        <v>82.5</v>
      </c>
      <c r="L86" s="30">
        <f t="shared" si="26"/>
        <v>70.5</v>
      </c>
      <c r="M86" s="30">
        <f t="shared" si="26"/>
        <v>80.5</v>
      </c>
      <c r="N86" s="30">
        <f t="shared" si="26"/>
        <v>88.5</v>
      </c>
      <c r="O86" s="30">
        <f t="shared" si="26"/>
        <v>88</v>
      </c>
      <c r="P86" s="30">
        <f t="shared" si="26"/>
        <v>94.5</v>
      </c>
      <c r="Q86" s="30">
        <f t="shared" si="26"/>
        <v>877.5</v>
      </c>
      <c r="R86" s="30">
        <f t="shared" si="26"/>
        <v>79.77272727272728</v>
      </c>
      <c r="S86" s="30"/>
      <c r="T86" s="30">
        <f t="shared" si="26"/>
        <v>0</v>
      </c>
      <c r="U86" s="30">
        <f t="shared" si="26"/>
        <v>0</v>
      </c>
      <c r="V86" s="6"/>
      <c r="W86" s="6"/>
      <c r="X86" s="6"/>
      <c r="Y86" s="6"/>
      <c r="Z86" s="6"/>
    </row>
    <row r="87" spans="1:26" ht="18.95" customHeight="1" x14ac:dyDescent="0.25">
      <c r="A87" s="292">
        <v>28</v>
      </c>
      <c r="B87" s="295"/>
      <c r="C87" s="297">
        <v>14</v>
      </c>
      <c r="D87" s="297" t="s">
        <v>23</v>
      </c>
      <c r="E87" s="84" t="s">
        <v>21</v>
      </c>
      <c r="F87" s="30">
        <f>'9B Sem 1'!E31</f>
        <v>0</v>
      </c>
      <c r="G87" s="30">
        <f>'9B Sem 1'!F31</f>
        <v>0</v>
      </c>
      <c r="H87" s="30">
        <f>'9B Sem 1'!G31</f>
        <v>0</v>
      </c>
      <c r="I87" s="30">
        <f>'9B Sem 1'!H31</f>
        <v>0</v>
      </c>
      <c r="J87" s="30">
        <f>'9B Sem 1'!I31</f>
        <v>0</v>
      </c>
      <c r="K87" s="30">
        <f>'9B Sem 1'!J31</f>
        <v>0</v>
      </c>
      <c r="L87" s="30">
        <f>'9B Sem 1'!K31</f>
        <v>0</v>
      </c>
      <c r="M87" s="30">
        <f>'9B Sem 1'!L31</f>
        <v>0</v>
      </c>
      <c r="N87" s="30">
        <f>'9B Sem 1'!M31</f>
        <v>0</v>
      </c>
      <c r="O87" s="30">
        <f>'9B Sem 1'!N31</f>
        <v>0</v>
      </c>
      <c r="P87" s="30">
        <f>'9B Sem 1'!O31</f>
        <v>0</v>
      </c>
      <c r="Q87" s="30">
        <f>'9B Sem 1'!P31</f>
        <v>0</v>
      </c>
      <c r="R87" s="30">
        <f>'9B Sem 1'!Q31</f>
        <v>0</v>
      </c>
      <c r="S87" s="30">
        <f>'9B Sem 1'!R31</f>
        <v>0</v>
      </c>
      <c r="T87" s="45">
        <f>'9B Sem 1'!S31</f>
        <v>0</v>
      </c>
      <c r="U87" s="45">
        <f>'9B Sem 1'!T31</f>
        <v>0</v>
      </c>
      <c r="V87" s="6"/>
      <c r="W87" s="6"/>
      <c r="X87" s="6"/>
      <c r="Y87" s="6"/>
      <c r="Z87" s="6"/>
    </row>
    <row r="88" spans="1:26" ht="18.95" customHeight="1" x14ac:dyDescent="0.25">
      <c r="A88" s="292"/>
      <c r="B88" s="295"/>
      <c r="C88" s="297">
        <v>14</v>
      </c>
      <c r="D88" s="297" t="s">
        <v>23</v>
      </c>
      <c r="E88" s="84" t="s">
        <v>22</v>
      </c>
      <c r="F88" s="30">
        <f>'9B Sem 2'!E31</f>
        <v>0</v>
      </c>
      <c r="G88" s="30">
        <f>'9B Sem 2'!F31</f>
        <v>0</v>
      </c>
      <c r="H88" s="30">
        <f>'9B Sem 2'!G31</f>
        <v>0</v>
      </c>
      <c r="I88" s="30">
        <f>'9B Sem 2'!H31</f>
        <v>0</v>
      </c>
      <c r="J88" s="30">
        <f>'9B Sem 2'!I31</f>
        <v>0</v>
      </c>
      <c r="K88" s="30">
        <f>'9B Sem 2'!J31</f>
        <v>0</v>
      </c>
      <c r="L88" s="30">
        <f>'9B Sem 2'!K31</f>
        <v>0</v>
      </c>
      <c r="M88" s="30">
        <f>'9B Sem 2'!L31</f>
        <v>0</v>
      </c>
      <c r="N88" s="30">
        <f>'9B Sem 2'!M31</f>
        <v>0</v>
      </c>
      <c r="O88" s="30">
        <f>'9B Sem 2'!N31</f>
        <v>0</v>
      </c>
      <c r="P88" s="30">
        <f>'9B Sem 2'!O31</f>
        <v>0</v>
      </c>
      <c r="Q88" s="30">
        <f>'9B Sem 2'!P31</f>
        <v>0</v>
      </c>
      <c r="R88" s="30">
        <f>'9B Sem 2'!Q31</f>
        <v>0</v>
      </c>
      <c r="S88" s="30">
        <f>'9B Sem 2'!R31</f>
        <v>0</v>
      </c>
      <c r="T88" s="45">
        <f>'9B Sem 2'!S31</f>
        <v>0</v>
      </c>
      <c r="U88" s="45">
        <f>'9B Sem 2'!T31</f>
        <v>0</v>
      </c>
      <c r="V88" s="6"/>
      <c r="W88" s="6"/>
      <c r="X88" s="6"/>
      <c r="Y88" s="6"/>
      <c r="Z88" s="6"/>
    </row>
    <row r="89" spans="1:26" ht="18.95" customHeight="1" x14ac:dyDescent="0.25">
      <c r="A89" s="292"/>
      <c r="B89" s="295"/>
      <c r="C89" s="297">
        <v>14</v>
      </c>
      <c r="D89" s="297" t="s">
        <v>23</v>
      </c>
      <c r="E89" s="84" t="s">
        <v>16</v>
      </c>
      <c r="F89" s="30">
        <f>AVERAGE(F87:F88)</f>
        <v>0</v>
      </c>
      <c r="G89" s="30">
        <f t="shared" ref="G89:U89" si="27">AVERAGE(G87:G88)</f>
        <v>0</v>
      </c>
      <c r="H89" s="30">
        <f t="shared" si="27"/>
        <v>0</v>
      </c>
      <c r="I89" s="30">
        <f t="shared" si="27"/>
        <v>0</v>
      </c>
      <c r="J89" s="30">
        <f t="shared" si="27"/>
        <v>0</v>
      </c>
      <c r="K89" s="30">
        <f t="shared" si="27"/>
        <v>0</v>
      </c>
      <c r="L89" s="30">
        <f t="shared" si="27"/>
        <v>0</v>
      </c>
      <c r="M89" s="30">
        <f t="shared" si="27"/>
        <v>0</v>
      </c>
      <c r="N89" s="30">
        <f t="shared" si="27"/>
        <v>0</v>
      </c>
      <c r="O89" s="30">
        <f t="shared" si="27"/>
        <v>0</v>
      </c>
      <c r="P89" s="30">
        <f t="shared" si="27"/>
        <v>0</v>
      </c>
      <c r="Q89" s="30">
        <f t="shared" si="27"/>
        <v>0</v>
      </c>
      <c r="R89" s="30">
        <f t="shared" si="27"/>
        <v>0</v>
      </c>
      <c r="S89" s="30"/>
      <c r="T89" s="30">
        <f t="shared" si="27"/>
        <v>0</v>
      </c>
      <c r="U89" s="30">
        <f t="shared" si="27"/>
        <v>0</v>
      </c>
      <c r="V89" s="6"/>
      <c r="W89" s="6"/>
      <c r="X89" s="6"/>
      <c r="Y89" s="6"/>
      <c r="Z89" s="6"/>
    </row>
    <row r="90" spans="1:26" ht="18.95" customHeight="1" x14ac:dyDescent="0.25">
      <c r="A90" s="295">
        <v>29</v>
      </c>
      <c r="B90" s="293"/>
      <c r="C90" s="293">
        <v>14</v>
      </c>
      <c r="D90" s="293" t="s">
        <v>23</v>
      </c>
      <c r="E90" s="84" t="s">
        <v>21</v>
      </c>
      <c r="F90" s="30">
        <f>'9B Sem 1'!E32</f>
        <v>88</v>
      </c>
      <c r="G90" s="30">
        <f>'9B Sem 1'!F32</f>
        <v>93</v>
      </c>
      <c r="H90" s="30">
        <f>'9B Sem 1'!G32</f>
        <v>89</v>
      </c>
      <c r="I90" s="30">
        <f>'9B Sem 1'!H32</f>
        <v>92</v>
      </c>
      <c r="J90" s="30">
        <f>'9B Sem 1'!I32</f>
        <v>92</v>
      </c>
      <c r="K90" s="30">
        <f>'9B Sem 1'!J32</f>
        <v>99</v>
      </c>
      <c r="L90" s="30">
        <f>'9B Sem 1'!K32</f>
        <v>95</v>
      </c>
      <c r="M90" s="30">
        <f>'9B Sem 1'!L32</f>
        <v>99</v>
      </c>
      <c r="N90" s="30">
        <f>'9B Sem 1'!M32</f>
        <v>94</v>
      </c>
      <c r="O90" s="30">
        <f>'9B Sem 1'!N32</f>
        <v>96</v>
      </c>
      <c r="P90" s="30">
        <f>'9B Sem 1'!O32</f>
        <v>100</v>
      </c>
      <c r="Q90" s="30">
        <f>'9B Sem 1'!P32</f>
        <v>1037</v>
      </c>
      <c r="R90" s="30">
        <f>'9B Sem 1'!Q32</f>
        <v>94.272727272727266</v>
      </c>
      <c r="S90" s="30">
        <f>'9B Sem 1'!R32</f>
        <v>3</v>
      </c>
      <c r="T90" s="45">
        <f>'9B Sem 1'!S32</f>
        <v>0</v>
      </c>
      <c r="U90" s="45">
        <f>'9B Sem 1'!T32</f>
        <v>0</v>
      </c>
      <c r="V90" s="6"/>
      <c r="W90" s="6"/>
      <c r="X90" s="6"/>
      <c r="Y90" s="6"/>
      <c r="Z90" s="6"/>
    </row>
    <row r="91" spans="1:26" ht="18.95" customHeight="1" x14ac:dyDescent="0.25">
      <c r="A91" s="295"/>
      <c r="B91" s="293"/>
      <c r="C91" s="293">
        <v>14</v>
      </c>
      <c r="D91" s="293" t="s">
        <v>23</v>
      </c>
      <c r="E91" s="84" t="s">
        <v>22</v>
      </c>
      <c r="F91" s="30">
        <f>'9B Sem 2'!E32</f>
        <v>95</v>
      </c>
      <c r="G91" s="30">
        <f>'9B Sem 2'!F32</f>
        <v>89</v>
      </c>
      <c r="H91" s="30">
        <f>'9B Sem 2'!G32</f>
        <v>94</v>
      </c>
      <c r="I91" s="30">
        <f>'9B Sem 2'!H32</f>
        <v>88</v>
      </c>
      <c r="J91" s="30">
        <f>'9B Sem 2'!I32</f>
        <v>88</v>
      </c>
      <c r="K91" s="30">
        <f>'9B Sem 2'!J32</f>
        <v>98</v>
      </c>
      <c r="L91" s="30">
        <f>'9B Sem 2'!K32</f>
        <v>93</v>
      </c>
      <c r="M91" s="30">
        <f>'9B Sem 2'!L32</f>
        <v>95</v>
      </c>
      <c r="N91" s="30">
        <f>'9B Sem 2'!M32</f>
        <v>97</v>
      </c>
      <c r="O91" s="30">
        <f>'9B Sem 2'!N32</f>
        <v>95</v>
      </c>
      <c r="P91" s="30">
        <f>'9B Sem 2'!O32</f>
        <v>98</v>
      </c>
      <c r="Q91" s="30">
        <f>'9B Sem 2'!P32</f>
        <v>1030</v>
      </c>
      <c r="R91" s="30">
        <f>'9B Sem 2'!Q32</f>
        <v>93.63636363636364</v>
      </c>
      <c r="S91" s="30">
        <f>'9B Sem 2'!R32</f>
        <v>3</v>
      </c>
      <c r="T91" s="45">
        <f>'9B Sem 2'!S32</f>
        <v>0</v>
      </c>
      <c r="U91" s="45">
        <f>'9B Sem 2'!T32</f>
        <v>0</v>
      </c>
      <c r="V91" s="6"/>
      <c r="W91" s="6"/>
      <c r="X91" s="6"/>
      <c r="Y91" s="6"/>
      <c r="Z91" s="6"/>
    </row>
    <row r="92" spans="1:26" ht="18.95" customHeight="1" x14ac:dyDescent="0.25">
      <c r="A92" s="295"/>
      <c r="B92" s="293"/>
      <c r="C92" s="293">
        <v>14</v>
      </c>
      <c r="D92" s="293" t="s">
        <v>23</v>
      </c>
      <c r="E92" s="84" t="s">
        <v>16</v>
      </c>
      <c r="F92" s="30">
        <f>AVERAGE(F90:F91)</f>
        <v>91.5</v>
      </c>
      <c r="G92" s="30">
        <f t="shared" ref="G92:U92" si="28">AVERAGE(G90:G91)</f>
        <v>91</v>
      </c>
      <c r="H92" s="30">
        <f t="shared" si="28"/>
        <v>91.5</v>
      </c>
      <c r="I92" s="30">
        <f t="shared" si="28"/>
        <v>90</v>
      </c>
      <c r="J92" s="30">
        <f t="shared" si="28"/>
        <v>90</v>
      </c>
      <c r="K92" s="30">
        <f t="shared" si="28"/>
        <v>98.5</v>
      </c>
      <c r="L92" s="30">
        <f t="shared" si="28"/>
        <v>94</v>
      </c>
      <c r="M92" s="30">
        <f t="shared" si="28"/>
        <v>97</v>
      </c>
      <c r="N92" s="30">
        <f t="shared" si="28"/>
        <v>95.5</v>
      </c>
      <c r="O92" s="30">
        <f t="shared" si="28"/>
        <v>95.5</v>
      </c>
      <c r="P92" s="30">
        <f t="shared" si="28"/>
        <v>99</v>
      </c>
      <c r="Q92" s="30">
        <f t="shared" si="28"/>
        <v>1033.5</v>
      </c>
      <c r="R92" s="30">
        <f t="shared" si="28"/>
        <v>93.954545454545453</v>
      </c>
      <c r="S92" s="30"/>
      <c r="T92" s="30">
        <f t="shared" si="28"/>
        <v>0</v>
      </c>
      <c r="U92" s="30">
        <f t="shared" si="28"/>
        <v>0</v>
      </c>
      <c r="V92" s="6"/>
      <c r="W92" s="6"/>
      <c r="X92" s="6"/>
      <c r="Y92" s="6"/>
      <c r="Z92" s="6"/>
    </row>
    <row r="93" spans="1:26" ht="18.95" customHeight="1" x14ac:dyDescent="0.25">
      <c r="A93" s="292">
        <v>30</v>
      </c>
      <c r="B93" s="293"/>
      <c r="C93" s="294">
        <v>14</v>
      </c>
      <c r="D93" s="294" t="s">
        <v>20</v>
      </c>
      <c r="E93" s="84" t="s">
        <v>21</v>
      </c>
      <c r="F93" s="30">
        <f>'9B Sem 1'!E33</f>
        <v>81</v>
      </c>
      <c r="G93" s="31">
        <f>'9B Sem 1'!F33</f>
        <v>83</v>
      </c>
      <c r="H93" s="31">
        <f>'9B Sem 1'!G33</f>
        <v>71</v>
      </c>
      <c r="I93" s="31">
        <f>'9B Sem 1'!H33</f>
        <v>70</v>
      </c>
      <c r="J93" s="30">
        <f>'9B Sem 1'!I33</f>
        <v>63</v>
      </c>
      <c r="K93" s="30">
        <f>'9B Sem 1'!J33</f>
        <v>87</v>
      </c>
      <c r="L93" s="30">
        <f>'9B Sem 1'!K33</f>
        <v>63</v>
      </c>
      <c r="M93" s="30">
        <f>'9B Sem 1'!L33</f>
        <v>71</v>
      </c>
      <c r="N93" s="30">
        <f>'9B Sem 1'!M33</f>
        <v>78</v>
      </c>
      <c r="O93" s="30">
        <f>'9B Sem 1'!N33</f>
        <v>88</v>
      </c>
      <c r="P93" s="31">
        <f>'9B Sem 1'!O33</f>
        <v>81</v>
      </c>
      <c r="Q93" s="30">
        <f>'9B Sem 1'!P33</f>
        <v>836</v>
      </c>
      <c r="R93" s="30">
        <f>'9B Sem 1'!Q33</f>
        <v>76</v>
      </c>
      <c r="S93" s="30">
        <f>'9B Sem 1'!R33</f>
        <v>27</v>
      </c>
      <c r="T93" s="45">
        <f>'9B Sem 1'!S33</f>
        <v>0</v>
      </c>
      <c r="U93" s="45">
        <f>'9B Sem 1'!T33</f>
        <v>0</v>
      </c>
      <c r="V93" s="6"/>
      <c r="W93" s="6"/>
      <c r="X93" s="6"/>
      <c r="Y93" s="6"/>
      <c r="Z93" s="6"/>
    </row>
    <row r="94" spans="1:26" ht="18.95" customHeight="1" x14ac:dyDescent="0.25">
      <c r="A94" s="292"/>
      <c r="B94" s="293"/>
      <c r="C94" s="294">
        <v>14</v>
      </c>
      <c r="D94" s="294" t="s">
        <v>20</v>
      </c>
      <c r="E94" s="84" t="s">
        <v>22</v>
      </c>
      <c r="F94" s="30">
        <f>'9B Sem 2'!E33</f>
        <v>83</v>
      </c>
      <c r="G94" s="31">
        <f>'9B Sem 2'!F33</f>
        <v>89</v>
      </c>
      <c r="H94" s="31">
        <f>'9B Sem 2'!G33</f>
        <v>72</v>
      </c>
      <c r="I94" s="31">
        <f>'9B Sem 2'!H33</f>
        <v>59</v>
      </c>
      <c r="J94" s="30">
        <f>'9B Sem 2'!I33</f>
        <v>66</v>
      </c>
      <c r="K94" s="30">
        <f>'9B Sem 2'!J33</f>
        <v>77</v>
      </c>
      <c r="L94" s="30">
        <f>'9B Sem 2'!K33</f>
        <v>74</v>
      </c>
      <c r="M94" s="30">
        <f>'9B Sem 2'!L33</f>
        <v>70</v>
      </c>
      <c r="N94" s="30">
        <f>'9B Sem 2'!M33</f>
        <v>82</v>
      </c>
      <c r="O94" s="30">
        <f>'9B Sem 2'!N33</f>
        <v>94</v>
      </c>
      <c r="P94" s="31">
        <f>'9B Sem 2'!O33</f>
        <v>85</v>
      </c>
      <c r="Q94" s="30">
        <f>'9B Sem 2'!P33</f>
        <v>851</v>
      </c>
      <c r="R94" s="30">
        <f>'9B Sem 2'!Q33</f>
        <v>77.36363636363636</v>
      </c>
      <c r="S94" s="30">
        <f>'9B Sem 2'!R33</f>
        <v>27</v>
      </c>
      <c r="T94" s="45">
        <f>'9B Sem 2'!S33</f>
        <v>0</v>
      </c>
      <c r="U94" s="45">
        <f>'9B Sem 2'!T33</f>
        <v>0</v>
      </c>
      <c r="V94" s="6"/>
      <c r="W94" s="6"/>
      <c r="X94" s="6"/>
      <c r="Y94" s="6"/>
      <c r="Z94" s="6"/>
    </row>
    <row r="95" spans="1:26" ht="18.95" customHeight="1" x14ac:dyDescent="0.25">
      <c r="A95" s="292"/>
      <c r="B95" s="293"/>
      <c r="C95" s="294">
        <v>14</v>
      </c>
      <c r="D95" s="294" t="s">
        <v>20</v>
      </c>
      <c r="E95" s="84" t="s">
        <v>16</v>
      </c>
      <c r="F95" s="30">
        <f>AVERAGE(F93:F94)</f>
        <v>82</v>
      </c>
      <c r="G95" s="30">
        <f t="shared" ref="G95:U95" si="29">AVERAGE(G93:G94)</f>
        <v>86</v>
      </c>
      <c r="H95" s="30">
        <f t="shared" si="29"/>
        <v>71.5</v>
      </c>
      <c r="I95" s="30">
        <f t="shared" si="29"/>
        <v>64.5</v>
      </c>
      <c r="J95" s="30">
        <f t="shared" si="29"/>
        <v>64.5</v>
      </c>
      <c r="K95" s="30">
        <f t="shared" si="29"/>
        <v>82</v>
      </c>
      <c r="L95" s="30">
        <f t="shared" si="29"/>
        <v>68.5</v>
      </c>
      <c r="M95" s="30">
        <f t="shared" si="29"/>
        <v>70.5</v>
      </c>
      <c r="N95" s="30">
        <f t="shared" si="29"/>
        <v>80</v>
      </c>
      <c r="O95" s="30">
        <f t="shared" si="29"/>
        <v>91</v>
      </c>
      <c r="P95" s="30">
        <f t="shared" si="29"/>
        <v>83</v>
      </c>
      <c r="Q95" s="30">
        <f t="shared" si="29"/>
        <v>843.5</v>
      </c>
      <c r="R95" s="30">
        <f t="shared" si="29"/>
        <v>76.681818181818187</v>
      </c>
      <c r="S95" s="30"/>
      <c r="T95" s="30">
        <f t="shared" si="29"/>
        <v>0</v>
      </c>
      <c r="U95" s="30">
        <f t="shared" si="29"/>
        <v>0</v>
      </c>
      <c r="V95" s="6"/>
      <c r="W95" s="6"/>
      <c r="X95" s="6"/>
      <c r="Y95" s="6"/>
      <c r="Z95" s="6"/>
    </row>
    <row r="96" spans="1:26" ht="18.95" customHeight="1" x14ac:dyDescent="0.25">
      <c r="A96" s="295">
        <v>31</v>
      </c>
      <c r="B96" s="293"/>
      <c r="C96" s="293">
        <v>15</v>
      </c>
      <c r="D96" s="293" t="s">
        <v>23</v>
      </c>
      <c r="E96" s="84" t="s">
        <v>21</v>
      </c>
      <c r="F96" s="30">
        <f>'9B Sem 1'!E34</f>
        <v>90</v>
      </c>
      <c r="G96" s="30">
        <f>'9B Sem 1'!F34</f>
        <v>52</v>
      </c>
      <c r="H96" s="31">
        <f>'9B Sem 1'!G34</f>
        <v>68</v>
      </c>
      <c r="I96" s="30">
        <f>'9B Sem 1'!H34</f>
        <v>71</v>
      </c>
      <c r="J96" s="30">
        <f>'9B Sem 1'!I34</f>
        <v>77</v>
      </c>
      <c r="K96" s="30">
        <f>'9B Sem 1'!J34</f>
        <v>78</v>
      </c>
      <c r="L96" s="31">
        <f>'9B Sem 1'!K34</f>
        <v>65</v>
      </c>
      <c r="M96" s="30">
        <f>'9B Sem 1'!L34</f>
        <v>89</v>
      </c>
      <c r="N96" s="30">
        <f>'9B Sem 1'!M34</f>
        <v>69</v>
      </c>
      <c r="O96" s="30">
        <f>'9B Sem 1'!N34</f>
        <v>97</v>
      </c>
      <c r="P96" s="30">
        <f>'9B Sem 1'!O34</f>
        <v>88</v>
      </c>
      <c r="Q96" s="30">
        <f>'9B Sem 1'!P34</f>
        <v>844</v>
      </c>
      <c r="R96" s="30">
        <f>'9B Sem 1'!Q34</f>
        <v>76.727272727272734</v>
      </c>
      <c r="S96" s="30">
        <f>'9B Sem 1'!R34</f>
        <v>25</v>
      </c>
      <c r="T96" s="45">
        <f>'9B Sem 1'!S34</f>
        <v>0</v>
      </c>
      <c r="U96" s="45">
        <f>'9B Sem 1'!T34</f>
        <v>0</v>
      </c>
      <c r="V96" s="6"/>
      <c r="W96" s="6"/>
      <c r="X96" s="6"/>
      <c r="Y96" s="6"/>
      <c r="Z96" s="6"/>
    </row>
    <row r="97" spans="1:26" ht="18.95" customHeight="1" x14ac:dyDescent="0.25">
      <c r="A97" s="295"/>
      <c r="B97" s="293"/>
      <c r="C97" s="293">
        <v>15</v>
      </c>
      <c r="D97" s="293" t="s">
        <v>23</v>
      </c>
      <c r="E97" s="84" t="s">
        <v>22</v>
      </c>
      <c r="F97" s="30">
        <f>'9B Sem 2'!E34</f>
        <v>87</v>
      </c>
      <c r="G97" s="30">
        <f>'9B Sem 2'!F34</f>
        <v>58</v>
      </c>
      <c r="H97" s="31">
        <f>'9B Sem 2'!G34</f>
        <v>72</v>
      </c>
      <c r="I97" s="30">
        <f>'9B Sem 2'!H34</f>
        <v>71</v>
      </c>
      <c r="J97" s="30">
        <f>'9B Sem 2'!I34</f>
        <v>69</v>
      </c>
      <c r="K97" s="30">
        <f>'9B Sem 2'!J34</f>
        <v>75</v>
      </c>
      <c r="L97" s="31">
        <f>'9B Sem 2'!K34</f>
        <v>73</v>
      </c>
      <c r="M97" s="30">
        <f>'9B Sem 2'!L34</f>
        <v>86</v>
      </c>
      <c r="N97" s="30">
        <f>'9B Sem 2'!M34</f>
        <v>73</v>
      </c>
      <c r="O97" s="30">
        <f>'9B Sem 2'!N34</f>
        <v>88</v>
      </c>
      <c r="P97" s="30">
        <f>'9B Sem 2'!O34</f>
        <v>93</v>
      </c>
      <c r="Q97" s="30">
        <f>'9B Sem 2'!P34</f>
        <v>845</v>
      </c>
      <c r="R97" s="30">
        <f>'9B Sem 2'!Q34</f>
        <v>76.818181818181813</v>
      </c>
      <c r="S97" s="30">
        <f>'9B Sem 2'!R34</f>
        <v>29</v>
      </c>
      <c r="T97" s="45">
        <f>'9B Sem 2'!S34</f>
        <v>0</v>
      </c>
      <c r="U97" s="45">
        <f>'9B Sem 2'!T34</f>
        <v>0</v>
      </c>
      <c r="V97" s="6"/>
      <c r="W97" s="6"/>
      <c r="X97" s="6"/>
      <c r="Y97" s="6"/>
      <c r="Z97" s="6"/>
    </row>
    <row r="98" spans="1:26" ht="18.95" customHeight="1" x14ac:dyDescent="0.25">
      <c r="A98" s="295"/>
      <c r="B98" s="293"/>
      <c r="C98" s="293">
        <v>15</v>
      </c>
      <c r="D98" s="293" t="s">
        <v>23</v>
      </c>
      <c r="E98" s="84" t="s">
        <v>16</v>
      </c>
      <c r="F98" s="30">
        <f>AVERAGE(F96:F97)</f>
        <v>88.5</v>
      </c>
      <c r="G98" s="30">
        <f t="shared" ref="G98:U98" si="30">AVERAGE(G96:G97)</f>
        <v>55</v>
      </c>
      <c r="H98" s="30">
        <f t="shared" si="30"/>
        <v>70</v>
      </c>
      <c r="I98" s="30">
        <f t="shared" si="30"/>
        <v>71</v>
      </c>
      <c r="J98" s="30">
        <f t="shared" si="30"/>
        <v>73</v>
      </c>
      <c r="K98" s="30">
        <f t="shared" si="30"/>
        <v>76.5</v>
      </c>
      <c r="L98" s="30">
        <f t="shared" si="30"/>
        <v>69</v>
      </c>
      <c r="M98" s="30">
        <f t="shared" si="30"/>
        <v>87.5</v>
      </c>
      <c r="N98" s="30">
        <f t="shared" si="30"/>
        <v>71</v>
      </c>
      <c r="O98" s="30">
        <f t="shared" si="30"/>
        <v>92.5</v>
      </c>
      <c r="P98" s="30">
        <f t="shared" si="30"/>
        <v>90.5</v>
      </c>
      <c r="Q98" s="30">
        <f t="shared" si="30"/>
        <v>844.5</v>
      </c>
      <c r="R98" s="30">
        <f t="shared" si="30"/>
        <v>76.77272727272728</v>
      </c>
      <c r="S98" s="30"/>
      <c r="T98" s="30">
        <f t="shared" si="30"/>
        <v>0</v>
      </c>
      <c r="U98" s="30">
        <f t="shared" si="30"/>
        <v>0</v>
      </c>
      <c r="V98" s="6"/>
      <c r="W98" s="6"/>
      <c r="X98" s="6"/>
      <c r="Y98" s="6"/>
      <c r="Z98" s="6"/>
    </row>
    <row r="99" spans="1:26" ht="18.95" customHeight="1" x14ac:dyDescent="0.25">
      <c r="A99" s="295">
        <v>32</v>
      </c>
      <c r="B99" s="293"/>
      <c r="C99" s="293">
        <v>15</v>
      </c>
      <c r="D99" s="293" t="s">
        <v>23</v>
      </c>
      <c r="E99" s="84" t="s">
        <v>21</v>
      </c>
      <c r="F99" s="30">
        <f>'9B Sem 1'!E35</f>
        <v>88</v>
      </c>
      <c r="G99" s="30">
        <f>'9B Sem 1'!F35</f>
        <v>79</v>
      </c>
      <c r="H99" s="30">
        <f>'9B Sem 1'!G35</f>
        <v>71</v>
      </c>
      <c r="I99" s="30">
        <f>'9B Sem 1'!H35</f>
        <v>65</v>
      </c>
      <c r="J99" s="30">
        <f>'9B Sem 1'!I35</f>
        <v>61</v>
      </c>
      <c r="K99" s="30">
        <f>'9B Sem 1'!J35</f>
        <v>72</v>
      </c>
      <c r="L99" s="30">
        <f>'9B Sem 1'!K35</f>
        <v>73</v>
      </c>
      <c r="M99" s="30">
        <f>'9B Sem 1'!L35</f>
        <v>94</v>
      </c>
      <c r="N99" s="30">
        <f>'9B Sem 1'!M35</f>
        <v>83</v>
      </c>
      <c r="O99" s="30">
        <f>'9B Sem 1'!N35</f>
        <v>84</v>
      </c>
      <c r="P99" s="30">
        <f>'9B Sem 1'!O35</f>
        <v>85</v>
      </c>
      <c r="Q99" s="30">
        <f>'9B Sem 1'!P35</f>
        <v>855</v>
      </c>
      <c r="R99" s="30">
        <f>'9B Sem 1'!Q35</f>
        <v>77.727272727272734</v>
      </c>
      <c r="S99" s="30">
        <f>'9B Sem 1'!R35</f>
        <v>21</v>
      </c>
      <c r="T99" s="45">
        <f>'9B Sem 1'!S35</f>
        <v>0</v>
      </c>
      <c r="U99" s="45">
        <f>'9B Sem 1'!T35</f>
        <v>0</v>
      </c>
      <c r="V99" s="6"/>
      <c r="W99" s="6"/>
      <c r="X99" s="6"/>
      <c r="Y99" s="6"/>
      <c r="Z99" s="6"/>
    </row>
    <row r="100" spans="1:26" ht="18.95" customHeight="1" x14ac:dyDescent="0.25">
      <c r="A100" s="295"/>
      <c r="B100" s="293"/>
      <c r="C100" s="293">
        <v>15</v>
      </c>
      <c r="D100" s="293" t="s">
        <v>23</v>
      </c>
      <c r="E100" s="84" t="s">
        <v>22</v>
      </c>
      <c r="F100" s="30">
        <f>'9B Sem 2'!E35</f>
        <v>85</v>
      </c>
      <c r="G100" s="30">
        <f>'9B Sem 2'!F35</f>
        <v>80</v>
      </c>
      <c r="H100" s="30">
        <f>'9B Sem 2'!G35</f>
        <v>68</v>
      </c>
      <c r="I100" s="30">
        <f>'9B Sem 2'!H35</f>
        <v>51</v>
      </c>
      <c r="J100" s="30">
        <f>'9B Sem 2'!I35</f>
        <v>61</v>
      </c>
      <c r="K100" s="30">
        <f>'9B Sem 2'!J35</f>
        <v>61</v>
      </c>
      <c r="L100" s="30">
        <f>'9B Sem 2'!K35</f>
        <v>87</v>
      </c>
      <c r="M100" s="30">
        <f>'9B Sem 2'!L35</f>
        <v>90</v>
      </c>
      <c r="N100" s="30">
        <f>'9B Sem 2'!M35</f>
        <v>93</v>
      </c>
      <c r="O100" s="30">
        <f>'9B Sem 2'!N35</f>
        <v>95</v>
      </c>
      <c r="P100" s="30">
        <f>'9B Sem 2'!O35</f>
        <v>92</v>
      </c>
      <c r="Q100" s="30">
        <f>'9B Sem 2'!P35</f>
        <v>863</v>
      </c>
      <c r="R100" s="30">
        <f>'9B Sem 2'!Q35</f>
        <v>78.454545454545453</v>
      </c>
      <c r="S100" s="30">
        <f>'9B Sem 2'!R35</f>
        <v>25</v>
      </c>
      <c r="T100" s="45">
        <f>'9B Sem 2'!S35</f>
        <v>0</v>
      </c>
      <c r="U100" s="45">
        <f>'9B Sem 2'!T35</f>
        <v>0</v>
      </c>
      <c r="V100" s="6"/>
      <c r="W100" s="6"/>
      <c r="X100" s="6"/>
      <c r="Y100" s="6"/>
      <c r="Z100" s="6"/>
    </row>
    <row r="101" spans="1:26" ht="18.95" customHeight="1" x14ac:dyDescent="0.25">
      <c r="A101" s="295"/>
      <c r="B101" s="293"/>
      <c r="C101" s="293">
        <v>15</v>
      </c>
      <c r="D101" s="293" t="s">
        <v>23</v>
      </c>
      <c r="E101" s="84" t="s">
        <v>16</v>
      </c>
      <c r="F101" s="30">
        <f>AVERAGE(F99:F100)</f>
        <v>86.5</v>
      </c>
      <c r="G101" s="30">
        <f t="shared" ref="G101:U101" si="31">AVERAGE(G99:G100)</f>
        <v>79.5</v>
      </c>
      <c r="H101" s="30">
        <f t="shared" si="31"/>
        <v>69.5</v>
      </c>
      <c r="I101" s="30">
        <f t="shared" si="31"/>
        <v>58</v>
      </c>
      <c r="J101" s="30">
        <f t="shared" si="31"/>
        <v>61</v>
      </c>
      <c r="K101" s="30">
        <f t="shared" si="31"/>
        <v>66.5</v>
      </c>
      <c r="L101" s="30">
        <f t="shared" si="31"/>
        <v>80</v>
      </c>
      <c r="M101" s="30">
        <f t="shared" si="31"/>
        <v>92</v>
      </c>
      <c r="N101" s="30">
        <f t="shared" si="31"/>
        <v>88</v>
      </c>
      <c r="O101" s="30">
        <f t="shared" si="31"/>
        <v>89.5</v>
      </c>
      <c r="P101" s="30">
        <f t="shared" si="31"/>
        <v>88.5</v>
      </c>
      <c r="Q101" s="30">
        <f t="shared" si="31"/>
        <v>859</v>
      </c>
      <c r="R101" s="30">
        <f t="shared" si="31"/>
        <v>78.090909090909093</v>
      </c>
      <c r="S101" s="30"/>
      <c r="T101" s="30">
        <f t="shared" si="31"/>
        <v>0</v>
      </c>
      <c r="U101" s="30">
        <f t="shared" si="31"/>
        <v>0</v>
      </c>
      <c r="V101" s="6"/>
      <c r="W101" s="6"/>
      <c r="X101" s="6"/>
      <c r="Y101" s="6"/>
      <c r="Z101" s="6"/>
    </row>
    <row r="102" spans="1:26" ht="18.95" customHeight="1" x14ac:dyDescent="0.25">
      <c r="A102" s="295">
        <v>33</v>
      </c>
      <c r="B102" s="293"/>
      <c r="C102" s="293">
        <v>15</v>
      </c>
      <c r="D102" s="293" t="s">
        <v>20</v>
      </c>
      <c r="E102" s="84" t="s">
        <v>21</v>
      </c>
      <c r="F102" s="30">
        <f>'9B Sem 1'!E36</f>
        <v>78</v>
      </c>
      <c r="G102" s="30">
        <f>'9B Sem 1'!F36</f>
        <v>76</v>
      </c>
      <c r="H102" s="31">
        <f>'9B Sem 1'!G36</f>
        <v>64</v>
      </c>
      <c r="I102" s="30">
        <f>'9B Sem 1'!H36</f>
        <v>61</v>
      </c>
      <c r="J102" s="30">
        <f>'9B Sem 1'!I36</f>
        <v>54</v>
      </c>
      <c r="K102" s="30">
        <f>'9B Sem 1'!J36</f>
        <v>69</v>
      </c>
      <c r="L102" s="30">
        <f>'9B Sem 1'!K36</f>
        <v>58</v>
      </c>
      <c r="M102" s="30">
        <f>'9B Sem 1'!L36</f>
        <v>65</v>
      </c>
      <c r="N102" s="30">
        <f>'9B Sem 1'!M36</f>
        <v>62</v>
      </c>
      <c r="O102" s="30">
        <f>'9B Sem 1'!N36</f>
        <v>79</v>
      </c>
      <c r="P102" s="30">
        <f>'9B Sem 1'!O36</f>
        <v>85</v>
      </c>
      <c r="Q102" s="30">
        <f>'9B Sem 1'!P36</f>
        <v>751</v>
      </c>
      <c r="R102" s="30">
        <f>'9B Sem 1'!Q36</f>
        <v>68.272727272727266</v>
      </c>
      <c r="S102" s="30">
        <f>'9B Sem 1'!R36</f>
        <v>39</v>
      </c>
      <c r="T102" s="45">
        <f>'9B Sem 1'!S36</f>
        <v>0</v>
      </c>
      <c r="U102" s="45">
        <f>'9B Sem 1'!T36</f>
        <v>0</v>
      </c>
      <c r="V102" s="6"/>
      <c r="W102" s="6"/>
      <c r="X102" s="6"/>
      <c r="Y102" s="6"/>
      <c r="Z102" s="6"/>
    </row>
    <row r="103" spans="1:26" ht="18.95" customHeight="1" x14ac:dyDescent="0.25">
      <c r="A103" s="295"/>
      <c r="B103" s="293"/>
      <c r="C103" s="293">
        <v>15</v>
      </c>
      <c r="D103" s="293" t="s">
        <v>20</v>
      </c>
      <c r="E103" s="84" t="s">
        <v>22</v>
      </c>
      <c r="F103" s="30">
        <f>'9B Sem 2'!E36</f>
        <v>80</v>
      </c>
      <c r="G103" s="30">
        <f>'9B Sem 2'!F36</f>
        <v>75</v>
      </c>
      <c r="H103" s="31">
        <f>'9B Sem 2'!G36</f>
        <v>64</v>
      </c>
      <c r="I103" s="30">
        <f>'9B Sem 2'!H36</f>
        <v>65</v>
      </c>
      <c r="J103" s="30">
        <f>'9B Sem 2'!I36</f>
        <v>53</v>
      </c>
      <c r="K103" s="30">
        <f>'9B Sem 2'!J36</f>
        <v>73</v>
      </c>
      <c r="L103" s="30">
        <f>'9B Sem 2'!K36</f>
        <v>65</v>
      </c>
      <c r="M103" s="30">
        <f>'9B Sem 2'!L36</f>
        <v>61</v>
      </c>
      <c r="N103" s="30">
        <f>'9B Sem 2'!M36</f>
        <v>80</v>
      </c>
      <c r="O103" s="30">
        <f>'9B Sem 2'!N36</f>
        <v>77</v>
      </c>
      <c r="P103" s="30">
        <f>'9B Sem 2'!O36</f>
        <v>82</v>
      </c>
      <c r="Q103" s="30">
        <f>'9B Sem 2'!P36</f>
        <v>775</v>
      </c>
      <c r="R103" s="30">
        <f>'9B Sem 2'!Q36</f>
        <v>70.454545454545453</v>
      </c>
      <c r="S103" s="30">
        <f>'9B Sem 2'!R36</f>
        <v>40</v>
      </c>
      <c r="T103" s="45">
        <f>'9B Sem 2'!S36</f>
        <v>0</v>
      </c>
      <c r="U103" s="45">
        <f>'9B Sem 2'!T36</f>
        <v>0</v>
      </c>
      <c r="V103" s="6"/>
      <c r="W103" s="6"/>
      <c r="X103" s="6"/>
      <c r="Y103" s="6"/>
      <c r="Z103" s="6"/>
    </row>
    <row r="104" spans="1:26" ht="18.95" customHeight="1" x14ac:dyDescent="0.25">
      <c r="A104" s="295"/>
      <c r="B104" s="293"/>
      <c r="C104" s="293">
        <v>15</v>
      </c>
      <c r="D104" s="293" t="s">
        <v>20</v>
      </c>
      <c r="E104" s="84" t="s">
        <v>16</v>
      </c>
      <c r="F104" s="30">
        <f>AVERAGE(F102:F103)</f>
        <v>79</v>
      </c>
      <c r="G104" s="30">
        <f t="shared" ref="G104:U104" si="32">AVERAGE(G102:G103)</f>
        <v>75.5</v>
      </c>
      <c r="H104" s="30">
        <f t="shared" si="32"/>
        <v>64</v>
      </c>
      <c r="I104" s="30">
        <f t="shared" si="32"/>
        <v>63</v>
      </c>
      <c r="J104" s="30">
        <f t="shared" si="32"/>
        <v>53.5</v>
      </c>
      <c r="K104" s="30">
        <f t="shared" si="32"/>
        <v>71</v>
      </c>
      <c r="L104" s="30">
        <f t="shared" si="32"/>
        <v>61.5</v>
      </c>
      <c r="M104" s="30">
        <f t="shared" si="32"/>
        <v>63</v>
      </c>
      <c r="N104" s="30">
        <f t="shared" si="32"/>
        <v>71</v>
      </c>
      <c r="O104" s="30">
        <f t="shared" si="32"/>
        <v>78</v>
      </c>
      <c r="P104" s="30">
        <f t="shared" si="32"/>
        <v>83.5</v>
      </c>
      <c r="Q104" s="30">
        <f t="shared" si="32"/>
        <v>763</v>
      </c>
      <c r="R104" s="30">
        <f t="shared" si="32"/>
        <v>69.36363636363636</v>
      </c>
      <c r="S104" s="30"/>
      <c r="T104" s="30">
        <f t="shared" si="32"/>
        <v>0</v>
      </c>
      <c r="U104" s="30">
        <f t="shared" si="32"/>
        <v>0</v>
      </c>
      <c r="V104" s="6"/>
      <c r="W104" s="6"/>
      <c r="X104" s="6"/>
      <c r="Y104" s="6"/>
      <c r="Z104" s="6"/>
    </row>
    <row r="105" spans="1:26" ht="18.95" customHeight="1" x14ac:dyDescent="0.25">
      <c r="A105" s="292">
        <v>34</v>
      </c>
      <c r="B105" s="293"/>
      <c r="C105" s="293">
        <v>15</v>
      </c>
      <c r="D105" s="293" t="s">
        <v>20</v>
      </c>
      <c r="E105" s="84" t="s">
        <v>21</v>
      </c>
      <c r="F105" s="30">
        <f>'9B Sem 1'!E37</f>
        <v>82</v>
      </c>
      <c r="G105" s="30">
        <f>'9B Sem 1'!F37</f>
        <v>66</v>
      </c>
      <c r="H105" s="30">
        <f>'9B Sem 1'!G37</f>
        <v>77</v>
      </c>
      <c r="I105" s="30">
        <f>'9B Sem 1'!H37</f>
        <v>78</v>
      </c>
      <c r="J105" s="30">
        <f>'9B Sem 1'!I37</f>
        <v>81</v>
      </c>
      <c r="K105" s="30">
        <f>'9B Sem 1'!J37</f>
        <v>87</v>
      </c>
      <c r="L105" s="30">
        <f>'9B Sem 1'!K37</f>
        <v>84</v>
      </c>
      <c r="M105" s="30">
        <f>'9B Sem 1'!L37</f>
        <v>83</v>
      </c>
      <c r="N105" s="30">
        <f>'9B Sem 1'!M37</f>
        <v>85</v>
      </c>
      <c r="O105" s="30">
        <f>'9B Sem 1'!N37</f>
        <v>97</v>
      </c>
      <c r="P105" s="30">
        <f>'9B Sem 1'!O37</f>
        <v>100</v>
      </c>
      <c r="Q105" s="30">
        <f>'9B Sem 1'!P37</f>
        <v>920</v>
      </c>
      <c r="R105" s="30">
        <f>'9B Sem 1'!Q37</f>
        <v>83.63636363636364</v>
      </c>
      <c r="S105" s="30">
        <f>'9B Sem 1'!R37</f>
        <v>11</v>
      </c>
      <c r="T105" s="45">
        <f>'9B Sem 1'!S37</f>
        <v>0</v>
      </c>
      <c r="U105" s="45">
        <f>'9B Sem 1'!T37</f>
        <v>0</v>
      </c>
      <c r="V105" s="6"/>
      <c r="W105" s="6"/>
      <c r="X105" s="6"/>
      <c r="Y105" s="6"/>
      <c r="Z105" s="6"/>
    </row>
    <row r="106" spans="1:26" ht="18.95" customHeight="1" x14ac:dyDescent="0.25">
      <c r="A106" s="292"/>
      <c r="B106" s="293"/>
      <c r="C106" s="293">
        <v>15</v>
      </c>
      <c r="D106" s="293" t="s">
        <v>20</v>
      </c>
      <c r="E106" s="84" t="s">
        <v>22</v>
      </c>
      <c r="F106" s="30">
        <f>'9B Sem 2'!E37</f>
        <v>83</v>
      </c>
      <c r="G106" s="30">
        <f>'9B Sem 2'!F37</f>
        <v>83</v>
      </c>
      <c r="H106" s="30">
        <f>'9B Sem 2'!G37</f>
        <v>84</v>
      </c>
      <c r="I106" s="30">
        <f>'9B Sem 2'!H37</f>
        <v>81</v>
      </c>
      <c r="J106" s="30">
        <f>'9B Sem 2'!I37</f>
        <v>85</v>
      </c>
      <c r="K106" s="30">
        <f>'9B Sem 2'!J37</f>
        <v>90</v>
      </c>
      <c r="L106" s="30">
        <f>'9B Sem 2'!K37</f>
        <v>85</v>
      </c>
      <c r="M106" s="30">
        <f>'9B Sem 2'!L37</f>
        <v>78</v>
      </c>
      <c r="N106" s="30">
        <f>'9B Sem 2'!M37</f>
        <v>95</v>
      </c>
      <c r="O106" s="30">
        <f>'9B Sem 2'!N37</f>
        <v>87</v>
      </c>
      <c r="P106" s="30">
        <f>'9B Sem 2'!O37</f>
        <v>96</v>
      </c>
      <c r="Q106" s="30">
        <f>'9B Sem 2'!P37</f>
        <v>947</v>
      </c>
      <c r="R106" s="30">
        <f>'9B Sem 2'!Q37</f>
        <v>86.090909090909093</v>
      </c>
      <c r="S106" s="30">
        <f>'9B Sem 2'!R37</f>
        <v>10</v>
      </c>
      <c r="T106" s="45">
        <f>'9B Sem 2'!S37</f>
        <v>0</v>
      </c>
      <c r="U106" s="45">
        <f>'9B Sem 2'!T37</f>
        <v>0</v>
      </c>
      <c r="V106" s="6"/>
      <c r="W106" s="6"/>
      <c r="X106" s="6"/>
      <c r="Y106" s="6"/>
      <c r="Z106" s="6"/>
    </row>
    <row r="107" spans="1:26" ht="18.95" customHeight="1" x14ac:dyDescent="0.25">
      <c r="A107" s="292"/>
      <c r="B107" s="293"/>
      <c r="C107" s="293">
        <v>15</v>
      </c>
      <c r="D107" s="293" t="s">
        <v>20</v>
      </c>
      <c r="E107" s="84" t="s">
        <v>16</v>
      </c>
      <c r="F107" s="30">
        <f>AVERAGE(F105:F106)</f>
        <v>82.5</v>
      </c>
      <c r="G107" s="30">
        <f t="shared" ref="G107:U107" si="33">AVERAGE(G105:G106)</f>
        <v>74.5</v>
      </c>
      <c r="H107" s="30">
        <f t="shared" si="33"/>
        <v>80.5</v>
      </c>
      <c r="I107" s="30">
        <f t="shared" si="33"/>
        <v>79.5</v>
      </c>
      <c r="J107" s="30">
        <f t="shared" si="33"/>
        <v>83</v>
      </c>
      <c r="K107" s="30">
        <f t="shared" si="33"/>
        <v>88.5</v>
      </c>
      <c r="L107" s="30">
        <f t="shared" si="33"/>
        <v>84.5</v>
      </c>
      <c r="M107" s="30">
        <f t="shared" si="33"/>
        <v>80.5</v>
      </c>
      <c r="N107" s="30">
        <f t="shared" si="33"/>
        <v>90</v>
      </c>
      <c r="O107" s="30">
        <f t="shared" si="33"/>
        <v>92</v>
      </c>
      <c r="P107" s="30">
        <f t="shared" si="33"/>
        <v>98</v>
      </c>
      <c r="Q107" s="30">
        <f t="shared" si="33"/>
        <v>933.5</v>
      </c>
      <c r="R107" s="30">
        <f t="shared" si="33"/>
        <v>84.863636363636374</v>
      </c>
      <c r="S107" s="30"/>
      <c r="T107" s="30">
        <f t="shared" si="33"/>
        <v>0</v>
      </c>
      <c r="U107" s="30">
        <f t="shared" si="33"/>
        <v>0</v>
      </c>
      <c r="V107" s="6"/>
      <c r="W107" s="6"/>
      <c r="X107" s="6"/>
      <c r="Y107" s="6"/>
      <c r="Z107" s="6"/>
    </row>
    <row r="108" spans="1:26" ht="18.95" customHeight="1" x14ac:dyDescent="0.25">
      <c r="A108" s="292">
        <v>35</v>
      </c>
      <c r="B108" s="293"/>
      <c r="C108" s="294">
        <v>14</v>
      </c>
      <c r="D108" s="294" t="s">
        <v>20</v>
      </c>
      <c r="E108" s="84" t="s">
        <v>21</v>
      </c>
      <c r="F108" s="30">
        <f>'9B Sem 1'!E38</f>
        <v>78</v>
      </c>
      <c r="G108" s="30">
        <f>'9B Sem 1'!F38</f>
        <v>80</v>
      </c>
      <c r="H108" s="30">
        <f>'9B Sem 1'!G38</f>
        <v>82</v>
      </c>
      <c r="I108" s="30">
        <f>'9B Sem 1'!H38</f>
        <v>83</v>
      </c>
      <c r="J108" s="30">
        <f>'9B Sem 1'!I38</f>
        <v>83</v>
      </c>
      <c r="K108" s="30">
        <f>'9B Sem 1'!J38</f>
        <v>88</v>
      </c>
      <c r="L108" s="30">
        <f>'9B Sem 1'!K38</f>
        <v>83</v>
      </c>
      <c r="M108" s="30">
        <f>'9B Sem 1'!L38</f>
        <v>89</v>
      </c>
      <c r="N108" s="30">
        <f>'9B Sem 1'!M38</f>
        <v>84</v>
      </c>
      <c r="O108" s="30">
        <f>'9B Sem 1'!N38</f>
        <v>91</v>
      </c>
      <c r="P108" s="30">
        <f>'9B Sem 1'!O38</f>
        <v>92</v>
      </c>
      <c r="Q108" s="30">
        <f>'9B Sem 1'!P38</f>
        <v>933</v>
      </c>
      <c r="R108" s="30">
        <f>'9B Sem 1'!Q38</f>
        <v>84.818181818181813</v>
      </c>
      <c r="S108" s="30">
        <f>'9B Sem 1'!R38</f>
        <v>10</v>
      </c>
      <c r="T108" s="45">
        <f>'9B Sem 1'!S38</f>
        <v>0</v>
      </c>
      <c r="U108" s="45">
        <f>'9B Sem 1'!T38</f>
        <v>0</v>
      </c>
      <c r="V108" s="6"/>
      <c r="W108" s="6"/>
      <c r="X108" s="6"/>
      <c r="Y108" s="6"/>
      <c r="Z108" s="6"/>
    </row>
    <row r="109" spans="1:26" ht="18.95" customHeight="1" x14ac:dyDescent="0.25">
      <c r="A109" s="292"/>
      <c r="B109" s="293"/>
      <c r="C109" s="294">
        <v>14</v>
      </c>
      <c r="D109" s="294" t="s">
        <v>20</v>
      </c>
      <c r="E109" s="84" t="s">
        <v>22</v>
      </c>
      <c r="F109" s="30">
        <f>'9B Sem 2'!E38</f>
        <v>76</v>
      </c>
      <c r="G109" s="30">
        <f>'9B Sem 2'!F38</f>
        <v>84</v>
      </c>
      <c r="H109" s="30">
        <f>'9B Sem 2'!G38</f>
        <v>88</v>
      </c>
      <c r="I109" s="30">
        <f>'9B Sem 2'!H38</f>
        <v>83</v>
      </c>
      <c r="J109" s="30">
        <f>'9B Sem 2'!I38</f>
        <v>80</v>
      </c>
      <c r="K109" s="30">
        <f>'9B Sem 2'!J38</f>
        <v>91</v>
      </c>
      <c r="L109" s="30">
        <f>'9B Sem 2'!K38</f>
        <v>83</v>
      </c>
      <c r="M109" s="30">
        <f>'9B Sem 2'!L38</f>
        <v>81</v>
      </c>
      <c r="N109" s="30">
        <f>'9B Sem 2'!M38</f>
        <v>90</v>
      </c>
      <c r="O109" s="30">
        <f>'9B Sem 2'!N38</f>
        <v>85</v>
      </c>
      <c r="P109" s="30">
        <f>'9B Sem 2'!O38</f>
        <v>93</v>
      </c>
      <c r="Q109" s="30">
        <f>'9B Sem 2'!P38</f>
        <v>934</v>
      </c>
      <c r="R109" s="30">
        <f>'9B Sem 2'!Q38</f>
        <v>84.909090909090907</v>
      </c>
      <c r="S109" s="30">
        <f>'9B Sem 2'!R38</f>
        <v>11</v>
      </c>
      <c r="T109" s="45">
        <f>'9B Sem 2'!S38</f>
        <v>0</v>
      </c>
      <c r="U109" s="45">
        <f>'9B Sem 2'!T38</f>
        <v>0</v>
      </c>
      <c r="V109" s="6"/>
      <c r="W109" s="6"/>
      <c r="X109" s="6"/>
      <c r="Y109" s="6"/>
      <c r="Z109" s="6"/>
    </row>
    <row r="110" spans="1:26" ht="18.95" customHeight="1" x14ac:dyDescent="0.25">
      <c r="A110" s="292"/>
      <c r="B110" s="293"/>
      <c r="C110" s="294">
        <v>14</v>
      </c>
      <c r="D110" s="294" t="s">
        <v>20</v>
      </c>
      <c r="E110" s="84" t="s">
        <v>16</v>
      </c>
      <c r="F110" s="30">
        <f>AVERAGE(F108:F109)</f>
        <v>77</v>
      </c>
      <c r="G110" s="30">
        <f t="shared" ref="G110:U110" si="34">AVERAGE(G108:G109)</f>
        <v>82</v>
      </c>
      <c r="H110" s="30">
        <f t="shared" si="34"/>
        <v>85</v>
      </c>
      <c r="I110" s="30">
        <f t="shared" si="34"/>
        <v>83</v>
      </c>
      <c r="J110" s="30">
        <f t="shared" si="34"/>
        <v>81.5</v>
      </c>
      <c r="K110" s="30">
        <f t="shared" si="34"/>
        <v>89.5</v>
      </c>
      <c r="L110" s="30">
        <f t="shared" si="34"/>
        <v>83</v>
      </c>
      <c r="M110" s="30">
        <f t="shared" si="34"/>
        <v>85</v>
      </c>
      <c r="N110" s="30">
        <f t="shared" si="34"/>
        <v>87</v>
      </c>
      <c r="O110" s="30">
        <f t="shared" si="34"/>
        <v>88</v>
      </c>
      <c r="P110" s="30">
        <f t="shared" si="34"/>
        <v>92.5</v>
      </c>
      <c r="Q110" s="30">
        <f t="shared" si="34"/>
        <v>933.5</v>
      </c>
      <c r="R110" s="30">
        <f t="shared" si="34"/>
        <v>84.86363636363636</v>
      </c>
      <c r="S110" s="30"/>
      <c r="T110" s="30">
        <f t="shared" si="34"/>
        <v>0</v>
      </c>
      <c r="U110" s="30">
        <f t="shared" si="34"/>
        <v>0</v>
      </c>
      <c r="V110" s="6"/>
      <c r="W110" s="6"/>
      <c r="X110" s="6"/>
      <c r="Y110" s="6"/>
      <c r="Z110" s="6"/>
    </row>
    <row r="111" spans="1:26" ht="18.95" customHeight="1" x14ac:dyDescent="0.25">
      <c r="A111" s="292">
        <v>36</v>
      </c>
      <c r="B111" s="293"/>
      <c r="C111" s="293">
        <v>14</v>
      </c>
      <c r="D111" s="293" t="s">
        <v>20</v>
      </c>
      <c r="E111" s="84" t="s">
        <v>21</v>
      </c>
      <c r="F111" s="30">
        <f>'9B Sem 1'!E39</f>
        <v>80</v>
      </c>
      <c r="G111" s="30">
        <f>'9B Sem 1'!F39</f>
        <v>64</v>
      </c>
      <c r="H111" s="31">
        <f>'9B Sem 1'!G39</f>
        <v>82</v>
      </c>
      <c r="I111" s="30">
        <f>'9B Sem 1'!H39</f>
        <v>71</v>
      </c>
      <c r="J111" s="30">
        <f>'9B Sem 1'!I39</f>
        <v>88</v>
      </c>
      <c r="K111" s="30">
        <f>'9B Sem 1'!J39</f>
        <v>78</v>
      </c>
      <c r="L111" s="30">
        <f>'9B Sem 1'!K39</f>
        <v>73</v>
      </c>
      <c r="M111" s="30">
        <f>'9B Sem 1'!L39</f>
        <v>77</v>
      </c>
      <c r="N111" s="30">
        <f>'9B Sem 1'!M39</f>
        <v>68</v>
      </c>
      <c r="O111" s="30">
        <f>'9B Sem 1'!N39</f>
        <v>87</v>
      </c>
      <c r="P111" s="30">
        <f>'9B Sem 1'!O39</f>
        <v>76</v>
      </c>
      <c r="Q111" s="30">
        <f>'9B Sem 1'!P39</f>
        <v>844</v>
      </c>
      <c r="R111" s="30">
        <f>'9B Sem 1'!Q39</f>
        <v>76.727272727272734</v>
      </c>
      <c r="S111" s="30">
        <f>'9B Sem 1'!R39</f>
        <v>25</v>
      </c>
      <c r="T111" s="45">
        <f>'9B Sem 1'!S39</f>
        <v>0</v>
      </c>
      <c r="U111" s="45">
        <f>'9B Sem 1'!T39</f>
        <v>0</v>
      </c>
      <c r="V111" s="6"/>
      <c r="W111" s="6"/>
      <c r="X111" s="6"/>
      <c r="Y111" s="6"/>
      <c r="Z111" s="6"/>
    </row>
    <row r="112" spans="1:26" ht="18.95" customHeight="1" x14ac:dyDescent="0.25">
      <c r="A112" s="292"/>
      <c r="B112" s="293"/>
      <c r="C112" s="293">
        <v>14</v>
      </c>
      <c r="D112" s="293" t="s">
        <v>20</v>
      </c>
      <c r="E112" s="84" t="s">
        <v>22</v>
      </c>
      <c r="F112" s="30">
        <f>'9B Sem 2'!E39</f>
        <v>80</v>
      </c>
      <c r="G112" s="30">
        <f>'9B Sem 2'!F39</f>
        <v>71</v>
      </c>
      <c r="H112" s="31">
        <f>'9B Sem 2'!G39</f>
        <v>92</v>
      </c>
      <c r="I112" s="30">
        <f>'9B Sem 2'!H39</f>
        <v>76</v>
      </c>
      <c r="J112" s="30">
        <f>'9B Sem 2'!I39</f>
        <v>79</v>
      </c>
      <c r="K112" s="30">
        <f>'9B Sem 2'!J39</f>
        <v>95</v>
      </c>
      <c r="L112" s="30">
        <f>'9B Sem 2'!K39</f>
        <v>81</v>
      </c>
      <c r="M112" s="30">
        <f>'9B Sem 2'!L39</f>
        <v>78</v>
      </c>
      <c r="N112" s="30">
        <f>'9B Sem 2'!M39</f>
        <v>75</v>
      </c>
      <c r="O112" s="30">
        <f>'9B Sem 2'!N39</f>
        <v>84</v>
      </c>
      <c r="P112" s="30">
        <f>'9B Sem 2'!O39</f>
        <v>85</v>
      </c>
      <c r="Q112" s="30">
        <f>'9B Sem 2'!P39</f>
        <v>896</v>
      </c>
      <c r="R112" s="30">
        <f>'9B Sem 2'!Q39</f>
        <v>81.454545454545453</v>
      </c>
      <c r="S112" s="30">
        <f>'9B Sem 2'!R39</f>
        <v>19</v>
      </c>
      <c r="T112" s="45">
        <f>'9B Sem 2'!S39</f>
        <v>0</v>
      </c>
      <c r="U112" s="45">
        <f>'9B Sem 2'!T39</f>
        <v>0</v>
      </c>
      <c r="V112" s="6"/>
      <c r="W112" s="6"/>
      <c r="X112" s="6"/>
      <c r="Y112" s="6"/>
      <c r="Z112" s="6"/>
    </row>
    <row r="113" spans="1:26" ht="18.95" customHeight="1" x14ac:dyDescent="0.25">
      <c r="A113" s="292"/>
      <c r="B113" s="293"/>
      <c r="C113" s="293">
        <v>14</v>
      </c>
      <c r="D113" s="293" t="s">
        <v>20</v>
      </c>
      <c r="E113" s="84" t="s">
        <v>16</v>
      </c>
      <c r="F113" s="30">
        <f>AVERAGE(F111:F112)</f>
        <v>80</v>
      </c>
      <c r="G113" s="30">
        <f t="shared" ref="G113:U113" si="35">AVERAGE(G111:G112)</f>
        <v>67.5</v>
      </c>
      <c r="H113" s="30">
        <f t="shared" si="35"/>
        <v>87</v>
      </c>
      <c r="I113" s="30">
        <f t="shared" si="35"/>
        <v>73.5</v>
      </c>
      <c r="J113" s="30">
        <f t="shared" si="35"/>
        <v>83.5</v>
      </c>
      <c r="K113" s="30">
        <f t="shared" si="35"/>
        <v>86.5</v>
      </c>
      <c r="L113" s="30">
        <f t="shared" si="35"/>
        <v>77</v>
      </c>
      <c r="M113" s="30">
        <f t="shared" si="35"/>
        <v>77.5</v>
      </c>
      <c r="N113" s="30">
        <f t="shared" si="35"/>
        <v>71.5</v>
      </c>
      <c r="O113" s="30">
        <f t="shared" si="35"/>
        <v>85.5</v>
      </c>
      <c r="P113" s="30">
        <f t="shared" si="35"/>
        <v>80.5</v>
      </c>
      <c r="Q113" s="30">
        <f t="shared" si="35"/>
        <v>870</v>
      </c>
      <c r="R113" s="30">
        <f t="shared" si="35"/>
        <v>79.090909090909093</v>
      </c>
      <c r="S113" s="30"/>
      <c r="T113" s="30">
        <f t="shared" si="35"/>
        <v>0</v>
      </c>
      <c r="U113" s="30">
        <f t="shared" si="35"/>
        <v>0</v>
      </c>
      <c r="V113" s="6"/>
      <c r="W113" s="6"/>
      <c r="X113" s="6"/>
      <c r="Y113" s="6"/>
      <c r="Z113" s="6"/>
    </row>
    <row r="114" spans="1:26" ht="18.95" customHeight="1" x14ac:dyDescent="0.25">
      <c r="A114" s="295">
        <v>37</v>
      </c>
      <c r="B114" s="293"/>
      <c r="C114" s="293">
        <v>15</v>
      </c>
      <c r="D114" s="293" t="s">
        <v>23</v>
      </c>
      <c r="E114" s="84" t="s">
        <v>21</v>
      </c>
      <c r="F114" s="30">
        <f>'9B Sem 1'!E40</f>
        <v>90</v>
      </c>
      <c r="G114" s="30">
        <f>'9B Sem 1'!F40</f>
        <v>82</v>
      </c>
      <c r="H114" s="30">
        <f>'9B Sem 1'!G40</f>
        <v>90</v>
      </c>
      <c r="I114" s="30">
        <f>'9B Sem 1'!H40</f>
        <v>91</v>
      </c>
      <c r="J114" s="30">
        <f>'9B Sem 1'!I40</f>
        <v>87</v>
      </c>
      <c r="K114" s="30">
        <f>'9B Sem 1'!J40</f>
        <v>96</v>
      </c>
      <c r="L114" s="30">
        <f>'9B Sem 1'!K40</f>
        <v>96</v>
      </c>
      <c r="M114" s="30">
        <f>'9B Sem 1'!L40</f>
        <v>100</v>
      </c>
      <c r="N114" s="30">
        <f>'9B Sem 1'!M40</f>
        <v>90</v>
      </c>
      <c r="O114" s="30">
        <f>'9B Sem 1'!N40</f>
        <v>100</v>
      </c>
      <c r="P114" s="30">
        <f>'9B Sem 1'!O40</f>
        <v>100</v>
      </c>
      <c r="Q114" s="30">
        <f>'9B Sem 1'!P40</f>
        <v>1022</v>
      </c>
      <c r="R114" s="30">
        <f>'9B Sem 1'!Q40</f>
        <v>92.909090909090907</v>
      </c>
      <c r="S114" s="30">
        <f>'9B Sem 1'!R40</f>
        <v>4</v>
      </c>
      <c r="T114" s="45">
        <f>'9B Sem 1'!S40</f>
        <v>0</v>
      </c>
      <c r="U114" s="45">
        <f>'9B Sem 1'!T40</f>
        <v>0</v>
      </c>
      <c r="V114" s="6"/>
      <c r="W114" s="6"/>
      <c r="X114" s="6"/>
      <c r="Y114" s="6"/>
      <c r="Z114" s="6"/>
    </row>
    <row r="115" spans="1:26" ht="18.95" customHeight="1" x14ac:dyDescent="0.25">
      <c r="A115" s="295"/>
      <c r="B115" s="293"/>
      <c r="C115" s="293">
        <v>15</v>
      </c>
      <c r="D115" s="293" t="s">
        <v>23</v>
      </c>
      <c r="E115" s="84" t="s">
        <v>22</v>
      </c>
      <c r="F115" s="30">
        <f>'9B Sem 2'!E40</f>
        <v>90</v>
      </c>
      <c r="G115" s="30">
        <f>'9B Sem 2'!F40</f>
        <v>86</v>
      </c>
      <c r="H115" s="30">
        <f>'9B Sem 2'!G40</f>
        <v>96</v>
      </c>
      <c r="I115" s="30">
        <f>'9B Sem 2'!H40</f>
        <v>92</v>
      </c>
      <c r="J115" s="30">
        <f>'9B Sem 2'!I40</f>
        <v>83</v>
      </c>
      <c r="K115" s="30">
        <f>'9B Sem 2'!J40</f>
        <v>98</v>
      </c>
      <c r="L115" s="30">
        <f>'9B Sem 2'!K40</f>
        <v>88</v>
      </c>
      <c r="M115" s="30">
        <f>'9B Sem 2'!L40</f>
        <v>89</v>
      </c>
      <c r="N115" s="30">
        <f>'9B Sem 2'!M40</f>
        <v>97</v>
      </c>
      <c r="O115" s="30">
        <f>'9B Sem 2'!N40</f>
        <v>93</v>
      </c>
      <c r="P115" s="30">
        <f>'9B Sem 2'!O40</f>
        <v>98</v>
      </c>
      <c r="Q115" s="30">
        <f>'9B Sem 2'!P40</f>
        <v>1010</v>
      </c>
      <c r="R115" s="30">
        <f>'9B Sem 2'!Q40</f>
        <v>91.818181818181813</v>
      </c>
      <c r="S115" s="30">
        <f>'9B Sem 2'!R40</f>
        <v>6</v>
      </c>
      <c r="T115" s="45">
        <f>'9B Sem 2'!S40</f>
        <v>0</v>
      </c>
      <c r="U115" s="45">
        <f>'9B Sem 2'!T40</f>
        <v>0</v>
      </c>
      <c r="V115" s="6"/>
      <c r="W115" s="6"/>
      <c r="X115" s="6"/>
      <c r="Y115" s="6"/>
      <c r="Z115" s="6"/>
    </row>
    <row r="116" spans="1:26" ht="18.95" customHeight="1" x14ac:dyDescent="0.25">
      <c r="A116" s="295"/>
      <c r="B116" s="293"/>
      <c r="C116" s="293">
        <v>15</v>
      </c>
      <c r="D116" s="293" t="s">
        <v>23</v>
      </c>
      <c r="E116" s="84" t="s">
        <v>16</v>
      </c>
      <c r="F116" s="30">
        <f>AVERAGE(F114:F115)</f>
        <v>90</v>
      </c>
      <c r="G116" s="30">
        <f t="shared" ref="G116:U116" si="36">AVERAGE(G114:G115)</f>
        <v>84</v>
      </c>
      <c r="H116" s="30">
        <f t="shared" si="36"/>
        <v>93</v>
      </c>
      <c r="I116" s="30">
        <f t="shared" si="36"/>
        <v>91.5</v>
      </c>
      <c r="J116" s="30">
        <f t="shared" si="36"/>
        <v>85</v>
      </c>
      <c r="K116" s="30">
        <f t="shared" si="36"/>
        <v>97</v>
      </c>
      <c r="L116" s="30">
        <f t="shared" si="36"/>
        <v>92</v>
      </c>
      <c r="M116" s="30">
        <f t="shared" si="36"/>
        <v>94.5</v>
      </c>
      <c r="N116" s="30">
        <f t="shared" si="36"/>
        <v>93.5</v>
      </c>
      <c r="O116" s="30">
        <f t="shared" si="36"/>
        <v>96.5</v>
      </c>
      <c r="P116" s="30">
        <f t="shared" si="36"/>
        <v>99</v>
      </c>
      <c r="Q116" s="30">
        <f t="shared" si="36"/>
        <v>1016</v>
      </c>
      <c r="R116" s="30">
        <f t="shared" si="36"/>
        <v>92.36363636363636</v>
      </c>
      <c r="S116" s="30"/>
      <c r="T116" s="30">
        <f t="shared" si="36"/>
        <v>0</v>
      </c>
      <c r="U116" s="30">
        <f t="shared" si="36"/>
        <v>0</v>
      </c>
      <c r="V116" s="6"/>
      <c r="W116" s="6"/>
      <c r="X116" s="6"/>
      <c r="Y116" s="6"/>
      <c r="Z116" s="6"/>
    </row>
    <row r="117" spans="1:26" ht="18.95" customHeight="1" x14ac:dyDescent="0.25">
      <c r="A117" s="295">
        <v>38</v>
      </c>
      <c r="B117" s="293"/>
      <c r="C117" s="293">
        <v>14</v>
      </c>
      <c r="D117" s="293" t="s">
        <v>20</v>
      </c>
      <c r="E117" s="84" t="s">
        <v>21</v>
      </c>
      <c r="F117" s="30">
        <f>'9B Sem 1'!E41</f>
        <v>89</v>
      </c>
      <c r="G117" s="30">
        <f>'9B Sem 1'!F41</f>
        <v>57</v>
      </c>
      <c r="H117" s="30">
        <f>'9B Sem 1'!G41</f>
        <v>85</v>
      </c>
      <c r="I117" s="30">
        <f>'9B Sem 1'!H41</f>
        <v>74</v>
      </c>
      <c r="J117" s="30">
        <f>'9B Sem 1'!I41</f>
        <v>83</v>
      </c>
      <c r="K117" s="30">
        <f>'9B Sem 1'!J41</f>
        <v>81</v>
      </c>
      <c r="L117" s="30">
        <f>'9B Sem 1'!K41</f>
        <v>77</v>
      </c>
      <c r="M117" s="30">
        <f>'9B Sem 1'!L41</f>
        <v>90</v>
      </c>
      <c r="N117" s="30">
        <f>'9B Sem 1'!M41</f>
        <v>79</v>
      </c>
      <c r="O117" s="30">
        <f>'9B Sem 1'!N41</f>
        <v>100</v>
      </c>
      <c r="P117" s="30">
        <f>'9B Sem 1'!O41</f>
        <v>89</v>
      </c>
      <c r="Q117" s="30">
        <f>'9B Sem 1'!P41</f>
        <v>904</v>
      </c>
      <c r="R117" s="30">
        <f>'9B Sem 1'!Q41</f>
        <v>82.181818181818187</v>
      </c>
      <c r="S117" s="30">
        <f>'9B Sem 1'!R41</f>
        <v>15</v>
      </c>
      <c r="T117" s="45">
        <f>'9B Sem 1'!S41</f>
        <v>0</v>
      </c>
      <c r="U117" s="45">
        <f>'9B Sem 1'!T41</f>
        <v>0</v>
      </c>
      <c r="V117" s="6"/>
      <c r="W117" s="6"/>
      <c r="X117" s="6"/>
      <c r="Y117" s="6"/>
      <c r="Z117" s="6"/>
    </row>
    <row r="118" spans="1:26" ht="18.95" customHeight="1" x14ac:dyDescent="0.25">
      <c r="A118" s="295"/>
      <c r="B118" s="293"/>
      <c r="C118" s="293">
        <v>14</v>
      </c>
      <c r="D118" s="293" t="s">
        <v>20</v>
      </c>
      <c r="E118" s="84" t="s">
        <v>22</v>
      </c>
      <c r="F118" s="30">
        <f>'9B Sem 2'!E41</f>
        <v>93</v>
      </c>
      <c r="G118" s="30">
        <f>'9B Sem 2'!F41</f>
        <v>77</v>
      </c>
      <c r="H118" s="30">
        <f>'9B Sem 2'!G41</f>
        <v>83</v>
      </c>
      <c r="I118" s="30">
        <f>'9B Sem 2'!H41</f>
        <v>70</v>
      </c>
      <c r="J118" s="30">
        <f>'9B Sem 2'!I41</f>
        <v>76</v>
      </c>
      <c r="K118" s="30">
        <f>'9B Sem 2'!J41</f>
        <v>75</v>
      </c>
      <c r="L118" s="30">
        <f>'9B Sem 2'!K41</f>
        <v>74</v>
      </c>
      <c r="M118" s="30">
        <f>'9B Sem 2'!L41</f>
        <v>79</v>
      </c>
      <c r="N118" s="30">
        <f>'9B Sem 2'!M41</f>
        <v>81</v>
      </c>
      <c r="O118" s="30">
        <f>'9B Sem 2'!N41</f>
        <v>97</v>
      </c>
      <c r="P118" s="30">
        <f>'9B Sem 2'!O41</f>
        <v>100</v>
      </c>
      <c r="Q118" s="30">
        <f>'9B Sem 2'!P41</f>
        <v>905</v>
      </c>
      <c r="R118" s="30">
        <f>'9B Sem 2'!Q41</f>
        <v>82.272727272727266</v>
      </c>
      <c r="S118" s="30">
        <f>'9B Sem 2'!R41</f>
        <v>17</v>
      </c>
      <c r="T118" s="45">
        <f>'9B Sem 2'!S41</f>
        <v>0</v>
      </c>
      <c r="U118" s="45">
        <f>'9B Sem 2'!T41</f>
        <v>0</v>
      </c>
      <c r="V118" s="6"/>
      <c r="W118" s="6"/>
      <c r="X118" s="6"/>
      <c r="Y118" s="6"/>
      <c r="Z118" s="6"/>
    </row>
    <row r="119" spans="1:26" ht="18.95" customHeight="1" x14ac:dyDescent="0.25">
      <c r="A119" s="295"/>
      <c r="B119" s="293"/>
      <c r="C119" s="293">
        <v>14</v>
      </c>
      <c r="D119" s="293" t="s">
        <v>20</v>
      </c>
      <c r="E119" s="84" t="s">
        <v>16</v>
      </c>
      <c r="F119" s="30">
        <f>AVERAGE(F117:F118)</f>
        <v>91</v>
      </c>
      <c r="G119" s="30">
        <f t="shared" ref="G119:U119" si="37">AVERAGE(G117:G118)</f>
        <v>67</v>
      </c>
      <c r="H119" s="30">
        <f t="shared" si="37"/>
        <v>84</v>
      </c>
      <c r="I119" s="30">
        <f t="shared" si="37"/>
        <v>72</v>
      </c>
      <c r="J119" s="30">
        <f t="shared" si="37"/>
        <v>79.5</v>
      </c>
      <c r="K119" s="30">
        <f t="shared" si="37"/>
        <v>78</v>
      </c>
      <c r="L119" s="30">
        <f t="shared" si="37"/>
        <v>75.5</v>
      </c>
      <c r="M119" s="30">
        <f t="shared" si="37"/>
        <v>84.5</v>
      </c>
      <c r="N119" s="30">
        <f t="shared" si="37"/>
        <v>80</v>
      </c>
      <c r="O119" s="30">
        <f t="shared" si="37"/>
        <v>98.5</v>
      </c>
      <c r="P119" s="30">
        <f t="shared" si="37"/>
        <v>94.5</v>
      </c>
      <c r="Q119" s="30">
        <f t="shared" si="37"/>
        <v>904.5</v>
      </c>
      <c r="R119" s="30">
        <f t="shared" si="37"/>
        <v>82.22727272727272</v>
      </c>
      <c r="S119" s="30"/>
      <c r="T119" s="30">
        <f t="shared" si="37"/>
        <v>0</v>
      </c>
      <c r="U119" s="30">
        <f t="shared" si="37"/>
        <v>0</v>
      </c>
      <c r="V119" s="6"/>
      <c r="W119" s="6"/>
      <c r="X119" s="6"/>
      <c r="Y119" s="6"/>
      <c r="Z119" s="6"/>
    </row>
    <row r="120" spans="1:26" ht="18.95" customHeight="1" x14ac:dyDescent="0.25">
      <c r="A120" s="292">
        <v>39</v>
      </c>
      <c r="B120" s="293"/>
      <c r="C120" s="294">
        <v>14</v>
      </c>
      <c r="D120" s="294" t="s">
        <v>23</v>
      </c>
      <c r="E120" s="84" t="s">
        <v>21</v>
      </c>
      <c r="F120" s="30">
        <f>'9B Sem 1'!E42</f>
        <v>85</v>
      </c>
      <c r="G120" s="30">
        <f>'9B Sem 1'!F42</f>
        <v>82</v>
      </c>
      <c r="H120" s="31">
        <f>'9B Sem 1'!G42</f>
        <v>90</v>
      </c>
      <c r="I120" s="30">
        <f>'9B Sem 1'!H42</f>
        <v>89</v>
      </c>
      <c r="J120" s="30">
        <f>'9B Sem 1'!I42</f>
        <v>87</v>
      </c>
      <c r="K120" s="30">
        <f>'9B Sem 1'!J42</f>
        <v>89</v>
      </c>
      <c r="L120" s="30">
        <f>'9B Sem 1'!K42</f>
        <v>90</v>
      </c>
      <c r="M120" s="30">
        <f>'9B Sem 1'!L42</f>
        <v>89</v>
      </c>
      <c r="N120" s="30">
        <f>'9B Sem 1'!M42</f>
        <v>88</v>
      </c>
      <c r="O120" s="30">
        <f>'9B Sem 1'!N42</f>
        <v>100</v>
      </c>
      <c r="P120" s="30">
        <f>'9B Sem 1'!O42</f>
        <v>100</v>
      </c>
      <c r="Q120" s="30">
        <f>'9B Sem 1'!P42</f>
        <v>989</v>
      </c>
      <c r="R120" s="30">
        <f>'9B Sem 1'!Q42</f>
        <v>89.909090909090907</v>
      </c>
      <c r="S120" s="30">
        <f>'9B Sem 1'!R42</f>
        <v>5</v>
      </c>
      <c r="T120" s="45">
        <f>'9B Sem 1'!S42</f>
        <v>0</v>
      </c>
      <c r="U120" s="45">
        <f>'9B Sem 1'!T42</f>
        <v>0</v>
      </c>
      <c r="V120" s="6"/>
      <c r="W120" s="6"/>
      <c r="X120" s="6"/>
      <c r="Y120" s="6"/>
      <c r="Z120" s="6"/>
    </row>
    <row r="121" spans="1:26" ht="18.95" customHeight="1" x14ac:dyDescent="0.25">
      <c r="A121" s="292"/>
      <c r="B121" s="293"/>
      <c r="C121" s="294">
        <v>14</v>
      </c>
      <c r="D121" s="294" t="s">
        <v>23</v>
      </c>
      <c r="E121" s="84" t="s">
        <v>22</v>
      </c>
      <c r="F121" s="30">
        <f>'9B Sem 2'!E42</f>
        <v>94</v>
      </c>
      <c r="G121" s="30">
        <f>'9B Sem 2'!F42</f>
        <v>82</v>
      </c>
      <c r="H121" s="31">
        <f>'9B Sem 2'!G42</f>
        <v>91</v>
      </c>
      <c r="I121" s="30">
        <f>'9B Sem 2'!H42</f>
        <v>93</v>
      </c>
      <c r="J121" s="30">
        <f>'9B Sem 2'!I42</f>
        <v>87</v>
      </c>
      <c r="K121" s="30">
        <f>'9B Sem 2'!J42</f>
        <v>96</v>
      </c>
      <c r="L121" s="30">
        <f>'9B Sem 2'!K42</f>
        <v>90</v>
      </c>
      <c r="M121" s="30">
        <f>'9B Sem 2'!L42</f>
        <v>97</v>
      </c>
      <c r="N121" s="30">
        <f>'9B Sem 2'!M42</f>
        <v>94</v>
      </c>
      <c r="O121" s="30">
        <f>'9B Sem 2'!N42</f>
        <v>95</v>
      </c>
      <c r="P121" s="30">
        <f>'9B Sem 2'!O42</f>
        <v>98</v>
      </c>
      <c r="Q121" s="30">
        <f>'9B Sem 2'!P42</f>
        <v>1017</v>
      </c>
      <c r="R121" s="30">
        <f>'9B Sem 2'!Q42</f>
        <v>92.454545454545453</v>
      </c>
      <c r="S121" s="30">
        <f>'9B Sem 2'!R42</f>
        <v>5</v>
      </c>
      <c r="T121" s="45">
        <f>'9B Sem 2'!S42</f>
        <v>0</v>
      </c>
      <c r="U121" s="45">
        <f>'9B Sem 2'!T42</f>
        <v>0</v>
      </c>
      <c r="V121" s="6"/>
      <c r="W121" s="6"/>
      <c r="X121" s="6"/>
      <c r="Y121" s="6"/>
      <c r="Z121" s="6"/>
    </row>
    <row r="122" spans="1:26" ht="18.95" customHeight="1" x14ac:dyDescent="0.25">
      <c r="A122" s="292"/>
      <c r="B122" s="293"/>
      <c r="C122" s="294">
        <v>14</v>
      </c>
      <c r="D122" s="294" t="s">
        <v>23</v>
      </c>
      <c r="E122" s="84" t="s">
        <v>16</v>
      </c>
      <c r="F122" s="30">
        <f>AVERAGE(F120:F121)</f>
        <v>89.5</v>
      </c>
      <c r="G122" s="30">
        <f t="shared" ref="G122:U122" si="38">AVERAGE(G120:G121)</f>
        <v>82</v>
      </c>
      <c r="H122" s="30">
        <f t="shared" si="38"/>
        <v>90.5</v>
      </c>
      <c r="I122" s="30">
        <f t="shared" si="38"/>
        <v>91</v>
      </c>
      <c r="J122" s="30">
        <f t="shared" si="38"/>
        <v>87</v>
      </c>
      <c r="K122" s="30">
        <f t="shared" si="38"/>
        <v>92.5</v>
      </c>
      <c r="L122" s="30">
        <f t="shared" si="38"/>
        <v>90</v>
      </c>
      <c r="M122" s="30">
        <f t="shared" si="38"/>
        <v>93</v>
      </c>
      <c r="N122" s="30">
        <f t="shared" si="38"/>
        <v>91</v>
      </c>
      <c r="O122" s="30">
        <f t="shared" si="38"/>
        <v>97.5</v>
      </c>
      <c r="P122" s="30">
        <f t="shared" si="38"/>
        <v>99</v>
      </c>
      <c r="Q122" s="30">
        <f t="shared" si="38"/>
        <v>1003</v>
      </c>
      <c r="R122" s="30">
        <f t="shared" si="38"/>
        <v>91.181818181818187</v>
      </c>
      <c r="S122" s="30"/>
      <c r="T122" s="30">
        <f t="shared" si="38"/>
        <v>0</v>
      </c>
      <c r="U122" s="30">
        <f t="shared" si="38"/>
        <v>0</v>
      </c>
      <c r="V122" s="6"/>
      <c r="W122" s="6"/>
      <c r="X122" s="6"/>
      <c r="Y122" s="6"/>
      <c r="Z122" s="6"/>
    </row>
    <row r="123" spans="1:26" ht="18.95" customHeight="1" x14ac:dyDescent="0.25">
      <c r="A123" s="295">
        <v>40</v>
      </c>
      <c r="B123" s="296"/>
      <c r="C123" s="294">
        <v>15</v>
      </c>
      <c r="D123" s="294" t="s">
        <v>23</v>
      </c>
      <c r="E123" s="84" t="s">
        <v>21</v>
      </c>
      <c r="F123" s="30">
        <f>'9B Sem 1'!E43</f>
        <v>77</v>
      </c>
      <c r="G123" s="30">
        <f>'9B Sem 1'!F43</f>
        <v>77</v>
      </c>
      <c r="H123" s="30">
        <f>'9B Sem 1'!G43</f>
        <v>51</v>
      </c>
      <c r="I123" s="30">
        <f>'9B Sem 1'!H43</f>
        <v>49</v>
      </c>
      <c r="J123" s="30">
        <f>'9B Sem 1'!I43</f>
        <v>44</v>
      </c>
      <c r="K123" s="30">
        <f>'9B Sem 1'!J43</f>
        <v>46</v>
      </c>
      <c r="L123" s="31">
        <f>'9B Sem 1'!K43</f>
        <v>47</v>
      </c>
      <c r="M123" s="30">
        <f>'9B Sem 1'!L43</f>
        <v>62</v>
      </c>
      <c r="N123" s="30">
        <f>'9B Sem 1'!M43</f>
        <v>66</v>
      </c>
      <c r="O123" s="30">
        <f>'9B Sem 1'!N43</f>
        <v>71</v>
      </c>
      <c r="P123" s="30">
        <f>'9B Sem 1'!O43</f>
        <v>81</v>
      </c>
      <c r="Q123" s="30">
        <f>'9B Sem 1'!P43</f>
        <v>671</v>
      </c>
      <c r="R123" s="30">
        <f>'9B Sem 1'!Q43</f>
        <v>61</v>
      </c>
      <c r="S123" s="30">
        <f>'9B Sem 1'!R43</f>
        <v>46</v>
      </c>
      <c r="T123" s="45">
        <f>'9B Sem 1'!S43</f>
        <v>0</v>
      </c>
      <c r="U123" s="45">
        <f>'9B Sem 1'!T43</f>
        <v>0</v>
      </c>
      <c r="V123" s="6"/>
      <c r="W123" s="6"/>
      <c r="X123" s="6"/>
      <c r="Y123" s="6"/>
      <c r="Z123" s="6"/>
    </row>
    <row r="124" spans="1:26" ht="18.95" customHeight="1" x14ac:dyDescent="0.25">
      <c r="A124" s="295"/>
      <c r="B124" s="296"/>
      <c r="C124" s="294">
        <v>15</v>
      </c>
      <c r="D124" s="294" t="s">
        <v>23</v>
      </c>
      <c r="E124" s="84" t="s">
        <v>22</v>
      </c>
      <c r="F124" s="30">
        <f>'9B Sem 2'!E43</f>
        <v>77</v>
      </c>
      <c r="G124" s="30">
        <f>'9B Sem 2'!F43</f>
        <v>78</v>
      </c>
      <c r="H124" s="30">
        <f>'9B Sem 2'!G43</f>
        <v>50</v>
      </c>
      <c r="I124" s="30">
        <f>'9B Sem 2'!H43</f>
        <v>51</v>
      </c>
      <c r="J124" s="30">
        <f>'9B Sem 2'!I43</f>
        <v>50</v>
      </c>
      <c r="K124" s="30">
        <f>'9B Sem 2'!J43</f>
        <v>47</v>
      </c>
      <c r="L124" s="31">
        <f>'9B Sem 2'!K43</f>
        <v>57</v>
      </c>
      <c r="M124" s="30">
        <f>'9B Sem 2'!L43</f>
        <v>57</v>
      </c>
      <c r="N124" s="30">
        <f>'9B Sem 2'!M43</f>
        <v>80</v>
      </c>
      <c r="O124" s="30">
        <f>'9B Sem 2'!N43</f>
        <v>71</v>
      </c>
      <c r="P124" s="30">
        <f>'9B Sem 2'!O43</f>
        <v>80</v>
      </c>
      <c r="Q124" s="30">
        <f>'9B Sem 2'!P43</f>
        <v>698</v>
      </c>
      <c r="R124" s="30">
        <f>'9B Sem 2'!Q43</f>
        <v>63.454545454545453</v>
      </c>
      <c r="S124" s="30">
        <f>'9B Sem 2'!R43</f>
        <v>47</v>
      </c>
      <c r="T124" s="45">
        <f>'9B Sem 2'!S43</f>
        <v>0</v>
      </c>
      <c r="U124" s="45">
        <f>'9B Sem 2'!T43</f>
        <v>0</v>
      </c>
      <c r="V124" s="6"/>
      <c r="W124" s="6"/>
      <c r="X124" s="6"/>
      <c r="Y124" s="6"/>
      <c r="Z124" s="6"/>
    </row>
    <row r="125" spans="1:26" ht="18.95" customHeight="1" x14ac:dyDescent="0.25">
      <c r="A125" s="295"/>
      <c r="B125" s="296"/>
      <c r="C125" s="294">
        <v>15</v>
      </c>
      <c r="D125" s="294" t="s">
        <v>23</v>
      </c>
      <c r="E125" s="84" t="s">
        <v>16</v>
      </c>
      <c r="F125" s="30">
        <f>AVERAGE(F123:F124)</f>
        <v>77</v>
      </c>
      <c r="G125" s="30">
        <f t="shared" ref="G125:U125" si="39">AVERAGE(G123:G124)</f>
        <v>77.5</v>
      </c>
      <c r="H125" s="30">
        <f t="shared" si="39"/>
        <v>50.5</v>
      </c>
      <c r="I125" s="30">
        <f t="shared" si="39"/>
        <v>50</v>
      </c>
      <c r="J125" s="30">
        <f t="shared" si="39"/>
        <v>47</v>
      </c>
      <c r="K125" s="30">
        <f t="shared" si="39"/>
        <v>46.5</v>
      </c>
      <c r="L125" s="30">
        <f t="shared" si="39"/>
        <v>52</v>
      </c>
      <c r="M125" s="30">
        <f t="shared" si="39"/>
        <v>59.5</v>
      </c>
      <c r="N125" s="30">
        <f t="shared" si="39"/>
        <v>73</v>
      </c>
      <c r="O125" s="30">
        <f t="shared" si="39"/>
        <v>71</v>
      </c>
      <c r="P125" s="30">
        <f t="shared" si="39"/>
        <v>80.5</v>
      </c>
      <c r="Q125" s="30">
        <f t="shared" si="39"/>
        <v>684.5</v>
      </c>
      <c r="R125" s="30">
        <f t="shared" si="39"/>
        <v>62.227272727272727</v>
      </c>
      <c r="S125" s="30"/>
      <c r="T125" s="30">
        <f t="shared" si="39"/>
        <v>0</v>
      </c>
      <c r="U125" s="30">
        <f t="shared" si="39"/>
        <v>0</v>
      </c>
      <c r="V125" s="6"/>
      <c r="W125" s="6"/>
      <c r="X125" s="6"/>
      <c r="Y125" s="6"/>
      <c r="Z125" s="6"/>
    </row>
    <row r="126" spans="1:26" ht="18.95" customHeight="1" x14ac:dyDescent="0.25">
      <c r="A126" s="292">
        <v>41</v>
      </c>
      <c r="B126" s="293"/>
      <c r="C126" s="293">
        <v>14</v>
      </c>
      <c r="D126" s="293" t="s">
        <v>23</v>
      </c>
      <c r="E126" s="84" t="s">
        <v>21</v>
      </c>
      <c r="F126" s="30">
        <f>'9B Sem 1'!E44</f>
        <v>75</v>
      </c>
      <c r="G126" s="30">
        <f>'9B Sem 1'!F44</f>
        <v>50</v>
      </c>
      <c r="H126" s="30">
        <f>'9B Sem 1'!G44</f>
        <v>51</v>
      </c>
      <c r="I126" s="30">
        <f>'9B Sem 1'!H44</f>
        <v>52</v>
      </c>
      <c r="J126" s="30">
        <f>'9B Sem 1'!I44</f>
        <v>45</v>
      </c>
      <c r="K126" s="30">
        <f>'9B Sem 1'!J44</f>
        <v>52</v>
      </c>
      <c r="L126" s="30">
        <f>'9B Sem 1'!K44</f>
        <v>54</v>
      </c>
      <c r="M126" s="30">
        <f>'9B Sem 1'!L44</f>
        <v>65</v>
      </c>
      <c r="N126" s="30">
        <f>'9B Sem 1'!M44</f>
        <v>52</v>
      </c>
      <c r="O126" s="30">
        <f>'9B Sem 1'!N44</f>
        <v>74</v>
      </c>
      <c r="P126" s="30">
        <f>'9B Sem 1'!O44</f>
        <v>82</v>
      </c>
      <c r="Q126" s="30">
        <f>'9B Sem 1'!P44</f>
        <v>652</v>
      </c>
      <c r="R126" s="30">
        <f>'9B Sem 1'!Q44</f>
        <v>59.272727272727273</v>
      </c>
      <c r="S126" s="30">
        <f>'9B Sem 1'!R44</f>
        <v>48</v>
      </c>
      <c r="T126" s="45">
        <f>'9B Sem 1'!S44</f>
        <v>0</v>
      </c>
      <c r="U126" s="45">
        <f>'9B Sem 1'!T44</f>
        <v>0</v>
      </c>
      <c r="V126" s="6"/>
      <c r="W126" s="6"/>
      <c r="X126" s="6"/>
      <c r="Y126" s="6"/>
      <c r="Z126" s="6"/>
    </row>
    <row r="127" spans="1:26" ht="18.95" customHeight="1" x14ac:dyDescent="0.25">
      <c r="A127" s="292"/>
      <c r="B127" s="293"/>
      <c r="C127" s="293">
        <v>14</v>
      </c>
      <c r="D127" s="293" t="s">
        <v>23</v>
      </c>
      <c r="E127" s="84" t="s">
        <v>22</v>
      </c>
      <c r="F127" s="30">
        <f>'9B Sem 2'!E44</f>
        <v>79</v>
      </c>
      <c r="G127" s="30">
        <f>'9B Sem 2'!F44</f>
        <v>58</v>
      </c>
      <c r="H127" s="30">
        <f>'9B Sem 2'!G44</f>
        <v>53</v>
      </c>
      <c r="I127" s="30">
        <f>'9B Sem 2'!H44</f>
        <v>53</v>
      </c>
      <c r="J127" s="30">
        <f>'9B Sem 2'!I44</f>
        <v>60</v>
      </c>
      <c r="K127" s="30">
        <f>'9B Sem 2'!J44</f>
        <v>60</v>
      </c>
      <c r="L127" s="30">
        <f>'9B Sem 2'!K44</f>
        <v>60</v>
      </c>
      <c r="M127" s="30">
        <f>'9B Sem 2'!L44</f>
        <v>68</v>
      </c>
      <c r="N127" s="30">
        <f>'9B Sem 2'!M44</f>
        <v>52</v>
      </c>
      <c r="O127" s="30">
        <f>'9B Sem 2'!N44</f>
        <v>80</v>
      </c>
      <c r="P127" s="30">
        <f>'9B Sem 2'!O44</f>
        <v>88</v>
      </c>
      <c r="Q127" s="30">
        <f>'9B Sem 2'!P44</f>
        <v>711</v>
      </c>
      <c r="R127" s="30">
        <f>'9B Sem 2'!Q44</f>
        <v>64.63636363636364</v>
      </c>
      <c r="S127" s="30">
        <f>'9B Sem 2'!R44</f>
        <v>45</v>
      </c>
      <c r="T127" s="45">
        <f>'9B Sem 2'!S44</f>
        <v>0</v>
      </c>
      <c r="U127" s="45">
        <f>'9B Sem 2'!T44</f>
        <v>0</v>
      </c>
      <c r="V127" s="6"/>
      <c r="W127" s="6"/>
      <c r="X127" s="6"/>
      <c r="Y127" s="6"/>
      <c r="Z127" s="6"/>
    </row>
    <row r="128" spans="1:26" ht="18.95" customHeight="1" x14ac:dyDescent="0.25">
      <c r="A128" s="292"/>
      <c r="B128" s="293"/>
      <c r="C128" s="293">
        <v>14</v>
      </c>
      <c r="D128" s="293" t="s">
        <v>23</v>
      </c>
      <c r="E128" s="84" t="s">
        <v>16</v>
      </c>
      <c r="F128" s="30">
        <f>AVERAGE(F126:F127)</f>
        <v>77</v>
      </c>
      <c r="G128" s="30">
        <f t="shared" ref="G128:U128" si="40">AVERAGE(G126:G127)</f>
        <v>54</v>
      </c>
      <c r="H128" s="30">
        <f t="shared" si="40"/>
        <v>52</v>
      </c>
      <c r="I128" s="30">
        <f t="shared" si="40"/>
        <v>52.5</v>
      </c>
      <c r="J128" s="30">
        <f t="shared" si="40"/>
        <v>52.5</v>
      </c>
      <c r="K128" s="30">
        <f t="shared" si="40"/>
        <v>56</v>
      </c>
      <c r="L128" s="30">
        <f t="shared" si="40"/>
        <v>57</v>
      </c>
      <c r="M128" s="30">
        <f t="shared" si="40"/>
        <v>66.5</v>
      </c>
      <c r="N128" s="30">
        <f t="shared" si="40"/>
        <v>52</v>
      </c>
      <c r="O128" s="30">
        <f t="shared" si="40"/>
        <v>77</v>
      </c>
      <c r="P128" s="30">
        <f t="shared" si="40"/>
        <v>85</v>
      </c>
      <c r="Q128" s="30">
        <f t="shared" si="40"/>
        <v>681.5</v>
      </c>
      <c r="R128" s="30">
        <f t="shared" si="40"/>
        <v>61.954545454545453</v>
      </c>
      <c r="S128" s="30"/>
      <c r="T128" s="30">
        <f t="shared" si="40"/>
        <v>0</v>
      </c>
      <c r="U128" s="30">
        <f t="shared" si="40"/>
        <v>0</v>
      </c>
      <c r="V128" s="6"/>
      <c r="W128" s="6"/>
      <c r="X128" s="6"/>
      <c r="Y128" s="6"/>
      <c r="Z128" s="6"/>
    </row>
    <row r="129" spans="1:26" ht="18.95" customHeight="1" x14ac:dyDescent="0.25">
      <c r="A129" s="292">
        <v>42</v>
      </c>
      <c r="B129" s="293"/>
      <c r="C129" s="293">
        <v>15</v>
      </c>
      <c r="D129" s="293" t="s">
        <v>23</v>
      </c>
      <c r="E129" s="84" t="s">
        <v>21</v>
      </c>
      <c r="F129" s="30">
        <f>'9B Sem 1'!E45</f>
        <v>76</v>
      </c>
      <c r="G129" s="31">
        <f>'9B Sem 1'!F45</f>
        <v>72</v>
      </c>
      <c r="H129" s="31">
        <f>'9B Sem 1'!G45</f>
        <v>37</v>
      </c>
      <c r="I129" s="31">
        <f>'9B Sem 1'!H45</f>
        <v>37</v>
      </c>
      <c r="J129" s="30">
        <f>'9B Sem 1'!I45</f>
        <v>46</v>
      </c>
      <c r="K129" s="30">
        <f>'9B Sem 1'!J45</f>
        <v>45</v>
      </c>
      <c r="L129" s="30">
        <f>'9B Sem 1'!K45</f>
        <v>50</v>
      </c>
      <c r="M129" s="30">
        <f>'9B Sem 1'!L45</f>
        <v>67</v>
      </c>
      <c r="N129" s="30">
        <f>'9B Sem 1'!M45</f>
        <v>62</v>
      </c>
      <c r="O129" s="31">
        <f>'9B Sem 1'!N45</f>
        <v>65</v>
      </c>
      <c r="P129" s="30">
        <f>'9B Sem 1'!O45</f>
        <v>72</v>
      </c>
      <c r="Q129" s="30">
        <f>'9B Sem 1'!P45</f>
        <v>629</v>
      </c>
      <c r="R129" s="30">
        <f>'9B Sem 1'!Q45</f>
        <v>57.18181818181818</v>
      </c>
      <c r="S129" s="30">
        <f>'9B Sem 1'!R45</f>
        <v>49</v>
      </c>
      <c r="T129" s="45">
        <f>'9B Sem 1'!S45</f>
        <v>0</v>
      </c>
      <c r="U129" s="45">
        <f>'9B Sem 1'!T45</f>
        <v>0</v>
      </c>
      <c r="V129" s="6"/>
      <c r="W129" s="6"/>
      <c r="X129" s="6"/>
      <c r="Y129" s="6"/>
      <c r="Z129" s="6"/>
    </row>
    <row r="130" spans="1:26" ht="18.95" customHeight="1" x14ac:dyDescent="0.25">
      <c r="A130" s="292"/>
      <c r="B130" s="293"/>
      <c r="C130" s="293">
        <v>15</v>
      </c>
      <c r="D130" s="293" t="s">
        <v>23</v>
      </c>
      <c r="E130" s="84" t="s">
        <v>22</v>
      </c>
      <c r="F130" s="30">
        <f>'9B Sem 2'!E45</f>
        <v>75</v>
      </c>
      <c r="G130" s="31">
        <f>'9B Sem 2'!F45</f>
        <v>71</v>
      </c>
      <c r="H130" s="31">
        <f>'9B Sem 2'!G45</f>
        <v>36</v>
      </c>
      <c r="I130" s="31">
        <f>'9B Sem 2'!H45</f>
        <v>61</v>
      </c>
      <c r="J130" s="30">
        <f>'9B Sem 2'!I45</f>
        <v>46</v>
      </c>
      <c r="K130" s="30">
        <f>'9B Sem 2'!J45</f>
        <v>40</v>
      </c>
      <c r="L130" s="30">
        <f>'9B Sem 2'!K45</f>
        <v>57</v>
      </c>
      <c r="M130" s="30">
        <f>'9B Sem 2'!L45</f>
        <v>38</v>
      </c>
      <c r="N130" s="30">
        <f>'9B Sem 2'!M45</f>
        <v>70</v>
      </c>
      <c r="O130" s="31">
        <f>'9B Sem 2'!N45</f>
        <v>63</v>
      </c>
      <c r="P130" s="30">
        <f>'9B Sem 2'!O45</f>
        <v>60</v>
      </c>
      <c r="Q130" s="30">
        <f>'9B Sem 2'!P45</f>
        <v>617</v>
      </c>
      <c r="R130" s="30">
        <f>'9B Sem 2'!Q45</f>
        <v>56.090909090909093</v>
      </c>
      <c r="S130" s="30">
        <f>'9B Sem 2'!R45</f>
        <v>51</v>
      </c>
      <c r="T130" s="45">
        <f>'9B Sem 2'!S45</f>
        <v>0</v>
      </c>
      <c r="U130" s="45">
        <f>'9B Sem 2'!T45</f>
        <v>0</v>
      </c>
      <c r="V130" s="6"/>
      <c r="W130" s="6"/>
      <c r="X130" s="6"/>
      <c r="Y130" s="6"/>
      <c r="Z130" s="6"/>
    </row>
    <row r="131" spans="1:26" ht="18.95" customHeight="1" x14ac:dyDescent="0.25">
      <c r="A131" s="292"/>
      <c r="B131" s="293"/>
      <c r="C131" s="293">
        <v>15</v>
      </c>
      <c r="D131" s="293" t="s">
        <v>23</v>
      </c>
      <c r="E131" s="84" t="s">
        <v>16</v>
      </c>
      <c r="F131" s="30">
        <f>AVERAGE(F129:F130)</f>
        <v>75.5</v>
      </c>
      <c r="G131" s="30">
        <f t="shared" ref="G131:U131" si="41">AVERAGE(G129:G130)</f>
        <v>71.5</v>
      </c>
      <c r="H131" s="30">
        <f t="shared" si="41"/>
        <v>36.5</v>
      </c>
      <c r="I131" s="30">
        <f t="shared" si="41"/>
        <v>49</v>
      </c>
      <c r="J131" s="30">
        <f t="shared" si="41"/>
        <v>46</v>
      </c>
      <c r="K131" s="30">
        <f t="shared" si="41"/>
        <v>42.5</v>
      </c>
      <c r="L131" s="30">
        <f t="shared" si="41"/>
        <v>53.5</v>
      </c>
      <c r="M131" s="30">
        <f t="shared" si="41"/>
        <v>52.5</v>
      </c>
      <c r="N131" s="30">
        <f t="shared" si="41"/>
        <v>66</v>
      </c>
      <c r="O131" s="30">
        <f t="shared" si="41"/>
        <v>64</v>
      </c>
      <c r="P131" s="30">
        <f t="shared" si="41"/>
        <v>66</v>
      </c>
      <c r="Q131" s="30">
        <f t="shared" si="41"/>
        <v>623</v>
      </c>
      <c r="R131" s="30">
        <f t="shared" si="41"/>
        <v>56.63636363636364</v>
      </c>
      <c r="S131" s="30"/>
      <c r="T131" s="30">
        <f t="shared" si="41"/>
        <v>0</v>
      </c>
      <c r="U131" s="30">
        <f t="shared" si="41"/>
        <v>0</v>
      </c>
      <c r="V131" s="6"/>
      <c r="W131" s="6"/>
      <c r="X131" s="6"/>
      <c r="Y131" s="6"/>
      <c r="Z131" s="6"/>
    </row>
    <row r="132" spans="1:26" ht="18.95" customHeight="1" x14ac:dyDescent="0.25">
      <c r="A132" s="292">
        <v>43</v>
      </c>
      <c r="B132" s="293"/>
      <c r="C132" s="294">
        <v>14</v>
      </c>
      <c r="D132" s="294" t="s">
        <v>23</v>
      </c>
      <c r="E132" s="84" t="s">
        <v>21</v>
      </c>
      <c r="F132" s="30">
        <f>'9B Sem 1'!E46</f>
        <v>85</v>
      </c>
      <c r="G132" s="31">
        <f>'9B Sem 1'!F46</f>
        <v>61</v>
      </c>
      <c r="H132" s="31">
        <f>'9B Sem 1'!G46</f>
        <v>65</v>
      </c>
      <c r="I132" s="30">
        <f>'9B Sem 1'!H46</f>
        <v>67</v>
      </c>
      <c r="J132" s="31">
        <f>'9B Sem 1'!I46</f>
        <v>66</v>
      </c>
      <c r="K132" s="30">
        <f>'9B Sem 1'!J46</f>
        <v>79</v>
      </c>
      <c r="L132" s="31">
        <f>'9B Sem 1'!K46</f>
        <v>68</v>
      </c>
      <c r="M132" s="31">
        <f>'9B Sem 1'!L46</f>
        <v>87</v>
      </c>
      <c r="N132" s="30">
        <f>'9B Sem 1'!M46</f>
        <v>68</v>
      </c>
      <c r="O132" s="30">
        <f>'9B Sem 1'!N46</f>
        <v>89</v>
      </c>
      <c r="P132" s="31">
        <f>'9B Sem 1'!O46</f>
        <v>80</v>
      </c>
      <c r="Q132" s="30">
        <f>'9B Sem 1'!P46</f>
        <v>815</v>
      </c>
      <c r="R132" s="30">
        <f>'9B Sem 1'!Q46</f>
        <v>74.090909090909093</v>
      </c>
      <c r="S132" s="30">
        <f>'9B Sem 1'!R46</f>
        <v>30</v>
      </c>
      <c r="T132" s="45">
        <f>'9B Sem 1'!S46</f>
        <v>0</v>
      </c>
      <c r="U132" s="45">
        <f>'9B Sem 1'!T46</f>
        <v>0</v>
      </c>
      <c r="V132" s="6"/>
      <c r="W132" s="6"/>
      <c r="X132" s="6"/>
      <c r="Y132" s="6"/>
      <c r="Z132" s="6"/>
    </row>
    <row r="133" spans="1:26" ht="18.95" customHeight="1" x14ac:dyDescent="0.25">
      <c r="A133" s="292"/>
      <c r="B133" s="293"/>
      <c r="C133" s="294">
        <v>14</v>
      </c>
      <c r="D133" s="294" t="s">
        <v>23</v>
      </c>
      <c r="E133" s="84" t="s">
        <v>22</v>
      </c>
      <c r="F133" s="30">
        <f>'9B Sem 2'!E46</f>
        <v>90</v>
      </c>
      <c r="G133" s="31">
        <f>'9B Sem 2'!F46</f>
        <v>70</v>
      </c>
      <c r="H133" s="31">
        <f>'9B Sem 2'!G46</f>
        <v>65</v>
      </c>
      <c r="I133" s="30">
        <f>'9B Sem 2'!H46</f>
        <v>65</v>
      </c>
      <c r="J133" s="31">
        <f>'9B Sem 2'!I46</f>
        <v>59</v>
      </c>
      <c r="K133" s="30">
        <f>'9B Sem 2'!J46</f>
        <v>88</v>
      </c>
      <c r="L133" s="31">
        <f>'9B Sem 2'!K46</f>
        <v>65</v>
      </c>
      <c r="M133" s="31">
        <f>'9B Sem 2'!L46</f>
        <v>84</v>
      </c>
      <c r="N133" s="30">
        <f>'9B Sem 2'!M46</f>
        <v>83</v>
      </c>
      <c r="O133" s="30">
        <f>'9B Sem 2'!N46</f>
        <v>89</v>
      </c>
      <c r="P133" s="31">
        <f>'9B Sem 2'!O46</f>
        <v>91</v>
      </c>
      <c r="Q133" s="30">
        <f>'9B Sem 2'!P46</f>
        <v>849</v>
      </c>
      <c r="R133" s="30">
        <f>'9B Sem 2'!Q46</f>
        <v>77.181818181818187</v>
      </c>
      <c r="S133" s="30">
        <f>'9B Sem 2'!R46</f>
        <v>28</v>
      </c>
      <c r="T133" s="45">
        <f>'9B Sem 2'!S46</f>
        <v>0</v>
      </c>
      <c r="U133" s="45">
        <f>'9B Sem 2'!T46</f>
        <v>0</v>
      </c>
      <c r="V133" s="6"/>
      <c r="W133" s="6"/>
      <c r="X133" s="6"/>
      <c r="Y133" s="6"/>
      <c r="Z133" s="6"/>
    </row>
    <row r="134" spans="1:26" ht="18.95" customHeight="1" x14ac:dyDescent="0.25">
      <c r="A134" s="292"/>
      <c r="B134" s="293"/>
      <c r="C134" s="294">
        <v>14</v>
      </c>
      <c r="D134" s="294" t="s">
        <v>23</v>
      </c>
      <c r="E134" s="84" t="s">
        <v>16</v>
      </c>
      <c r="F134" s="30">
        <f>AVERAGE(F132:F133)</f>
        <v>87.5</v>
      </c>
      <c r="G134" s="30">
        <f t="shared" ref="G134:U134" si="42">AVERAGE(G132:G133)</f>
        <v>65.5</v>
      </c>
      <c r="H134" s="30">
        <f t="shared" si="42"/>
        <v>65</v>
      </c>
      <c r="I134" s="30">
        <f t="shared" si="42"/>
        <v>66</v>
      </c>
      <c r="J134" s="30">
        <f t="shared" si="42"/>
        <v>62.5</v>
      </c>
      <c r="K134" s="30">
        <f t="shared" si="42"/>
        <v>83.5</v>
      </c>
      <c r="L134" s="30">
        <f t="shared" si="42"/>
        <v>66.5</v>
      </c>
      <c r="M134" s="30">
        <f t="shared" si="42"/>
        <v>85.5</v>
      </c>
      <c r="N134" s="30">
        <f t="shared" si="42"/>
        <v>75.5</v>
      </c>
      <c r="O134" s="30">
        <f t="shared" si="42"/>
        <v>89</v>
      </c>
      <c r="P134" s="30">
        <f t="shared" si="42"/>
        <v>85.5</v>
      </c>
      <c r="Q134" s="30">
        <f t="shared" si="42"/>
        <v>832</v>
      </c>
      <c r="R134" s="30">
        <f t="shared" si="42"/>
        <v>75.63636363636364</v>
      </c>
      <c r="S134" s="30"/>
      <c r="T134" s="30">
        <f t="shared" si="42"/>
        <v>0</v>
      </c>
      <c r="U134" s="30">
        <f t="shared" si="42"/>
        <v>0</v>
      </c>
      <c r="V134" s="6"/>
      <c r="W134" s="6"/>
      <c r="X134" s="6"/>
      <c r="Y134" s="6"/>
      <c r="Z134" s="6"/>
    </row>
    <row r="135" spans="1:26" ht="18.95" customHeight="1" x14ac:dyDescent="0.25">
      <c r="A135" s="295">
        <v>44</v>
      </c>
      <c r="B135" s="293"/>
      <c r="C135" s="293">
        <v>15</v>
      </c>
      <c r="D135" s="293" t="s">
        <v>23</v>
      </c>
      <c r="E135" s="84" t="s">
        <v>21</v>
      </c>
      <c r="F135" s="30">
        <f>'9B Sem 1'!E47</f>
        <v>88</v>
      </c>
      <c r="G135" s="30">
        <f>'9B Sem 1'!F47</f>
        <v>74</v>
      </c>
      <c r="H135" s="30">
        <f>'9B Sem 1'!G47</f>
        <v>93</v>
      </c>
      <c r="I135" s="30">
        <f>'9B Sem 1'!H47</f>
        <v>90</v>
      </c>
      <c r="J135" s="30">
        <f>'9B Sem 1'!I47</f>
        <v>83</v>
      </c>
      <c r="K135" s="30">
        <f>'9B Sem 1'!J47</f>
        <v>92</v>
      </c>
      <c r="L135" s="30">
        <f>'9B Sem 1'!K47</f>
        <v>88</v>
      </c>
      <c r="M135" s="30">
        <f>'9B Sem 1'!L47</f>
        <v>88</v>
      </c>
      <c r="N135" s="30">
        <f>'9B Sem 1'!M47</f>
        <v>85</v>
      </c>
      <c r="O135" s="30">
        <f>'9B Sem 1'!N47</f>
        <v>97</v>
      </c>
      <c r="P135" s="30">
        <f>'9B Sem 1'!O47</f>
        <v>86</v>
      </c>
      <c r="Q135" s="30">
        <f>'9B Sem 1'!P47</f>
        <v>964</v>
      </c>
      <c r="R135" s="30">
        <f>'9B Sem 1'!Q47</f>
        <v>87.63636363636364</v>
      </c>
      <c r="S135" s="30">
        <f>'9B Sem 1'!R47</f>
        <v>9</v>
      </c>
      <c r="T135" s="45">
        <f>'9B Sem 1'!S47</f>
        <v>0</v>
      </c>
      <c r="U135" s="45">
        <f>'9B Sem 1'!T47</f>
        <v>0</v>
      </c>
      <c r="V135" s="6"/>
      <c r="W135" s="6"/>
      <c r="X135" s="6"/>
      <c r="Y135" s="6"/>
      <c r="Z135" s="6"/>
    </row>
    <row r="136" spans="1:26" ht="18.95" customHeight="1" x14ac:dyDescent="0.25">
      <c r="A136" s="295"/>
      <c r="B136" s="293"/>
      <c r="C136" s="293">
        <v>15</v>
      </c>
      <c r="D136" s="293" t="s">
        <v>23</v>
      </c>
      <c r="E136" s="84" t="s">
        <v>22</v>
      </c>
      <c r="F136" s="30">
        <f>'9B Sem 2'!E47</f>
        <v>87</v>
      </c>
      <c r="G136" s="30">
        <f>'9B Sem 2'!F47</f>
        <v>83</v>
      </c>
      <c r="H136" s="30">
        <f>'9B Sem 2'!G47</f>
        <v>90</v>
      </c>
      <c r="I136" s="30">
        <f>'9B Sem 2'!H47</f>
        <v>88</v>
      </c>
      <c r="J136" s="30">
        <f>'9B Sem 2'!I47</f>
        <v>88</v>
      </c>
      <c r="K136" s="30">
        <f>'9B Sem 2'!J47</f>
        <v>91</v>
      </c>
      <c r="L136" s="30">
        <f>'9B Sem 2'!K47</f>
        <v>90</v>
      </c>
      <c r="M136" s="30">
        <f>'9B Sem 2'!L47</f>
        <v>86</v>
      </c>
      <c r="N136" s="30">
        <f>'9B Sem 2'!M47</f>
        <v>93</v>
      </c>
      <c r="O136" s="30">
        <f>'9B Sem 2'!N47</f>
        <v>95</v>
      </c>
      <c r="P136" s="30">
        <f>'9B Sem 2'!O47</f>
        <v>100</v>
      </c>
      <c r="Q136" s="30">
        <f>'9B Sem 2'!P47</f>
        <v>991</v>
      </c>
      <c r="R136" s="30">
        <f>'9B Sem 2'!Q47</f>
        <v>90.090909090909093</v>
      </c>
      <c r="S136" s="30">
        <f>'9B Sem 2'!R47</f>
        <v>8</v>
      </c>
      <c r="T136" s="45">
        <f>'9B Sem 2'!S47</f>
        <v>0</v>
      </c>
      <c r="U136" s="45">
        <f>'9B Sem 2'!T47</f>
        <v>0</v>
      </c>
      <c r="V136" s="6"/>
      <c r="W136" s="6"/>
      <c r="X136" s="6"/>
      <c r="Y136" s="6"/>
      <c r="Z136" s="6"/>
    </row>
    <row r="137" spans="1:26" ht="18.95" customHeight="1" x14ac:dyDescent="0.25">
      <c r="A137" s="295"/>
      <c r="B137" s="293"/>
      <c r="C137" s="293">
        <v>15</v>
      </c>
      <c r="D137" s="293" t="s">
        <v>23</v>
      </c>
      <c r="E137" s="84" t="s">
        <v>16</v>
      </c>
      <c r="F137" s="30">
        <f>AVERAGE(F135:F136)</f>
        <v>87.5</v>
      </c>
      <c r="G137" s="30">
        <f t="shared" ref="G137:U137" si="43">AVERAGE(G135:G136)</f>
        <v>78.5</v>
      </c>
      <c r="H137" s="30">
        <f t="shared" si="43"/>
        <v>91.5</v>
      </c>
      <c r="I137" s="30">
        <f t="shared" si="43"/>
        <v>89</v>
      </c>
      <c r="J137" s="30">
        <f t="shared" si="43"/>
        <v>85.5</v>
      </c>
      <c r="K137" s="30">
        <f t="shared" si="43"/>
        <v>91.5</v>
      </c>
      <c r="L137" s="30">
        <f t="shared" si="43"/>
        <v>89</v>
      </c>
      <c r="M137" s="30">
        <f t="shared" si="43"/>
        <v>87</v>
      </c>
      <c r="N137" s="30">
        <f t="shared" si="43"/>
        <v>89</v>
      </c>
      <c r="O137" s="30">
        <f t="shared" si="43"/>
        <v>96</v>
      </c>
      <c r="P137" s="30">
        <f t="shared" si="43"/>
        <v>93</v>
      </c>
      <c r="Q137" s="30">
        <f t="shared" si="43"/>
        <v>977.5</v>
      </c>
      <c r="R137" s="30">
        <f t="shared" si="43"/>
        <v>88.863636363636374</v>
      </c>
      <c r="S137" s="30"/>
      <c r="T137" s="30">
        <f t="shared" si="43"/>
        <v>0</v>
      </c>
      <c r="U137" s="30">
        <f t="shared" si="43"/>
        <v>0</v>
      </c>
      <c r="V137" s="6"/>
      <c r="W137" s="6"/>
      <c r="X137" s="6"/>
      <c r="Y137" s="6"/>
      <c r="Z137" s="6"/>
    </row>
    <row r="138" spans="1:26" ht="18.95" customHeight="1" x14ac:dyDescent="0.25">
      <c r="A138" s="292">
        <v>45</v>
      </c>
      <c r="B138" s="293"/>
      <c r="C138" s="294">
        <v>15</v>
      </c>
      <c r="D138" s="294" t="s">
        <v>20</v>
      </c>
      <c r="E138" s="84" t="s">
        <v>21</v>
      </c>
      <c r="F138" s="30">
        <f>'9B Sem 1'!E48</f>
        <v>82</v>
      </c>
      <c r="G138" s="30">
        <f>'9B Sem 1'!F48</f>
        <v>67</v>
      </c>
      <c r="H138" s="30">
        <f>'9B Sem 1'!G48</f>
        <v>81</v>
      </c>
      <c r="I138" s="30">
        <f>'9B Sem 1'!H48</f>
        <v>72</v>
      </c>
      <c r="J138" s="30">
        <f>'9B Sem 1'!I48</f>
        <v>77</v>
      </c>
      <c r="K138" s="30">
        <f>'9B Sem 1'!J48</f>
        <v>77</v>
      </c>
      <c r="L138" s="30">
        <f>'9B Sem 1'!K48</f>
        <v>77</v>
      </c>
      <c r="M138" s="30">
        <f>'9B Sem 1'!L48</f>
        <v>72</v>
      </c>
      <c r="N138" s="30">
        <f>'9B Sem 1'!M48</f>
        <v>76</v>
      </c>
      <c r="O138" s="30">
        <f>'9B Sem 1'!N48</f>
        <v>86</v>
      </c>
      <c r="P138" s="30">
        <f>'9B Sem 1'!O48</f>
        <v>97</v>
      </c>
      <c r="Q138" s="30">
        <f>'9B Sem 1'!P48</f>
        <v>864</v>
      </c>
      <c r="R138" s="30">
        <f>'9B Sem 1'!Q48</f>
        <v>78.545454545454547</v>
      </c>
      <c r="S138" s="30">
        <f>'9B Sem 1'!R48</f>
        <v>20</v>
      </c>
      <c r="T138" s="45">
        <f>'9B Sem 1'!S48</f>
        <v>0</v>
      </c>
      <c r="U138" s="45">
        <f>'9B Sem 1'!T48</f>
        <v>0</v>
      </c>
      <c r="V138" s="6"/>
      <c r="W138" s="6"/>
      <c r="X138" s="6"/>
      <c r="Y138" s="6"/>
      <c r="Z138" s="6"/>
    </row>
    <row r="139" spans="1:26" ht="18.95" customHeight="1" x14ac:dyDescent="0.25">
      <c r="A139" s="292"/>
      <c r="B139" s="293"/>
      <c r="C139" s="294">
        <v>15</v>
      </c>
      <c r="D139" s="294" t="s">
        <v>20</v>
      </c>
      <c r="E139" s="84" t="s">
        <v>22</v>
      </c>
      <c r="F139" s="30">
        <f>'9B Sem 2'!E48</f>
        <v>86</v>
      </c>
      <c r="G139" s="30">
        <f>'9B Sem 2'!F48</f>
        <v>69</v>
      </c>
      <c r="H139" s="30">
        <f>'9B Sem 2'!G48</f>
        <v>71</v>
      </c>
      <c r="I139" s="30">
        <f>'9B Sem 2'!H48</f>
        <v>72</v>
      </c>
      <c r="J139" s="30">
        <f>'9B Sem 2'!I48</f>
        <v>79</v>
      </c>
      <c r="K139" s="30">
        <f>'9B Sem 2'!J48</f>
        <v>72</v>
      </c>
      <c r="L139" s="30">
        <f>'9B Sem 2'!K48</f>
        <v>81</v>
      </c>
      <c r="M139" s="30">
        <f>'9B Sem 2'!L48</f>
        <v>79</v>
      </c>
      <c r="N139" s="30">
        <f>'9B Sem 2'!M48</f>
        <v>86</v>
      </c>
      <c r="O139" s="30">
        <f>'9B Sem 2'!N48</f>
        <v>91</v>
      </c>
      <c r="P139" s="30">
        <f>'9B Sem 2'!O48</f>
        <v>97</v>
      </c>
      <c r="Q139" s="30">
        <f>'9B Sem 2'!P48</f>
        <v>883</v>
      </c>
      <c r="R139" s="30">
        <f>'9B Sem 2'!Q48</f>
        <v>80.272727272727266</v>
      </c>
      <c r="S139" s="30">
        <f>'9B Sem 2'!R48</f>
        <v>22</v>
      </c>
      <c r="T139" s="45">
        <f>'9B Sem 2'!S48</f>
        <v>0</v>
      </c>
      <c r="U139" s="45">
        <f>'9B Sem 2'!T48</f>
        <v>0</v>
      </c>
    </row>
    <row r="140" spans="1:26" ht="18.95" customHeight="1" x14ac:dyDescent="0.25">
      <c r="A140" s="292"/>
      <c r="B140" s="293"/>
      <c r="C140" s="294">
        <v>15</v>
      </c>
      <c r="D140" s="294" t="s">
        <v>20</v>
      </c>
      <c r="E140" s="84" t="s">
        <v>16</v>
      </c>
      <c r="F140" s="30">
        <f>AVERAGE(F138:F139)</f>
        <v>84</v>
      </c>
      <c r="G140" s="30">
        <f t="shared" ref="G140:U140" si="44">AVERAGE(G138:G139)</f>
        <v>68</v>
      </c>
      <c r="H140" s="30">
        <f t="shared" si="44"/>
        <v>76</v>
      </c>
      <c r="I140" s="30">
        <f t="shared" si="44"/>
        <v>72</v>
      </c>
      <c r="J140" s="30">
        <f t="shared" si="44"/>
        <v>78</v>
      </c>
      <c r="K140" s="30">
        <f t="shared" si="44"/>
        <v>74.5</v>
      </c>
      <c r="L140" s="30">
        <f t="shared" si="44"/>
        <v>79</v>
      </c>
      <c r="M140" s="30">
        <f t="shared" si="44"/>
        <v>75.5</v>
      </c>
      <c r="N140" s="30">
        <f t="shared" si="44"/>
        <v>81</v>
      </c>
      <c r="O140" s="30">
        <f t="shared" si="44"/>
        <v>88.5</v>
      </c>
      <c r="P140" s="30">
        <f t="shared" si="44"/>
        <v>97</v>
      </c>
      <c r="Q140" s="30">
        <f t="shared" si="44"/>
        <v>873.5</v>
      </c>
      <c r="R140" s="30">
        <f t="shared" si="44"/>
        <v>79.409090909090907</v>
      </c>
      <c r="S140" s="30"/>
      <c r="T140" s="30">
        <f t="shared" si="44"/>
        <v>0</v>
      </c>
      <c r="U140" s="30">
        <f t="shared" si="44"/>
        <v>0</v>
      </c>
    </row>
    <row r="141" spans="1:26" ht="18.95" customHeight="1" x14ac:dyDescent="0.25">
      <c r="A141" s="295">
        <v>46</v>
      </c>
      <c r="B141" s="293"/>
      <c r="C141" s="293">
        <v>14</v>
      </c>
      <c r="D141" s="293" t="s">
        <v>20</v>
      </c>
      <c r="E141" s="84" t="s">
        <v>21</v>
      </c>
      <c r="F141" s="30">
        <f>'9B Sem 1'!E49</f>
        <v>81</v>
      </c>
      <c r="G141" s="30">
        <f>'9B Sem 1'!F49</f>
        <v>88</v>
      </c>
      <c r="H141" s="30">
        <f>'9B Sem 1'!G49</f>
        <v>49</v>
      </c>
      <c r="I141" s="30">
        <f>'9B Sem 1'!H49</f>
        <v>51</v>
      </c>
      <c r="J141" s="30">
        <f>'9B Sem 1'!I49</f>
        <v>50</v>
      </c>
      <c r="K141" s="30">
        <f>'9B Sem 1'!J49</f>
        <v>51</v>
      </c>
      <c r="L141" s="31">
        <f>'9B Sem 1'!K49</f>
        <v>55</v>
      </c>
      <c r="M141" s="30">
        <f>'9B Sem 1'!L49</f>
        <v>59</v>
      </c>
      <c r="N141" s="30">
        <f>'9B Sem 1'!M49</f>
        <v>75</v>
      </c>
      <c r="O141" s="30">
        <f>'9B Sem 1'!N49</f>
        <v>85</v>
      </c>
      <c r="P141" s="30">
        <f>'9B Sem 1'!O49</f>
        <v>86</v>
      </c>
      <c r="Q141" s="30">
        <f>'9B Sem 1'!P49</f>
        <v>730</v>
      </c>
      <c r="R141" s="30">
        <f>'9B Sem 1'!Q49</f>
        <v>66.36363636363636</v>
      </c>
      <c r="S141" s="30">
        <f>'9B Sem 1'!R49</f>
        <v>43</v>
      </c>
      <c r="T141" s="45">
        <f>'9B Sem 1'!S49</f>
        <v>0</v>
      </c>
      <c r="U141" s="45">
        <f>'9B Sem 1'!T49</f>
        <v>0</v>
      </c>
    </row>
    <row r="142" spans="1:26" ht="18.95" customHeight="1" x14ac:dyDescent="0.25">
      <c r="A142" s="295"/>
      <c r="B142" s="293"/>
      <c r="C142" s="293">
        <v>14</v>
      </c>
      <c r="D142" s="293" t="s">
        <v>20</v>
      </c>
      <c r="E142" s="84" t="s">
        <v>22</v>
      </c>
      <c r="F142" s="30">
        <f>'9B Sem 2'!E49</f>
        <v>81</v>
      </c>
      <c r="G142" s="30">
        <f>'9B Sem 2'!F49</f>
        <v>88</v>
      </c>
      <c r="H142" s="30">
        <f>'9B Sem 2'!G49</f>
        <v>54</v>
      </c>
      <c r="I142" s="30">
        <f>'9B Sem 2'!H49</f>
        <v>53</v>
      </c>
      <c r="J142" s="30">
        <f>'9B Sem 2'!I49</f>
        <v>64</v>
      </c>
      <c r="K142" s="30">
        <f>'9B Sem 2'!J49</f>
        <v>48</v>
      </c>
      <c r="L142" s="31">
        <f>'9B Sem 2'!K49</f>
        <v>66</v>
      </c>
      <c r="M142" s="30">
        <f>'9B Sem 2'!L49</f>
        <v>55</v>
      </c>
      <c r="N142" s="30">
        <f>'9B Sem 2'!M49</f>
        <v>88</v>
      </c>
      <c r="O142" s="30">
        <f>'9B Sem 2'!N49</f>
        <v>86</v>
      </c>
      <c r="P142" s="30">
        <f>'9B Sem 2'!O49</f>
        <v>96</v>
      </c>
      <c r="Q142" s="30">
        <f>'9B Sem 2'!P49</f>
        <v>779</v>
      </c>
      <c r="R142" s="30">
        <f>'9B Sem 2'!Q49</f>
        <v>70.818181818181813</v>
      </c>
      <c r="S142" s="30">
        <f>'9B Sem 2'!R49</f>
        <v>38</v>
      </c>
      <c r="T142" s="45">
        <f>'9B Sem 2'!S49</f>
        <v>0</v>
      </c>
      <c r="U142" s="45">
        <f>'9B Sem 2'!T49</f>
        <v>0</v>
      </c>
    </row>
    <row r="143" spans="1:26" ht="18.95" customHeight="1" x14ac:dyDescent="0.25">
      <c r="A143" s="295"/>
      <c r="B143" s="293"/>
      <c r="C143" s="293">
        <v>14</v>
      </c>
      <c r="D143" s="293" t="s">
        <v>20</v>
      </c>
      <c r="E143" s="84" t="s">
        <v>16</v>
      </c>
      <c r="F143" s="30">
        <f>AVERAGE(F141:F142)</f>
        <v>81</v>
      </c>
      <c r="G143" s="30">
        <f t="shared" ref="G143:U143" si="45">AVERAGE(G141:G142)</f>
        <v>88</v>
      </c>
      <c r="H143" s="30">
        <f t="shared" si="45"/>
        <v>51.5</v>
      </c>
      <c r="I143" s="30">
        <f t="shared" si="45"/>
        <v>52</v>
      </c>
      <c r="J143" s="30">
        <f t="shared" si="45"/>
        <v>57</v>
      </c>
      <c r="K143" s="30">
        <f t="shared" si="45"/>
        <v>49.5</v>
      </c>
      <c r="L143" s="30">
        <f t="shared" si="45"/>
        <v>60.5</v>
      </c>
      <c r="M143" s="30">
        <f t="shared" si="45"/>
        <v>57</v>
      </c>
      <c r="N143" s="30">
        <f t="shared" si="45"/>
        <v>81.5</v>
      </c>
      <c r="O143" s="30">
        <f t="shared" si="45"/>
        <v>85.5</v>
      </c>
      <c r="P143" s="30">
        <f t="shared" si="45"/>
        <v>91</v>
      </c>
      <c r="Q143" s="30">
        <f t="shared" si="45"/>
        <v>754.5</v>
      </c>
      <c r="R143" s="30">
        <f t="shared" si="45"/>
        <v>68.590909090909093</v>
      </c>
      <c r="S143" s="30"/>
      <c r="T143" s="30">
        <f t="shared" si="45"/>
        <v>0</v>
      </c>
      <c r="U143" s="30">
        <f t="shared" si="45"/>
        <v>0</v>
      </c>
    </row>
    <row r="144" spans="1:26" ht="18.95" customHeight="1" x14ac:dyDescent="0.25">
      <c r="A144" s="295">
        <v>47</v>
      </c>
      <c r="B144" s="293"/>
      <c r="C144" s="293">
        <v>14</v>
      </c>
      <c r="D144" s="293" t="s">
        <v>23</v>
      </c>
      <c r="E144" s="84" t="s">
        <v>21</v>
      </c>
      <c r="F144" s="30">
        <f>'9B Sem 1'!E50</f>
        <v>81</v>
      </c>
      <c r="G144" s="30">
        <f>'9B Sem 1'!F50</f>
        <v>63</v>
      </c>
      <c r="H144" s="30">
        <f>'9B Sem 1'!G50</f>
        <v>58</v>
      </c>
      <c r="I144" s="30">
        <f>'9B Sem 1'!H50</f>
        <v>70</v>
      </c>
      <c r="J144" s="30">
        <f>'9B Sem 1'!I50</f>
        <v>73</v>
      </c>
      <c r="K144" s="30">
        <f>'9B Sem 1'!J50</f>
        <v>82</v>
      </c>
      <c r="L144" s="30">
        <f>'9B Sem 1'!K50</f>
        <v>75</v>
      </c>
      <c r="M144" s="30">
        <f>'9B Sem 1'!L50</f>
        <v>86</v>
      </c>
      <c r="N144" s="30">
        <f>'9B Sem 1'!M50</f>
        <v>76</v>
      </c>
      <c r="O144" s="30">
        <f>'9B Sem 1'!N50</f>
        <v>91</v>
      </c>
      <c r="P144" s="30">
        <f>'9B Sem 1'!O50</f>
        <v>94</v>
      </c>
      <c r="Q144" s="30">
        <f>'9B Sem 1'!P50</f>
        <v>849</v>
      </c>
      <c r="R144" s="30">
        <f>'9B Sem 1'!Q50</f>
        <v>77.181818181818187</v>
      </c>
      <c r="S144" s="30">
        <f>'9B Sem 1'!R50</f>
        <v>22</v>
      </c>
      <c r="T144" s="45">
        <f>'9B Sem 1'!S50</f>
        <v>0</v>
      </c>
      <c r="U144" s="45">
        <f>'9B Sem 1'!T50</f>
        <v>0</v>
      </c>
    </row>
    <row r="145" spans="1:21" ht="18.95" customHeight="1" x14ac:dyDescent="0.25">
      <c r="A145" s="295"/>
      <c r="B145" s="293"/>
      <c r="C145" s="293">
        <v>14</v>
      </c>
      <c r="D145" s="293" t="s">
        <v>23</v>
      </c>
      <c r="E145" s="84" t="s">
        <v>22</v>
      </c>
      <c r="F145" s="30">
        <f>'9B Sem 2'!E50</f>
        <v>89</v>
      </c>
      <c r="G145" s="30">
        <f>'9B Sem 2'!F50</f>
        <v>67</v>
      </c>
      <c r="H145" s="30">
        <f>'9B Sem 2'!G50</f>
        <v>59</v>
      </c>
      <c r="I145" s="30">
        <f>'9B Sem 2'!H50</f>
        <v>61</v>
      </c>
      <c r="J145" s="30">
        <f>'9B Sem 2'!I50</f>
        <v>64</v>
      </c>
      <c r="K145" s="30">
        <f>'9B Sem 2'!J50</f>
        <v>82</v>
      </c>
      <c r="L145" s="30">
        <f>'9B Sem 2'!K50</f>
        <v>79</v>
      </c>
      <c r="M145" s="30">
        <f>'9B Sem 2'!L50</f>
        <v>80</v>
      </c>
      <c r="N145" s="30">
        <f>'9B Sem 2'!M50</f>
        <v>85</v>
      </c>
      <c r="O145" s="30">
        <f>'9B Sem 2'!N50</f>
        <v>83</v>
      </c>
      <c r="P145" s="30">
        <f>'9B Sem 2'!O50</f>
        <v>87</v>
      </c>
      <c r="Q145" s="30">
        <f>'9B Sem 2'!P50</f>
        <v>836</v>
      </c>
      <c r="R145" s="30">
        <f>'9B Sem 2'!Q50</f>
        <v>76</v>
      </c>
      <c r="S145" s="30">
        <f>'9B Sem 2'!R50</f>
        <v>31</v>
      </c>
      <c r="T145" s="45">
        <f>'9B Sem 2'!S50</f>
        <v>0</v>
      </c>
      <c r="U145" s="45">
        <f>'9B Sem 2'!T50</f>
        <v>0</v>
      </c>
    </row>
    <row r="146" spans="1:21" ht="18.95" customHeight="1" x14ac:dyDescent="0.25">
      <c r="A146" s="295"/>
      <c r="B146" s="293"/>
      <c r="C146" s="293">
        <v>14</v>
      </c>
      <c r="D146" s="293" t="s">
        <v>23</v>
      </c>
      <c r="E146" s="84" t="s">
        <v>16</v>
      </c>
      <c r="F146" s="30">
        <f>AVERAGE(F144:F145)</f>
        <v>85</v>
      </c>
      <c r="G146" s="30">
        <f t="shared" ref="G146:U146" si="46">AVERAGE(G144:G145)</f>
        <v>65</v>
      </c>
      <c r="H146" s="30">
        <f t="shared" si="46"/>
        <v>58.5</v>
      </c>
      <c r="I146" s="30">
        <f t="shared" si="46"/>
        <v>65.5</v>
      </c>
      <c r="J146" s="30">
        <f t="shared" si="46"/>
        <v>68.5</v>
      </c>
      <c r="K146" s="30">
        <f t="shared" si="46"/>
        <v>82</v>
      </c>
      <c r="L146" s="30">
        <f t="shared" si="46"/>
        <v>77</v>
      </c>
      <c r="M146" s="30">
        <f t="shared" si="46"/>
        <v>83</v>
      </c>
      <c r="N146" s="30">
        <f t="shared" si="46"/>
        <v>80.5</v>
      </c>
      <c r="O146" s="30">
        <f t="shared" si="46"/>
        <v>87</v>
      </c>
      <c r="P146" s="30">
        <f t="shared" si="46"/>
        <v>90.5</v>
      </c>
      <c r="Q146" s="30">
        <f t="shared" si="46"/>
        <v>842.5</v>
      </c>
      <c r="R146" s="30">
        <f t="shared" si="46"/>
        <v>76.590909090909093</v>
      </c>
      <c r="S146" s="30"/>
      <c r="T146" s="30">
        <f t="shared" si="46"/>
        <v>0</v>
      </c>
      <c r="U146" s="30">
        <f t="shared" si="46"/>
        <v>0</v>
      </c>
    </row>
    <row r="147" spans="1:21" ht="18.95" customHeight="1" x14ac:dyDescent="0.25">
      <c r="A147" s="295">
        <v>48</v>
      </c>
      <c r="B147" s="293"/>
      <c r="C147" s="293">
        <v>15</v>
      </c>
      <c r="D147" s="293" t="s">
        <v>23</v>
      </c>
      <c r="E147" s="84" t="s">
        <v>21</v>
      </c>
      <c r="F147" s="30">
        <f>'9B Sem 1'!E51</f>
        <v>71</v>
      </c>
      <c r="G147" s="30">
        <f>'9B Sem 1'!F51</f>
        <v>54</v>
      </c>
      <c r="H147" s="30">
        <f>'9B Sem 1'!G51</f>
        <v>46</v>
      </c>
      <c r="I147" s="30">
        <f>'9B Sem 1'!H51</f>
        <v>41</v>
      </c>
      <c r="J147" s="30">
        <f>'9B Sem 1'!I51</f>
        <v>42</v>
      </c>
      <c r="K147" s="30">
        <f>'9B Sem 1'!J51</f>
        <v>44</v>
      </c>
      <c r="L147" s="30">
        <f>'9B Sem 1'!K51</f>
        <v>42</v>
      </c>
      <c r="M147" s="30">
        <f>'9B Sem 1'!L51</f>
        <v>51</v>
      </c>
      <c r="N147" s="30">
        <f>'9B Sem 1'!M51</f>
        <v>48</v>
      </c>
      <c r="O147" s="30">
        <f>'9B Sem 1'!N51</f>
        <v>76</v>
      </c>
      <c r="P147" s="30">
        <f>'9B Sem 1'!O51</f>
        <v>78</v>
      </c>
      <c r="Q147" s="30">
        <f>'9B Sem 1'!P51</f>
        <v>593</v>
      </c>
      <c r="R147" s="30">
        <f>'9B Sem 1'!Q51</f>
        <v>53.909090909090907</v>
      </c>
      <c r="S147" s="30">
        <f>'9B Sem 1'!R51</f>
        <v>51</v>
      </c>
      <c r="T147" s="41">
        <f>'9B Sem 1'!S51</f>
        <v>0</v>
      </c>
      <c r="U147" s="41">
        <f>'9B Sem 1'!T51</f>
        <v>0</v>
      </c>
    </row>
    <row r="148" spans="1:21" ht="18.95" customHeight="1" x14ac:dyDescent="0.25">
      <c r="A148" s="295"/>
      <c r="B148" s="293"/>
      <c r="C148" s="293">
        <v>15</v>
      </c>
      <c r="D148" s="293" t="s">
        <v>23</v>
      </c>
      <c r="E148" s="84" t="s">
        <v>22</v>
      </c>
      <c r="F148" s="30">
        <f>'9B Sem 2'!E51</f>
        <v>84</v>
      </c>
      <c r="G148" s="30">
        <f>'9B Sem 2'!F51</f>
        <v>60</v>
      </c>
      <c r="H148" s="30">
        <f>'9B Sem 2'!G51</f>
        <v>40</v>
      </c>
      <c r="I148" s="30">
        <f>'9B Sem 2'!H51</f>
        <v>46</v>
      </c>
      <c r="J148" s="30">
        <f>'9B Sem 2'!I51</f>
        <v>41</v>
      </c>
      <c r="K148" s="30">
        <f>'9B Sem 2'!J51</f>
        <v>45</v>
      </c>
      <c r="L148" s="30">
        <f>'9B Sem 2'!K51</f>
        <v>54</v>
      </c>
      <c r="M148" s="30">
        <f>'9B Sem 2'!L51</f>
        <v>55</v>
      </c>
      <c r="N148" s="30">
        <f>'9B Sem 2'!M51</f>
        <v>60</v>
      </c>
      <c r="O148" s="30">
        <f>'9B Sem 2'!N51</f>
        <v>70</v>
      </c>
      <c r="P148" s="30">
        <f>'9B Sem 2'!O51</f>
        <v>70</v>
      </c>
      <c r="Q148" s="30">
        <f>'9B Sem 2'!P51</f>
        <v>625</v>
      </c>
      <c r="R148" s="30">
        <f>'9B Sem 2'!Q51</f>
        <v>56.81818181818182</v>
      </c>
      <c r="S148" s="30">
        <f>'9B Sem 2'!R51</f>
        <v>50</v>
      </c>
      <c r="T148" s="41">
        <f>'9B Sem 2'!S51</f>
        <v>0</v>
      </c>
      <c r="U148" s="41">
        <f>'9B Sem 2'!T51</f>
        <v>0</v>
      </c>
    </row>
    <row r="149" spans="1:21" ht="18.95" customHeight="1" x14ac:dyDescent="0.25">
      <c r="A149" s="295"/>
      <c r="B149" s="293"/>
      <c r="C149" s="293">
        <v>15</v>
      </c>
      <c r="D149" s="293" t="s">
        <v>23</v>
      </c>
      <c r="E149" s="84" t="s">
        <v>16</v>
      </c>
      <c r="F149" s="30">
        <f>AVERAGE(F147:F148)</f>
        <v>77.5</v>
      </c>
      <c r="G149" s="30">
        <f t="shared" ref="G149:U149" si="47">AVERAGE(G147:G148)</f>
        <v>57</v>
      </c>
      <c r="H149" s="30">
        <f t="shared" si="47"/>
        <v>43</v>
      </c>
      <c r="I149" s="30">
        <f t="shared" si="47"/>
        <v>43.5</v>
      </c>
      <c r="J149" s="30">
        <f t="shared" si="47"/>
        <v>41.5</v>
      </c>
      <c r="K149" s="30">
        <f t="shared" si="47"/>
        <v>44.5</v>
      </c>
      <c r="L149" s="30">
        <f t="shared" si="47"/>
        <v>48</v>
      </c>
      <c r="M149" s="30">
        <f t="shared" si="47"/>
        <v>53</v>
      </c>
      <c r="N149" s="30">
        <f t="shared" si="47"/>
        <v>54</v>
      </c>
      <c r="O149" s="30">
        <f t="shared" si="47"/>
        <v>73</v>
      </c>
      <c r="P149" s="30">
        <f t="shared" si="47"/>
        <v>74</v>
      </c>
      <c r="Q149" s="30">
        <f t="shared" si="47"/>
        <v>609</v>
      </c>
      <c r="R149" s="30">
        <f t="shared" si="47"/>
        <v>55.36363636363636</v>
      </c>
      <c r="S149" s="30"/>
      <c r="T149" s="30">
        <f t="shared" si="47"/>
        <v>0</v>
      </c>
      <c r="U149" s="30">
        <f t="shared" si="47"/>
        <v>0</v>
      </c>
    </row>
    <row r="150" spans="1:21" ht="18.95" customHeight="1" x14ac:dyDescent="0.25">
      <c r="A150" s="292">
        <v>49</v>
      </c>
      <c r="B150" s="293"/>
      <c r="C150" s="294">
        <v>14</v>
      </c>
      <c r="D150" s="294" t="s">
        <v>23</v>
      </c>
      <c r="E150" s="84" t="s">
        <v>21</v>
      </c>
      <c r="F150" s="30">
        <f>'9B Sem 1'!E52</f>
        <v>99</v>
      </c>
      <c r="G150" s="30">
        <f>'9B Sem 1'!F52</f>
        <v>92</v>
      </c>
      <c r="H150" s="30">
        <f>'9B Sem 1'!G52</f>
        <v>100</v>
      </c>
      <c r="I150" s="30">
        <f>'9B Sem 1'!H52</f>
        <v>100</v>
      </c>
      <c r="J150" s="30">
        <f>'9B Sem 1'!I52</f>
        <v>98</v>
      </c>
      <c r="K150" s="30">
        <f>'9B Sem 1'!J52</f>
        <v>99</v>
      </c>
      <c r="L150" s="30">
        <f>'9B Sem 1'!K52</f>
        <v>100</v>
      </c>
      <c r="M150" s="30">
        <f>'9B Sem 1'!L52</f>
        <v>100</v>
      </c>
      <c r="N150" s="30">
        <f>'9B Sem 1'!M52</f>
        <v>100</v>
      </c>
      <c r="O150" s="30">
        <f>'9B Sem 1'!N52</f>
        <v>100</v>
      </c>
      <c r="P150" s="30">
        <f>'9B Sem 1'!O52</f>
        <v>100</v>
      </c>
      <c r="Q150" s="30">
        <f>'9B Sem 1'!P52</f>
        <v>1088</v>
      </c>
      <c r="R150" s="30">
        <f>'9B Sem 1'!Q52</f>
        <v>98.909090909090907</v>
      </c>
      <c r="S150" s="30">
        <f>'9B Sem 1'!R52</f>
        <v>1</v>
      </c>
      <c r="T150" s="41">
        <f>'9B Sem 1'!S52</f>
        <v>0</v>
      </c>
      <c r="U150" s="41">
        <f>'9B Sem 1'!T52</f>
        <v>0</v>
      </c>
    </row>
    <row r="151" spans="1:21" ht="18.95" customHeight="1" x14ac:dyDescent="0.25">
      <c r="A151" s="292"/>
      <c r="B151" s="293"/>
      <c r="C151" s="294">
        <v>14</v>
      </c>
      <c r="D151" s="294" t="s">
        <v>23</v>
      </c>
      <c r="E151" s="84" t="s">
        <v>22</v>
      </c>
      <c r="F151" s="30">
        <f>'9B Sem 2'!E52</f>
        <v>99</v>
      </c>
      <c r="G151" s="30">
        <f>'9B Sem 2'!F52</f>
        <v>97</v>
      </c>
      <c r="H151" s="30">
        <f>'9B Sem 2'!G52</f>
        <v>99</v>
      </c>
      <c r="I151" s="30">
        <f>'9B Sem 2'!H52</f>
        <v>100</v>
      </c>
      <c r="J151" s="30">
        <f>'9B Sem 2'!I52</f>
        <v>97</v>
      </c>
      <c r="K151" s="30">
        <f>'9B Sem 2'!J52</f>
        <v>100</v>
      </c>
      <c r="L151" s="30">
        <f>'9B Sem 2'!K52</f>
        <v>100</v>
      </c>
      <c r="M151" s="30">
        <f>'9B Sem 2'!L52</f>
        <v>98</v>
      </c>
      <c r="N151" s="30">
        <f>'9B Sem 2'!M52</f>
        <v>100</v>
      </c>
      <c r="O151" s="30">
        <f>'9B Sem 2'!N52</f>
        <v>100</v>
      </c>
      <c r="P151" s="30">
        <f>'9B Sem 2'!O52</f>
        <v>100</v>
      </c>
      <c r="Q151" s="30">
        <f>'9B Sem 2'!P52</f>
        <v>1090</v>
      </c>
      <c r="R151" s="30">
        <f>'9B Sem 2'!Q52</f>
        <v>99.090909090909093</v>
      </c>
      <c r="S151" s="30">
        <f>'9B Sem 2'!R52</f>
        <v>1</v>
      </c>
      <c r="T151" s="41">
        <f>'9B Sem 2'!S52</f>
        <v>0</v>
      </c>
      <c r="U151" s="41">
        <f>'9B Sem 2'!T52</f>
        <v>0</v>
      </c>
    </row>
    <row r="152" spans="1:21" ht="18.95" customHeight="1" x14ac:dyDescent="0.25">
      <c r="A152" s="292"/>
      <c r="B152" s="293"/>
      <c r="C152" s="294">
        <v>14</v>
      </c>
      <c r="D152" s="294" t="s">
        <v>23</v>
      </c>
      <c r="E152" s="84" t="s">
        <v>16</v>
      </c>
      <c r="F152" s="30">
        <f>AVERAGE(F150:F151)</f>
        <v>99</v>
      </c>
      <c r="G152" s="30">
        <f t="shared" ref="G152:U152" si="48">AVERAGE(G150:G151)</f>
        <v>94.5</v>
      </c>
      <c r="H152" s="30">
        <f t="shared" si="48"/>
        <v>99.5</v>
      </c>
      <c r="I152" s="30">
        <f t="shared" si="48"/>
        <v>100</v>
      </c>
      <c r="J152" s="30">
        <f t="shared" si="48"/>
        <v>97.5</v>
      </c>
      <c r="K152" s="30">
        <f t="shared" si="48"/>
        <v>99.5</v>
      </c>
      <c r="L152" s="30">
        <f t="shared" si="48"/>
        <v>100</v>
      </c>
      <c r="M152" s="30">
        <f t="shared" si="48"/>
        <v>99</v>
      </c>
      <c r="N152" s="30">
        <f t="shared" si="48"/>
        <v>100</v>
      </c>
      <c r="O152" s="30">
        <f t="shared" si="48"/>
        <v>100</v>
      </c>
      <c r="P152" s="30">
        <f t="shared" si="48"/>
        <v>100</v>
      </c>
      <c r="Q152" s="30">
        <f t="shared" si="48"/>
        <v>1089</v>
      </c>
      <c r="R152" s="30">
        <f t="shared" si="48"/>
        <v>99</v>
      </c>
      <c r="S152" s="30"/>
      <c r="T152" s="30">
        <f t="shared" si="48"/>
        <v>0</v>
      </c>
      <c r="U152" s="30">
        <f t="shared" si="48"/>
        <v>0</v>
      </c>
    </row>
    <row r="153" spans="1:21" ht="18.95" customHeight="1" x14ac:dyDescent="0.25">
      <c r="A153" s="292">
        <v>50</v>
      </c>
      <c r="B153" s="293"/>
      <c r="C153" s="294">
        <v>15</v>
      </c>
      <c r="D153" s="294" t="s">
        <v>20</v>
      </c>
      <c r="E153" s="84" t="s">
        <v>21</v>
      </c>
      <c r="F153" s="30">
        <v>89</v>
      </c>
      <c r="G153" s="30">
        <v>88</v>
      </c>
      <c r="H153" s="30">
        <v>90</v>
      </c>
      <c r="I153" s="30">
        <v>85</v>
      </c>
      <c r="J153" s="30">
        <v>90</v>
      </c>
      <c r="K153" s="30">
        <v>94</v>
      </c>
      <c r="L153" s="30">
        <v>83</v>
      </c>
      <c r="M153" s="30">
        <v>94</v>
      </c>
      <c r="N153" s="30">
        <v>92</v>
      </c>
      <c r="O153" s="30">
        <f>'9B Sem 1'!N52</f>
        <v>100</v>
      </c>
      <c r="P153" s="30">
        <v>80</v>
      </c>
      <c r="Q153" s="30">
        <v>985</v>
      </c>
      <c r="R153" s="30">
        <v>89.55</v>
      </c>
      <c r="S153" s="30">
        <v>6</v>
      </c>
      <c r="T153" s="41">
        <f>'9B Sem 1'!S53</f>
        <v>0</v>
      </c>
      <c r="U153" s="41">
        <f>'9B Sem 1'!T53</f>
        <v>0</v>
      </c>
    </row>
    <row r="154" spans="1:21" ht="18.95" customHeight="1" x14ac:dyDescent="0.25">
      <c r="A154" s="292"/>
      <c r="B154" s="293"/>
      <c r="C154" s="294">
        <v>15</v>
      </c>
      <c r="D154" s="294" t="s">
        <v>20</v>
      </c>
      <c r="E154" s="84" t="s">
        <v>22</v>
      </c>
      <c r="F154" s="30">
        <f>'9B Sem 2'!E53</f>
        <v>89</v>
      </c>
      <c r="G154" s="30">
        <f>'9B Sem 2'!F53</f>
        <v>93</v>
      </c>
      <c r="H154" s="30">
        <f>'9B Sem 2'!G53</f>
        <v>93</v>
      </c>
      <c r="I154" s="30">
        <f>'9B Sem 2'!H53</f>
        <v>82</v>
      </c>
      <c r="J154" s="30">
        <f>'9B Sem 2'!I53</f>
        <v>84</v>
      </c>
      <c r="K154" s="30">
        <f>'9B Sem 2'!J53</f>
        <v>92</v>
      </c>
      <c r="L154" s="30">
        <f>'9B Sem 2'!K53</f>
        <v>93</v>
      </c>
      <c r="M154" s="30">
        <f>'9B Sem 2'!L53</f>
        <v>80</v>
      </c>
      <c r="N154" s="30">
        <f>'9B Sem 2'!M53</f>
        <v>97</v>
      </c>
      <c r="O154" s="30">
        <f>'9B Sem 2'!N53</f>
        <v>95</v>
      </c>
      <c r="P154" s="30">
        <f>'9B Sem 2'!O53</f>
        <v>90</v>
      </c>
      <c r="Q154" s="30">
        <f>'9B Sem 2'!P53</f>
        <v>988</v>
      </c>
      <c r="R154" s="30">
        <f>'9B Sem 2'!Q53</f>
        <v>89.818181818181813</v>
      </c>
      <c r="S154" s="30">
        <f>'9B Sem 2'!R53</f>
        <v>9</v>
      </c>
      <c r="T154" s="41">
        <f>'9B Sem 2'!S53</f>
        <v>0</v>
      </c>
      <c r="U154" s="41">
        <f>'9B Sem 2'!T53</f>
        <v>0</v>
      </c>
    </row>
    <row r="155" spans="1:21" ht="18.95" customHeight="1" x14ac:dyDescent="0.25">
      <c r="A155" s="292"/>
      <c r="B155" s="293"/>
      <c r="C155" s="294">
        <v>15</v>
      </c>
      <c r="D155" s="294" t="s">
        <v>20</v>
      </c>
      <c r="E155" s="84" t="s">
        <v>16</v>
      </c>
      <c r="F155" s="30">
        <f>AVERAGE(F153:F154)</f>
        <v>89</v>
      </c>
      <c r="G155" s="30">
        <f t="shared" ref="G155:U155" si="49">AVERAGE(G153:G154)</f>
        <v>90.5</v>
      </c>
      <c r="H155" s="30">
        <f t="shared" si="49"/>
        <v>91.5</v>
      </c>
      <c r="I155" s="30">
        <f t="shared" si="49"/>
        <v>83.5</v>
      </c>
      <c r="J155" s="30">
        <f t="shared" si="49"/>
        <v>87</v>
      </c>
      <c r="K155" s="30">
        <f t="shared" si="49"/>
        <v>93</v>
      </c>
      <c r="L155" s="30">
        <f t="shared" si="49"/>
        <v>88</v>
      </c>
      <c r="M155" s="30">
        <f t="shared" si="49"/>
        <v>87</v>
      </c>
      <c r="N155" s="30">
        <f t="shared" si="49"/>
        <v>94.5</v>
      </c>
      <c r="O155" s="30">
        <f t="shared" si="49"/>
        <v>97.5</v>
      </c>
      <c r="P155" s="30">
        <f t="shared" si="49"/>
        <v>85</v>
      </c>
      <c r="Q155" s="30">
        <f t="shared" si="49"/>
        <v>986.5</v>
      </c>
      <c r="R155" s="30">
        <f t="shared" si="49"/>
        <v>89.684090909090912</v>
      </c>
      <c r="S155" s="30"/>
      <c r="T155" s="30">
        <f t="shared" si="49"/>
        <v>0</v>
      </c>
      <c r="U155" s="30">
        <f t="shared" si="49"/>
        <v>0</v>
      </c>
    </row>
    <row r="156" spans="1:21" ht="18.95" customHeight="1" x14ac:dyDescent="0.25">
      <c r="A156" s="292">
        <v>51</v>
      </c>
      <c r="B156" s="293"/>
      <c r="C156" s="294">
        <v>15</v>
      </c>
      <c r="D156" s="294" t="s">
        <v>20</v>
      </c>
      <c r="E156" s="84" t="s">
        <v>21</v>
      </c>
      <c r="F156" s="30">
        <v>92</v>
      </c>
      <c r="G156" s="30">
        <v>84</v>
      </c>
      <c r="H156" s="30">
        <v>95</v>
      </c>
      <c r="I156" s="30">
        <v>99</v>
      </c>
      <c r="J156" s="30">
        <v>93</v>
      </c>
      <c r="K156" s="30">
        <v>95</v>
      </c>
      <c r="L156" s="30">
        <v>91</v>
      </c>
      <c r="M156" s="30">
        <v>98</v>
      </c>
      <c r="N156" s="30">
        <v>94</v>
      </c>
      <c r="O156" s="30">
        <v>99</v>
      </c>
      <c r="P156" s="30">
        <v>100</v>
      </c>
      <c r="Q156" s="30">
        <v>1040</v>
      </c>
      <c r="R156" s="30">
        <v>94.55</v>
      </c>
      <c r="S156" s="30">
        <v>2</v>
      </c>
      <c r="T156" s="41">
        <f>'9B Sem 1'!S54</f>
        <v>0</v>
      </c>
      <c r="U156" s="41">
        <f>'9B Sem 1'!T54</f>
        <v>0</v>
      </c>
    </row>
    <row r="157" spans="1:21" ht="18.95" customHeight="1" x14ac:dyDescent="0.25">
      <c r="A157" s="292"/>
      <c r="B157" s="293"/>
      <c r="C157" s="294">
        <v>15</v>
      </c>
      <c r="D157" s="294" t="s">
        <v>20</v>
      </c>
      <c r="E157" s="84" t="s">
        <v>22</v>
      </c>
      <c r="F157" s="30">
        <f>'9B Sem 2'!E54</f>
        <v>94</v>
      </c>
      <c r="G157" s="38">
        <f>'9B Sem 2'!F54</f>
        <v>91</v>
      </c>
      <c r="H157" s="38">
        <f>'9B Sem 2'!G54</f>
        <v>99</v>
      </c>
      <c r="I157" s="38">
        <f>'9B Sem 2'!H54</f>
        <v>92</v>
      </c>
      <c r="J157" s="38">
        <f>'9B Sem 2'!I54</f>
        <v>92</v>
      </c>
      <c r="K157" s="38">
        <f>'9B Sem 2'!J54</f>
        <v>93</v>
      </c>
      <c r="L157" s="38">
        <f>'9B Sem 2'!K54</f>
        <v>92</v>
      </c>
      <c r="M157" s="38">
        <f>'9B Sem 2'!L54</f>
        <v>95</v>
      </c>
      <c r="N157" s="38">
        <f>'9B Sem 2'!M54</f>
        <v>97</v>
      </c>
      <c r="O157" s="30">
        <f>'9B Sem 2'!N54</f>
        <v>97</v>
      </c>
      <c r="P157" s="38">
        <f>'9B Sem 2'!O54</f>
        <v>100</v>
      </c>
      <c r="Q157" s="30">
        <f>'9B Sem 2'!P54</f>
        <v>1042</v>
      </c>
      <c r="R157" s="30">
        <f>'9B Sem 2'!Q54</f>
        <v>94.727272727272734</v>
      </c>
      <c r="S157" s="30">
        <f>'9B Sem 2'!R54</f>
        <v>2</v>
      </c>
      <c r="T157" s="38">
        <f>'9B Sem 2'!S54</f>
        <v>0</v>
      </c>
      <c r="U157" s="38">
        <f>'9B Sem 2'!T54</f>
        <v>0</v>
      </c>
    </row>
    <row r="158" spans="1:21" ht="18.95" customHeight="1" x14ac:dyDescent="0.25">
      <c r="A158" s="292"/>
      <c r="B158" s="293"/>
      <c r="C158" s="294">
        <v>15</v>
      </c>
      <c r="D158" s="294" t="s">
        <v>20</v>
      </c>
      <c r="E158" s="84" t="s">
        <v>16</v>
      </c>
      <c r="F158" s="30">
        <f>AVERAGE(F156:F157)</f>
        <v>93</v>
      </c>
      <c r="G158" s="30">
        <f t="shared" ref="G158:U158" si="50">AVERAGE(G156:G157)</f>
        <v>87.5</v>
      </c>
      <c r="H158" s="30">
        <f t="shared" si="50"/>
        <v>97</v>
      </c>
      <c r="I158" s="30">
        <f t="shared" si="50"/>
        <v>95.5</v>
      </c>
      <c r="J158" s="30">
        <f t="shared" si="50"/>
        <v>92.5</v>
      </c>
      <c r="K158" s="30">
        <f t="shared" si="50"/>
        <v>94</v>
      </c>
      <c r="L158" s="30">
        <f t="shared" si="50"/>
        <v>91.5</v>
      </c>
      <c r="M158" s="30">
        <f t="shared" si="50"/>
        <v>96.5</v>
      </c>
      <c r="N158" s="30">
        <f t="shared" si="50"/>
        <v>95.5</v>
      </c>
      <c r="O158" s="30">
        <f t="shared" si="50"/>
        <v>98</v>
      </c>
      <c r="P158" s="30">
        <f t="shared" si="50"/>
        <v>100</v>
      </c>
      <c r="Q158" s="30">
        <f t="shared" si="50"/>
        <v>1041</v>
      </c>
      <c r="R158" s="30">
        <f t="shared" si="50"/>
        <v>94.638636363636365</v>
      </c>
      <c r="S158" s="30"/>
      <c r="T158" s="30">
        <f t="shared" si="50"/>
        <v>0</v>
      </c>
      <c r="U158" s="30">
        <f t="shared" si="50"/>
        <v>0</v>
      </c>
    </row>
    <row r="159" spans="1:21" ht="18" customHeight="1" x14ac:dyDescent="0.25">
      <c r="A159" s="292">
        <v>52</v>
      </c>
      <c r="B159" s="293"/>
      <c r="C159" s="294">
        <v>14</v>
      </c>
      <c r="D159" s="294" t="s">
        <v>20</v>
      </c>
      <c r="E159" s="84" t="s">
        <v>21</v>
      </c>
      <c r="F159" s="111">
        <v>66</v>
      </c>
      <c r="G159" s="111">
        <v>72</v>
      </c>
      <c r="H159" s="111">
        <v>77</v>
      </c>
      <c r="I159" s="111">
        <v>72</v>
      </c>
      <c r="J159" s="111">
        <v>74</v>
      </c>
      <c r="K159" s="111">
        <v>71</v>
      </c>
      <c r="L159" s="111">
        <v>69</v>
      </c>
      <c r="M159" s="111">
        <v>75</v>
      </c>
      <c r="N159" s="111">
        <v>74</v>
      </c>
      <c r="O159" s="111">
        <v>82</v>
      </c>
      <c r="P159" s="111">
        <v>80</v>
      </c>
      <c r="Q159" s="111">
        <v>812</v>
      </c>
      <c r="R159" s="111">
        <v>73.819999999999993</v>
      </c>
      <c r="S159" s="111">
        <v>31</v>
      </c>
      <c r="T159" s="135">
        <f>'9B Sem 1'!S54</f>
        <v>0</v>
      </c>
      <c r="U159" s="135">
        <f>'9B Sem 1'!T54</f>
        <v>0</v>
      </c>
    </row>
    <row r="160" spans="1:21" ht="18" customHeight="1" x14ac:dyDescent="0.25">
      <c r="A160" s="292"/>
      <c r="B160" s="293"/>
      <c r="C160" s="294">
        <v>14</v>
      </c>
      <c r="D160" s="294" t="s">
        <v>20</v>
      </c>
      <c r="E160" s="84" t="s">
        <v>22</v>
      </c>
      <c r="F160" s="111">
        <f>'9B Sem 2'!E55</f>
        <v>74</v>
      </c>
      <c r="G160" s="111">
        <f>'9B Sem 2'!F55</f>
        <v>76</v>
      </c>
      <c r="H160" s="111">
        <f>'9B Sem 2'!G55</f>
        <v>77</v>
      </c>
      <c r="I160" s="111">
        <f>'9B Sem 2'!H55</f>
        <v>66</v>
      </c>
      <c r="J160" s="111">
        <f>'9B Sem 2'!I55</f>
        <v>73</v>
      </c>
      <c r="K160" s="111">
        <f>'9B Sem 2'!J55</f>
        <v>78</v>
      </c>
      <c r="L160" s="111">
        <f>'9B Sem 2'!K55</f>
        <v>58</v>
      </c>
      <c r="M160" s="111">
        <f>'9B Sem 2'!L55</f>
        <v>61</v>
      </c>
      <c r="N160" s="111">
        <f>'9B Sem 2'!M55</f>
        <v>79</v>
      </c>
      <c r="O160" s="111">
        <f>'9B Sem 2'!N55</f>
        <v>84</v>
      </c>
      <c r="P160" s="111">
        <f>'9B Sem 2'!O55</f>
        <v>88</v>
      </c>
      <c r="Q160" s="111">
        <f>'9B Sem 2'!P55</f>
        <v>814</v>
      </c>
      <c r="R160" s="111">
        <f>'9B Sem 2'!Q55</f>
        <v>74</v>
      </c>
      <c r="S160" s="111">
        <f>'9B Sem 2'!R55</f>
        <v>33</v>
      </c>
      <c r="T160" s="135">
        <f>'9B Sem 2'!S55</f>
        <v>0</v>
      </c>
      <c r="U160" s="135">
        <f>'9B Sem 2'!T55</f>
        <v>0</v>
      </c>
    </row>
    <row r="161" spans="1:21" ht="18" customHeight="1" x14ac:dyDescent="0.25">
      <c r="A161" s="292"/>
      <c r="B161" s="293"/>
      <c r="C161" s="294">
        <v>14</v>
      </c>
      <c r="D161" s="294" t="s">
        <v>20</v>
      </c>
      <c r="E161" s="84" t="s">
        <v>16</v>
      </c>
      <c r="F161" s="111">
        <f>AVERAGE(F159:F160)</f>
        <v>70</v>
      </c>
      <c r="G161" s="111">
        <f t="shared" ref="G161:U161" si="51">AVERAGE(G159:G160)</f>
        <v>74</v>
      </c>
      <c r="H161" s="111">
        <f t="shared" si="51"/>
        <v>77</v>
      </c>
      <c r="I161" s="111">
        <f t="shared" si="51"/>
        <v>69</v>
      </c>
      <c r="J161" s="111">
        <f t="shared" si="51"/>
        <v>73.5</v>
      </c>
      <c r="K161" s="111">
        <f t="shared" si="51"/>
        <v>74.5</v>
      </c>
      <c r="L161" s="111">
        <f t="shared" si="51"/>
        <v>63.5</v>
      </c>
      <c r="M161" s="111">
        <f t="shared" si="51"/>
        <v>68</v>
      </c>
      <c r="N161" s="111">
        <f t="shared" si="51"/>
        <v>76.5</v>
      </c>
      <c r="O161" s="111">
        <f t="shared" si="51"/>
        <v>83</v>
      </c>
      <c r="P161" s="111">
        <f t="shared" si="51"/>
        <v>84</v>
      </c>
      <c r="Q161" s="111">
        <f t="shared" si="51"/>
        <v>813</v>
      </c>
      <c r="R161" s="111">
        <f t="shared" si="51"/>
        <v>73.91</v>
      </c>
      <c r="S161" s="111"/>
      <c r="T161" s="135">
        <f t="shared" si="51"/>
        <v>0</v>
      </c>
      <c r="U161" s="135">
        <f t="shared" si="51"/>
        <v>0</v>
      </c>
    </row>
    <row r="162" spans="1:21" ht="18" customHeight="1" x14ac:dyDescent="0.25">
      <c r="A162" s="302"/>
      <c r="B162" s="6"/>
      <c r="C162"/>
      <c r="D162"/>
    </row>
    <row r="163" spans="1:21" ht="18" customHeight="1" x14ac:dyDescent="0.25">
      <c r="A163" s="302"/>
      <c r="C163"/>
      <c r="D163"/>
    </row>
    <row r="164" spans="1:21" ht="18" customHeight="1" x14ac:dyDescent="0.25">
      <c r="A164" s="302"/>
      <c r="C164"/>
      <c r="D164"/>
    </row>
    <row r="165" spans="1:21" ht="18" customHeight="1" x14ac:dyDescent="0.25">
      <c r="C165"/>
      <c r="D165"/>
    </row>
    <row r="166" spans="1:21" ht="18" customHeight="1" x14ac:dyDescent="0.25">
      <c r="C166"/>
      <c r="D166"/>
    </row>
    <row r="167" spans="1:21" ht="19.5" customHeight="1" x14ac:dyDescent="0.25">
      <c r="C167"/>
      <c r="D167"/>
    </row>
    <row r="168" spans="1:21" ht="18.75" customHeight="1" x14ac:dyDescent="0.25">
      <c r="C168"/>
      <c r="D168"/>
    </row>
    <row r="169" spans="1:21" ht="18" customHeight="1" x14ac:dyDescent="0.25">
      <c r="C169"/>
      <c r="D169"/>
    </row>
    <row r="170" spans="1:21" ht="18" customHeight="1" x14ac:dyDescent="0.25">
      <c r="C170"/>
      <c r="D170"/>
    </row>
    <row r="171" spans="1:21" ht="18" customHeight="1" x14ac:dyDescent="0.25">
      <c r="C171"/>
      <c r="D171"/>
    </row>
    <row r="172" spans="1:21" ht="18" customHeight="1" x14ac:dyDescent="0.25">
      <c r="C172"/>
      <c r="D172"/>
    </row>
    <row r="173" spans="1:21" ht="18" customHeight="1" x14ac:dyDescent="0.25">
      <c r="C173"/>
      <c r="D173"/>
    </row>
    <row r="174" spans="1:21" ht="18" customHeight="1" x14ac:dyDescent="0.25">
      <c r="C174"/>
      <c r="D174"/>
    </row>
    <row r="175" spans="1:21" ht="18" customHeight="1" x14ac:dyDescent="0.25">
      <c r="C175"/>
      <c r="D175"/>
    </row>
    <row r="176" spans="1:21" ht="18" customHeight="1" x14ac:dyDescent="0.25">
      <c r="C176"/>
      <c r="D176"/>
    </row>
    <row r="177" spans="1:4" ht="18" customHeight="1" x14ac:dyDescent="0.25">
      <c r="C177"/>
      <c r="D177"/>
    </row>
    <row r="178" spans="1:4" ht="18" customHeight="1" x14ac:dyDescent="0.25">
      <c r="C178"/>
      <c r="D178"/>
    </row>
    <row r="179" spans="1:4" ht="18" customHeight="1" x14ac:dyDescent="0.25">
      <c r="C179"/>
      <c r="D179"/>
    </row>
    <row r="180" spans="1:4" ht="18" customHeight="1" x14ac:dyDescent="0.25">
      <c r="C180"/>
      <c r="D180"/>
    </row>
    <row r="181" spans="1:4" ht="18" customHeight="1" x14ac:dyDescent="0.25">
      <c r="C181"/>
      <c r="D181"/>
    </row>
    <row r="182" spans="1:4" ht="18" customHeight="1" x14ac:dyDescent="0.25">
      <c r="C182"/>
      <c r="D182"/>
    </row>
    <row r="183" spans="1:4" ht="18" customHeight="1" x14ac:dyDescent="0.25">
      <c r="C183"/>
      <c r="D183"/>
    </row>
    <row r="184" spans="1:4" ht="18" customHeight="1" x14ac:dyDescent="0.25">
      <c r="A184" s="8"/>
      <c r="C184"/>
      <c r="D184"/>
    </row>
    <row r="185" spans="1:4" ht="18" customHeight="1" x14ac:dyDescent="0.25">
      <c r="A185" s="8"/>
      <c r="C185"/>
      <c r="D185"/>
    </row>
    <row r="186" spans="1:4" ht="18" customHeight="1" x14ac:dyDescent="0.25">
      <c r="A186" s="8"/>
      <c r="C186"/>
      <c r="D186"/>
    </row>
    <row r="187" spans="1:4" ht="18" customHeight="1" x14ac:dyDescent="0.25">
      <c r="A187" s="8"/>
      <c r="C187" s="9"/>
      <c r="D187" s="9"/>
    </row>
    <row r="188" spans="1:4" ht="18" customHeight="1" x14ac:dyDescent="0.25">
      <c r="A188" s="8"/>
      <c r="B188" s="9"/>
      <c r="C188" s="9"/>
      <c r="D188" s="9"/>
    </row>
    <row r="189" spans="1:4" ht="18" customHeight="1" x14ac:dyDescent="0.25">
      <c r="A189" s="8"/>
      <c r="B189" s="9"/>
      <c r="C189" s="9"/>
      <c r="D189" s="9"/>
    </row>
    <row r="190" spans="1:4" ht="18" customHeight="1" x14ac:dyDescent="0.25">
      <c r="A190" s="8"/>
      <c r="B190" s="9"/>
      <c r="C190" s="9"/>
      <c r="D190" s="9"/>
    </row>
    <row r="191" spans="1:4" ht="18" customHeight="1" x14ac:dyDescent="0.25">
      <c r="A191" s="8"/>
      <c r="B191" s="9"/>
      <c r="C191" s="9"/>
      <c r="D191" s="9"/>
    </row>
    <row r="192" spans="1:4" ht="18" customHeight="1" x14ac:dyDescent="0.25">
      <c r="A192" s="8"/>
      <c r="B192" s="9"/>
      <c r="C192" s="9"/>
      <c r="D192" s="9"/>
    </row>
    <row r="193" spans="1:5" ht="18" customHeight="1" x14ac:dyDescent="0.25">
      <c r="A193" s="8"/>
      <c r="B193" s="9"/>
      <c r="C193" s="9"/>
      <c r="D193" s="9"/>
    </row>
    <row r="194" spans="1:5" ht="18" customHeight="1" x14ac:dyDescent="0.25">
      <c r="A194" s="8"/>
      <c r="B194" s="9"/>
      <c r="C194" s="9"/>
      <c r="D194" s="9"/>
    </row>
    <row r="195" spans="1:5" ht="18.75" customHeight="1" x14ac:dyDescent="0.25">
      <c r="A195" s="8"/>
      <c r="B195" s="9"/>
      <c r="C195" s="9"/>
      <c r="D195" s="9"/>
    </row>
    <row r="196" spans="1:5" ht="18.75" customHeight="1" x14ac:dyDescent="0.25">
      <c r="A196" s="8"/>
      <c r="B196" s="9"/>
      <c r="C196" s="9"/>
      <c r="D196" s="9"/>
    </row>
    <row r="197" spans="1:5" ht="18.75" customHeight="1" x14ac:dyDescent="0.25">
      <c r="A197" s="8"/>
      <c r="B197" s="9"/>
      <c r="C197" s="9"/>
      <c r="D197" s="9"/>
    </row>
    <row r="198" spans="1:5" ht="18.75" customHeight="1" x14ac:dyDescent="0.25">
      <c r="B198" s="9"/>
      <c r="C198" s="9"/>
      <c r="D198" s="9"/>
    </row>
    <row r="199" spans="1:5" ht="18.75" customHeight="1" x14ac:dyDescent="0.25">
      <c r="B199" s="9"/>
      <c r="C199" s="9"/>
      <c r="D199" s="9"/>
    </row>
    <row r="200" spans="1:5" ht="18.75" customHeight="1" x14ac:dyDescent="0.25">
      <c r="A200" s="7"/>
      <c r="B200" s="9"/>
      <c r="C200" s="9"/>
      <c r="D200" s="9"/>
    </row>
    <row r="201" spans="1:5" ht="18.75" customHeight="1" x14ac:dyDescent="0.25">
      <c r="A201" s="7"/>
      <c r="B201" s="9"/>
      <c r="C201"/>
      <c r="D201"/>
    </row>
    <row r="202" spans="1:5" ht="18.75" customHeight="1" x14ac:dyDescent="0.25">
      <c r="A202" s="7"/>
      <c r="C202"/>
      <c r="D202"/>
    </row>
    <row r="203" spans="1:5" ht="18.75" customHeight="1" x14ac:dyDescent="0.25">
      <c r="A203" s="7"/>
      <c r="C203" s="6"/>
      <c r="D203" s="6"/>
      <c r="E203" s="6"/>
    </row>
    <row r="204" spans="1:5" ht="18.75" customHeight="1" x14ac:dyDescent="0.25">
      <c r="A204" s="7"/>
      <c r="B204" s="6"/>
      <c r="C204" s="6"/>
      <c r="D204" s="6"/>
      <c r="E204" s="6"/>
    </row>
    <row r="205" spans="1:5" ht="18.75" customHeight="1" x14ac:dyDescent="0.25">
      <c r="A205" s="7"/>
      <c r="B205" s="6"/>
      <c r="C205" s="6"/>
      <c r="D205" s="6"/>
      <c r="E205" s="6"/>
    </row>
    <row r="206" spans="1:5" ht="18.75" customHeight="1" x14ac:dyDescent="0.25">
      <c r="A206" s="7"/>
      <c r="B206" s="6"/>
      <c r="C206" s="6"/>
      <c r="D206" s="6"/>
      <c r="E206" s="6"/>
    </row>
    <row r="207" spans="1:5" ht="18.75" customHeight="1" x14ac:dyDescent="0.25">
      <c r="A207" s="7"/>
      <c r="B207" s="6"/>
      <c r="C207" s="6"/>
      <c r="D207" s="6"/>
      <c r="E207" s="6"/>
    </row>
    <row r="208" spans="1:5" ht="18.75" customHeight="1" x14ac:dyDescent="0.25">
      <c r="A208" s="7"/>
      <c r="B208" s="6"/>
      <c r="C208" s="6"/>
      <c r="D208" s="6"/>
      <c r="E208" s="6"/>
    </row>
    <row r="209" spans="1:5" ht="18.75" customHeight="1" x14ac:dyDescent="0.25">
      <c r="A209" s="7"/>
      <c r="B209" s="6"/>
      <c r="C209" s="6"/>
      <c r="D209" s="6"/>
      <c r="E209" s="6"/>
    </row>
    <row r="210" spans="1:5" ht="18.75" customHeight="1" x14ac:dyDescent="0.25">
      <c r="A210" s="7"/>
      <c r="B210" s="6"/>
      <c r="C210" s="6"/>
      <c r="D210" s="6"/>
      <c r="E210" s="6"/>
    </row>
    <row r="211" spans="1:5" ht="18.75" customHeight="1" x14ac:dyDescent="0.25">
      <c r="A211" s="7"/>
      <c r="B211" s="6"/>
      <c r="C211" s="6"/>
      <c r="D211" s="6"/>
      <c r="E211" s="6"/>
    </row>
    <row r="212" spans="1:5" ht="18.75" customHeight="1" x14ac:dyDescent="0.25">
      <c r="A212" s="7"/>
      <c r="B212" s="6"/>
      <c r="C212" s="6"/>
      <c r="D212" s="6"/>
      <c r="E212" s="6"/>
    </row>
    <row r="213" spans="1:5" ht="18.75" customHeight="1" x14ac:dyDescent="0.25">
      <c r="A213" s="7"/>
      <c r="B213" s="6"/>
      <c r="C213" s="6"/>
      <c r="D213" s="6"/>
      <c r="E213" s="6"/>
    </row>
    <row r="214" spans="1:5" ht="18.75" customHeight="1" x14ac:dyDescent="0.25">
      <c r="A214" s="7"/>
      <c r="B214" s="6"/>
      <c r="C214" s="6"/>
      <c r="D214" s="6"/>
      <c r="E214" s="6"/>
    </row>
    <row r="215" spans="1:5" ht="18.75" customHeight="1" x14ac:dyDescent="0.25">
      <c r="A215" s="7"/>
      <c r="B215" s="6"/>
      <c r="C215" s="6"/>
      <c r="D215" s="6"/>
      <c r="E215" s="6"/>
    </row>
    <row r="216" spans="1:5" ht="18.75" customHeight="1" x14ac:dyDescent="0.25">
      <c r="A216" s="7"/>
      <c r="B216" s="6"/>
      <c r="C216" s="6"/>
      <c r="D216" s="6"/>
      <c r="E216" s="6"/>
    </row>
    <row r="217" spans="1:5" ht="15.75" x14ac:dyDescent="0.25">
      <c r="A217" s="7"/>
      <c r="B217" s="6"/>
      <c r="C217" s="6"/>
      <c r="D217" s="6"/>
      <c r="E217" s="6"/>
    </row>
    <row r="218" spans="1:5" ht="15.75" x14ac:dyDescent="0.25">
      <c r="A218" s="7"/>
      <c r="B218" s="6"/>
      <c r="C218" s="6"/>
      <c r="D218" s="6"/>
      <c r="E218" s="6"/>
    </row>
    <row r="219" spans="1:5" ht="15.75" x14ac:dyDescent="0.25">
      <c r="A219" s="7"/>
      <c r="B219" s="6"/>
      <c r="C219" s="6"/>
      <c r="D219" s="6"/>
      <c r="E219" s="6"/>
    </row>
    <row r="220" spans="1:5" ht="19.5" customHeight="1" x14ac:dyDescent="0.25">
      <c r="A220" s="7"/>
      <c r="B220" s="6"/>
      <c r="C220" s="6"/>
      <c r="D220" s="6"/>
      <c r="E220" s="6"/>
    </row>
    <row r="221" spans="1:5" ht="15.75" x14ac:dyDescent="0.25">
      <c r="A221" s="7"/>
      <c r="B221" s="6"/>
      <c r="C221" s="6"/>
      <c r="D221" s="6"/>
      <c r="E221" s="6"/>
    </row>
    <row r="222" spans="1:5" ht="15.75" x14ac:dyDescent="0.25">
      <c r="A222" s="7"/>
      <c r="B222" s="6"/>
      <c r="C222" s="6"/>
      <c r="D222" s="6"/>
      <c r="E222" s="6"/>
    </row>
    <row r="223" spans="1:5" ht="16.5" customHeight="1" x14ac:dyDescent="0.25">
      <c r="A223" s="7"/>
      <c r="B223" s="6"/>
      <c r="C223" s="6"/>
      <c r="D223" s="6"/>
      <c r="E223" s="6"/>
    </row>
    <row r="224" spans="1:5" ht="15.75" x14ac:dyDescent="0.25">
      <c r="A224" s="7"/>
      <c r="B224" s="6"/>
      <c r="C224" s="6"/>
      <c r="D224" s="6"/>
      <c r="E224" s="6"/>
    </row>
    <row r="225" spans="2:5" ht="15.75" x14ac:dyDescent="0.25">
      <c r="B225" s="6"/>
      <c r="C225" s="6"/>
      <c r="D225" s="6"/>
      <c r="E225" s="6"/>
    </row>
    <row r="226" spans="2:5" ht="15.75" x14ac:dyDescent="0.25">
      <c r="B226" s="6"/>
      <c r="C226" s="6"/>
      <c r="D226" s="6"/>
      <c r="E226" s="6"/>
    </row>
    <row r="227" spans="2:5" ht="15.75" x14ac:dyDescent="0.25">
      <c r="B227" s="6"/>
      <c r="C227" s="6"/>
      <c r="D227" s="6"/>
      <c r="E227" s="6"/>
    </row>
    <row r="228" spans="2:5" ht="15.75" x14ac:dyDescent="0.25">
      <c r="B228" s="6"/>
      <c r="C228"/>
      <c r="D228"/>
    </row>
    <row r="229" spans="2:5" x14ac:dyDescent="0.25">
      <c r="C229"/>
      <c r="D229"/>
    </row>
    <row r="230" spans="2:5" x14ac:dyDescent="0.25">
      <c r="C230"/>
      <c r="D230"/>
    </row>
    <row r="231" spans="2:5" x14ac:dyDescent="0.25">
      <c r="C231"/>
      <c r="D231"/>
    </row>
    <row r="232" spans="2:5" ht="17.25" customHeight="1" x14ac:dyDescent="0.25">
      <c r="C232"/>
      <c r="D232"/>
    </row>
    <row r="233" spans="2:5" x14ac:dyDescent="0.25">
      <c r="C233"/>
      <c r="D233"/>
    </row>
    <row r="234" spans="2:5" x14ac:dyDescent="0.25">
      <c r="C234"/>
      <c r="D234"/>
    </row>
    <row r="235" spans="2:5" ht="19.5" customHeight="1" x14ac:dyDescent="0.25">
      <c r="C235"/>
      <c r="D235"/>
    </row>
    <row r="236" spans="2:5" x14ac:dyDescent="0.25">
      <c r="C236"/>
      <c r="D236"/>
    </row>
    <row r="237" spans="2:5" x14ac:dyDescent="0.25">
      <c r="C237"/>
      <c r="D237"/>
    </row>
    <row r="238" spans="2:5" x14ac:dyDescent="0.25">
      <c r="C238"/>
      <c r="D238"/>
    </row>
    <row r="239" spans="2:5" x14ac:dyDescent="0.25">
      <c r="C239"/>
      <c r="D239"/>
    </row>
    <row r="240" spans="2:5" x14ac:dyDescent="0.25">
      <c r="C240"/>
      <c r="D240"/>
    </row>
    <row r="241" spans="3:4" x14ac:dyDescent="0.25">
      <c r="C241"/>
      <c r="D241"/>
    </row>
    <row r="242" spans="3:4" x14ac:dyDescent="0.25">
      <c r="C242"/>
      <c r="D242"/>
    </row>
    <row r="243" spans="3:4" x14ac:dyDescent="0.25">
      <c r="C243"/>
      <c r="D243"/>
    </row>
    <row r="244" spans="3:4" x14ac:dyDescent="0.25">
      <c r="C244"/>
      <c r="D244"/>
    </row>
    <row r="245" spans="3:4" x14ac:dyDescent="0.25">
      <c r="C245"/>
      <c r="D245"/>
    </row>
    <row r="246" spans="3:4" x14ac:dyDescent="0.25">
      <c r="C246"/>
      <c r="D246"/>
    </row>
    <row r="247" spans="3:4" x14ac:dyDescent="0.25">
      <c r="C247"/>
      <c r="D247"/>
    </row>
    <row r="248" spans="3:4" x14ac:dyDescent="0.25">
      <c r="C248"/>
      <c r="D248"/>
    </row>
    <row r="249" spans="3:4" x14ac:dyDescent="0.25">
      <c r="C249"/>
      <c r="D249"/>
    </row>
    <row r="250" spans="3:4" x14ac:dyDescent="0.25">
      <c r="C250"/>
      <c r="D250"/>
    </row>
    <row r="251" spans="3:4" x14ac:dyDescent="0.25">
      <c r="C251"/>
      <c r="D251"/>
    </row>
    <row r="252" spans="3:4" x14ac:dyDescent="0.25">
      <c r="C252"/>
      <c r="D252"/>
    </row>
    <row r="253" spans="3:4" x14ac:dyDescent="0.25">
      <c r="C253"/>
      <c r="D253"/>
    </row>
    <row r="254" spans="3:4" x14ac:dyDescent="0.25">
      <c r="C254"/>
      <c r="D254"/>
    </row>
  </sheetData>
  <mergeCells count="211">
    <mergeCell ref="A159:A161"/>
    <mergeCell ref="A162:A164"/>
    <mergeCell ref="B159:B161"/>
    <mergeCell ref="C159:C161"/>
    <mergeCell ref="D159:D161"/>
    <mergeCell ref="A9:A11"/>
    <mergeCell ref="B9:B11"/>
    <mergeCell ref="C9:C11"/>
    <mergeCell ref="D9:D11"/>
    <mergeCell ref="A12:A14"/>
    <mergeCell ref="B12:B14"/>
    <mergeCell ref="C12:C14"/>
    <mergeCell ref="D12:D14"/>
    <mergeCell ref="A24:A26"/>
    <mergeCell ref="B24:B26"/>
    <mergeCell ref="C24:C26"/>
    <mergeCell ref="D24:D26"/>
    <mergeCell ref="A33:A35"/>
    <mergeCell ref="B33:B35"/>
    <mergeCell ref="C33:C35"/>
    <mergeCell ref="D33:D35"/>
    <mergeCell ref="A36:A38"/>
    <mergeCell ref="B36:B38"/>
    <mergeCell ref="C36:C38"/>
    <mergeCell ref="A1:U1"/>
    <mergeCell ref="A3:U3"/>
    <mergeCell ref="A6:A8"/>
    <mergeCell ref="B6:B8"/>
    <mergeCell ref="C6:C8"/>
    <mergeCell ref="D6:D8"/>
    <mergeCell ref="A21:A23"/>
    <mergeCell ref="B21:B23"/>
    <mergeCell ref="C21:C23"/>
    <mergeCell ref="D21:D23"/>
    <mergeCell ref="A15:A17"/>
    <mergeCell ref="B15:B17"/>
    <mergeCell ref="C15:C17"/>
    <mergeCell ref="D15:D17"/>
    <mergeCell ref="A18:A20"/>
    <mergeCell ref="B18:B20"/>
    <mergeCell ref="C18:C20"/>
    <mergeCell ref="D18:D20"/>
    <mergeCell ref="D36:D38"/>
    <mergeCell ref="A27:A29"/>
    <mergeCell ref="B27:B29"/>
    <mergeCell ref="C27:C29"/>
    <mergeCell ref="D27:D29"/>
    <mergeCell ref="A30:A32"/>
    <mergeCell ref="B30:B32"/>
    <mergeCell ref="C30:C32"/>
    <mergeCell ref="D30:D32"/>
    <mergeCell ref="A45:A47"/>
    <mergeCell ref="B45:B47"/>
    <mergeCell ref="C45:C47"/>
    <mergeCell ref="D45:D47"/>
    <mergeCell ref="A48:A50"/>
    <mergeCell ref="B48:B50"/>
    <mergeCell ref="C48:C50"/>
    <mergeCell ref="D48:D50"/>
    <mergeCell ref="A39:A41"/>
    <mergeCell ref="B39:B41"/>
    <mergeCell ref="C39:C41"/>
    <mergeCell ref="D39:D41"/>
    <mergeCell ref="A42:A44"/>
    <mergeCell ref="B42:B44"/>
    <mergeCell ref="C42:C44"/>
    <mergeCell ref="D42:D44"/>
    <mergeCell ref="A57:A59"/>
    <mergeCell ref="B57:B59"/>
    <mergeCell ref="C57:C59"/>
    <mergeCell ref="D57:D59"/>
    <mergeCell ref="A60:A62"/>
    <mergeCell ref="B60:B62"/>
    <mergeCell ref="C60:C62"/>
    <mergeCell ref="D60:D62"/>
    <mergeCell ref="A51:A53"/>
    <mergeCell ref="B51:B53"/>
    <mergeCell ref="C51:C53"/>
    <mergeCell ref="D51:D53"/>
    <mergeCell ref="A54:A56"/>
    <mergeCell ref="B54:B56"/>
    <mergeCell ref="C54:C56"/>
    <mergeCell ref="D54:D56"/>
    <mergeCell ref="A69:A71"/>
    <mergeCell ref="B69:B71"/>
    <mergeCell ref="C69:C71"/>
    <mergeCell ref="D69:D71"/>
    <mergeCell ref="A72:A74"/>
    <mergeCell ref="B72:B74"/>
    <mergeCell ref="C72:C74"/>
    <mergeCell ref="D72:D74"/>
    <mergeCell ref="A63:A65"/>
    <mergeCell ref="B63:B65"/>
    <mergeCell ref="C63:C65"/>
    <mergeCell ref="D63:D65"/>
    <mergeCell ref="A66:A68"/>
    <mergeCell ref="B66:B68"/>
    <mergeCell ref="C66:C68"/>
    <mergeCell ref="D66:D68"/>
    <mergeCell ref="A81:A83"/>
    <mergeCell ref="B81:B83"/>
    <mergeCell ref="C81:C83"/>
    <mergeCell ref="D81:D83"/>
    <mergeCell ref="A84:A86"/>
    <mergeCell ref="B84:B86"/>
    <mergeCell ref="C84:C86"/>
    <mergeCell ref="D84:D86"/>
    <mergeCell ref="A75:A77"/>
    <mergeCell ref="B75:B77"/>
    <mergeCell ref="C75:C77"/>
    <mergeCell ref="D75:D77"/>
    <mergeCell ref="A78:A80"/>
    <mergeCell ref="B78:B80"/>
    <mergeCell ref="C78:C80"/>
    <mergeCell ref="D78:D80"/>
    <mergeCell ref="A93:A95"/>
    <mergeCell ref="B93:B95"/>
    <mergeCell ref="C93:C95"/>
    <mergeCell ref="D93:D95"/>
    <mergeCell ref="A96:A98"/>
    <mergeCell ref="B96:B98"/>
    <mergeCell ref="C96:C98"/>
    <mergeCell ref="D96:D98"/>
    <mergeCell ref="A87:A89"/>
    <mergeCell ref="B87:B89"/>
    <mergeCell ref="C87:C89"/>
    <mergeCell ref="D87:D89"/>
    <mergeCell ref="A90:A92"/>
    <mergeCell ref="B90:B92"/>
    <mergeCell ref="C90:C92"/>
    <mergeCell ref="D90:D92"/>
    <mergeCell ref="A105:A107"/>
    <mergeCell ref="B105:B107"/>
    <mergeCell ref="C105:C107"/>
    <mergeCell ref="D105:D107"/>
    <mergeCell ref="A108:A110"/>
    <mergeCell ref="B108:B110"/>
    <mergeCell ref="C108:C110"/>
    <mergeCell ref="D108:D110"/>
    <mergeCell ref="A99:A101"/>
    <mergeCell ref="B99:B101"/>
    <mergeCell ref="C99:C101"/>
    <mergeCell ref="D99:D101"/>
    <mergeCell ref="A102:A104"/>
    <mergeCell ref="B102:B104"/>
    <mergeCell ref="C102:C104"/>
    <mergeCell ref="D102:D104"/>
    <mergeCell ref="A117:A119"/>
    <mergeCell ref="B117:B119"/>
    <mergeCell ref="C117:C119"/>
    <mergeCell ref="D117:D119"/>
    <mergeCell ref="A120:A122"/>
    <mergeCell ref="B120:B122"/>
    <mergeCell ref="C120:C122"/>
    <mergeCell ref="D120:D122"/>
    <mergeCell ref="A111:A113"/>
    <mergeCell ref="B111:B113"/>
    <mergeCell ref="C111:C113"/>
    <mergeCell ref="D111:D113"/>
    <mergeCell ref="A114:A116"/>
    <mergeCell ref="B114:B116"/>
    <mergeCell ref="C114:C116"/>
    <mergeCell ref="D114:D116"/>
    <mergeCell ref="A129:A131"/>
    <mergeCell ref="B129:B131"/>
    <mergeCell ref="C129:C131"/>
    <mergeCell ref="D129:D131"/>
    <mergeCell ref="A132:A134"/>
    <mergeCell ref="B132:B134"/>
    <mergeCell ref="C132:C134"/>
    <mergeCell ref="D132:D134"/>
    <mergeCell ref="A123:A125"/>
    <mergeCell ref="B123:B125"/>
    <mergeCell ref="C123:C125"/>
    <mergeCell ref="D123:D125"/>
    <mergeCell ref="A126:A128"/>
    <mergeCell ref="B126:B128"/>
    <mergeCell ref="C126:C128"/>
    <mergeCell ref="D126:D128"/>
    <mergeCell ref="A141:A143"/>
    <mergeCell ref="B141:B143"/>
    <mergeCell ref="C141:C143"/>
    <mergeCell ref="D141:D143"/>
    <mergeCell ref="A144:A146"/>
    <mergeCell ref="B144:B146"/>
    <mergeCell ref="C144:C146"/>
    <mergeCell ref="D144:D146"/>
    <mergeCell ref="A135:A137"/>
    <mergeCell ref="B135:B137"/>
    <mergeCell ref="C135:C137"/>
    <mergeCell ref="D135:D137"/>
    <mergeCell ref="A138:A140"/>
    <mergeCell ref="B138:B140"/>
    <mergeCell ref="C138:C140"/>
    <mergeCell ref="D138:D140"/>
    <mergeCell ref="A153:A155"/>
    <mergeCell ref="B153:B155"/>
    <mergeCell ref="C153:C155"/>
    <mergeCell ref="D153:D155"/>
    <mergeCell ref="A156:A158"/>
    <mergeCell ref="B156:B158"/>
    <mergeCell ref="C156:C158"/>
    <mergeCell ref="D156:D158"/>
    <mergeCell ref="A147:A149"/>
    <mergeCell ref="B147:B149"/>
    <mergeCell ref="C147:C149"/>
    <mergeCell ref="D147:D149"/>
    <mergeCell ref="A150:A152"/>
    <mergeCell ref="B150:B152"/>
    <mergeCell ref="C150:C152"/>
    <mergeCell ref="D150:D152"/>
  </mergeCells>
  <pageMargins left="0.7" right="0.7" top="0.75" bottom="0.75" header="0.3" footer="0.3"/>
  <pageSetup paperSize="9" scale="80"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58"/>
  <sheetViews>
    <sheetView workbookViewId="0">
      <selection activeCell="B4" sqref="B4:B55"/>
    </sheetView>
  </sheetViews>
  <sheetFormatPr defaultRowHeight="15" x14ac:dyDescent="0.25"/>
  <cols>
    <col min="1" max="1" width="6.7109375" style="14" customWidth="1"/>
    <col min="2" max="2" width="35.140625" bestFit="1" customWidth="1"/>
    <col min="3" max="3" width="4.7109375" customWidth="1"/>
    <col min="4" max="4" width="4.140625" customWidth="1"/>
    <col min="5" max="15" width="7.7109375" customWidth="1"/>
    <col min="16" max="20" width="7.7109375" style="14" customWidth="1"/>
  </cols>
  <sheetData>
    <row r="1" spans="1:20" ht="20.25" x14ac:dyDescent="0.25">
      <c r="A1" s="272" t="s">
        <v>40</v>
      </c>
      <c r="B1" s="273"/>
      <c r="C1" s="273"/>
      <c r="D1" s="273"/>
      <c r="E1" s="273"/>
      <c r="F1" s="273"/>
      <c r="G1" s="273"/>
      <c r="H1" s="273"/>
      <c r="I1" s="273"/>
      <c r="J1" s="273"/>
      <c r="K1" s="273"/>
      <c r="L1" s="273"/>
      <c r="M1" s="273"/>
      <c r="N1" s="273"/>
      <c r="O1" s="273"/>
      <c r="P1" s="273"/>
      <c r="Q1" s="273"/>
      <c r="R1" s="273"/>
      <c r="S1" s="273"/>
      <c r="T1" s="274"/>
    </row>
    <row r="2" spans="1:20" ht="18" thickBot="1" x14ac:dyDescent="0.3">
      <c r="A2" s="275" t="s">
        <v>41</v>
      </c>
      <c r="B2" s="275"/>
      <c r="C2" s="275"/>
      <c r="D2" s="275"/>
      <c r="E2" s="275"/>
      <c r="F2" s="275"/>
      <c r="G2" s="275"/>
      <c r="H2" s="275"/>
      <c r="I2" s="275"/>
      <c r="J2" s="275"/>
      <c r="K2" s="275"/>
      <c r="L2" s="275"/>
      <c r="M2" s="275"/>
      <c r="N2" s="275"/>
      <c r="O2" s="275"/>
      <c r="P2" s="275"/>
      <c r="Q2" s="275"/>
      <c r="R2" s="275"/>
      <c r="S2" s="275"/>
      <c r="T2" s="275"/>
    </row>
    <row r="3" spans="1:20" ht="67.5" customHeight="1" thickBot="1" x14ac:dyDescent="0.3">
      <c r="A3" s="63" t="s">
        <v>24</v>
      </c>
      <c r="B3" s="150" t="s">
        <v>1</v>
      </c>
      <c r="C3" s="151" t="s">
        <v>2</v>
      </c>
      <c r="D3" s="150" t="s">
        <v>3</v>
      </c>
      <c r="E3" s="66" t="s">
        <v>4</v>
      </c>
      <c r="F3" s="66" t="s">
        <v>5</v>
      </c>
      <c r="G3" s="66" t="s">
        <v>6</v>
      </c>
      <c r="H3" s="66" t="s">
        <v>7</v>
      </c>
      <c r="I3" s="66" t="s">
        <v>8</v>
      </c>
      <c r="J3" s="66" t="s">
        <v>9</v>
      </c>
      <c r="K3" s="67" t="s">
        <v>10</v>
      </c>
      <c r="L3" s="66" t="s">
        <v>11</v>
      </c>
      <c r="M3" s="68" t="s">
        <v>12</v>
      </c>
      <c r="N3" s="68" t="s">
        <v>13</v>
      </c>
      <c r="O3" s="66" t="s">
        <v>14</v>
      </c>
      <c r="P3" s="68" t="s">
        <v>15</v>
      </c>
      <c r="Q3" s="66" t="s">
        <v>16</v>
      </c>
      <c r="R3" s="66" t="s">
        <v>17</v>
      </c>
      <c r="S3" s="67" t="s">
        <v>18</v>
      </c>
      <c r="T3" s="28" t="s">
        <v>19</v>
      </c>
    </row>
    <row r="4" spans="1:20" ht="20.100000000000001" customHeight="1" x14ac:dyDescent="0.25">
      <c r="A4" s="147">
        <v>1</v>
      </c>
      <c r="B4" s="140"/>
      <c r="C4" s="141">
        <v>15</v>
      </c>
      <c r="D4" s="141" t="s">
        <v>20</v>
      </c>
      <c r="E4" s="148">
        <v>87</v>
      </c>
      <c r="F4" s="60">
        <v>51</v>
      </c>
      <c r="G4" s="60">
        <v>69</v>
      </c>
      <c r="H4" s="60">
        <v>47</v>
      </c>
      <c r="I4" s="60">
        <v>61</v>
      </c>
      <c r="J4" s="60">
        <v>55</v>
      </c>
      <c r="K4" s="60">
        <v>51</v>
      </c>
      <c r="L4" s="60">
        <v>64</v>
      </c>
      <c r="M4" s="60">
        <v>67</v>
      </c>
      <c r="N4" s="60">
        <v>64</v>
      </c>
      <c r="O4" s="60">
        <v>81</v>
      </c>
      <c r="P4" s="61">
        <f>SUM(E4:O4)</f>
        <v>697</v>
      </c>
      <c r="Q4" s="62">
        <f>AVERAGE(E4:O4)</f>
        <v>63.363636363636367</v>
      </c>
      <c r="R4" s="59">
        <f>RANK(Q4,$Q$4:$Q$55)</f>
        <v>45</v>
      </c>
      <c r="S4" s="59"/>
      <c r="T4" s="24"/>
    </row>
    <row r="5" spans="1:20" ht="20.100000000000001" customHeight="1" x14ac:dyDescent="0.25">
      <c r="A5" s="121">
        <v>2</v>
      </c>
      <c r="B5" s="140"/>
      <c r="C5" s="141">
        <v>15</v>
      </c>
      <c r="D5" s="141" t="s">
        <v>23</v>
      </c>
      <c r="E5" s="149">
        <v>87</v>
      </c>
      <c r="F5" s="57">
        <v>66</v>
      </c>
      <c r="G5" s="57">
        <v>63</v>
      </c>
      <c r="H5" s="57">
        <v>72</v>
      </c>
      <c r="I5" s="57">
        <v>58</v>
      </c>
      <c r="J5" s="57">
        <v>65</v>
      </c>
      <c r="K5" s="57">
        <v>69</v>
      </c>
      <c r="L5" s="57">
        <v>81</v>
      </c>
      <c r="M5" s="57">
        <v>77</v>
      </c>
      <c r="N5" s="57">
        <v>75</v>
      </c>
      <c r="O5" s="57">
        <v>88</v>
      </c>
      <c r="P5" s="61">
        <f t="shared" ref="P5:P55" si="0">SUM(E5:O5)</f>
        <v>801</v>
      </c>
      <c r="Q5" s="62">
        <f t="shared" ref="Q5:Q55" si="1">AVERAGE(E5:O5)</f>
        <v>72.818181818181813</v>
      </c>
      <c r="R5" s="59">
        <f t="shared" ref="R5:R55" si="2">RANK(Q5,$Q$4:$Q$55)</f>
        <v>33</v>
      </c>
      <c r="S5" s="15"/>
      <c r="T5" s="15"/>
    </row>
    <row r="6" spans="1:20" ht="20.100000000000001" customHeight="1" x14ac:dyDescent="0.25">
      <c r="A6" s="137">
        <v>3</v>
      </c>
      <c r="B6" s="140"/>
      <c r="C6" s="141">
        <v>14</v>
      </c>
      <c r="D6" s="141" t="s">
        <v>20</v>
      </c>
      <c r="E6" s="149">
        <v>88</v>
      </c>
      <c r="F6" s="57">
        <v>70</v>
      </c>
      <c r="G6" s="57">
        <v>62</v>
      </c>
      <c r="H6" s="57">
        <v>57</v>
      </c>
      <c r="I6" s="57">
        <v>50</v>
      </c>
      <c r="J6" s="57">
        <v>51</v>
      </c>
      <c r="K6" s="57">
        <v>59</v>
      </c>
      <c r="L6" s="57">
        <v>68</v>
      </c>
      <c r="M6" s="57">
        <v>62</v>
      </c>
      <c r="N6" s="57">
        <v>85</v>
      </c>
      <c r="O6" s="57">
        <v>84</v>
      </c>
      <c r="P6" s="61">
        <f t="shared" si="0"/>
        <v>736</v>
      </c>
      <c r="Q6" s="62">
        <f t="shared" si="1"/>
        <v>66.909090909090907</v>
      </c>
      <c r="R6" s="59">
        <f t="shared" si="2"/>
        <v>42</v>
      </c>
      <c r="S6" s="15"/>
      <c r="T6" s="15"/>
    </row>
    <row r="7" spans="1:20" ht="20.100000000000001" customHeight="1" x14ac:dyDescent="0.25">
      <c r="A7" s="121">
        <v>4</v>
      </c>
      <c r="B7" s="140"/>
      <c r="C7" s="141">
        <v>14</v>
      </c>
      <c r="D7" s="141" t="s">
        <v>20</v>
      </c>
      <c r="E7" s="149">
        <v>84</v>
      </c>
      <c r="F7" s="57">
        <v>77</v>
      </c>
      <c r="G7" s="57">
        <v>91</v>
      </c>
      <c r="H7" s="57">
        <v>71</v>
      </c>
      <c r="I7" s="57">
        <v>89</v>
      </c>
      <c r="J7" s="57">
        <v>86</v>
      </c>
      <c r="K7" s="57">
        <v>79</v>
      </c>
      <c r="L7" s="57">
        <v>84</v>
      </c>
      <c r="M7" s="57">
        <v>83</v>
      </c>
      <c r="N7" s="57">
        <v>100</v>
      </c>
      <c r="O7" s="57">
        <v>75</v>
      </c>
      <c r="P7" s="61">
        <f t="shared" si="0"/>
        <v>919</v>
      </c>
      <c r="Q7" s="62">
        <f t="shared" si="1"/>
        <v>83.545454545454547</v>
      </c>
      <c r="R7" s="59">
        <f t="shared" si="2"/>
        <v>12</v>
      </c>
      <c r="S7" s="15"/>
      <c r="T7" s="15"/>
    </row>
    <row r="8" spans="1:20" ht="20.100000000000001" customHeight="1" x14ac:dyDescent="0.25">
      <c r="A8" s="121">
        <v>5</v>
      </c>
      <c r="B8" s="140"/>
      <c r="C8" s="141">
        <v>14</v>
      </c>
      <c r="D8" s="141" t="s">
        <v>20</v>
      </c>
      <c r="E8" s="149">
        <v>67</v>
      </c>
      <c r="F8" s="57">
        <v>54</v>
      </c>
      <c r="G8" s="57">
        <v>42</v>
      </c>
      <c r="H8" s="57">
        <v>56</v>
      </c>
      <c r="I8" s="57">
        <v>57</v>
      </c>
      <c r="J8" s="57">
        <v>55</v>
      </c>
      <c r="K8" s="57">
        <v>58</v>
      </c>
      <c r="L8" s="57">
        <v>62</v>
      </c>
      <c r="M8" s="57">
        <v>51</v>
      </c>
      <c r="N8" s="57">
        <v>79</v>
      </c>
      <c r="O8" s="57">
        <v>74</v>
      </c>
      <c r="P8" s="61">
        <f t="shared" si="0"/>
        <v>655</v>
      </c>
      <c r="Q8" s="62">
        <f t="shared" si="1"/>
        <v>59.545454545454547</v>
      </c>
      <c r="R8" s="59">
        <f t="shared" si="2"/>
        <v>47</v>
      </c>
      <c r="S8" s="15"/>
      <c r="T8" s="15"/>
    </row>
    <row r="9" spans="1:20" ht="20.100000000000001" customHeight="1" x14ac:dyDescent="0.25">
      <c r="A9" s="137">
        <v>6</v>
      </c>
      <c r="B9" s="140"/>
      <c r="C9" s="141">
        <v>15</v>
      </c>
      <c r="D9" s="141" t="s">
        <v>20</v>
      </c>
      <c r="E9" s="149">
        <v>73</v>
      </c>
      <c r="F9" s="57">
        <v>66</v>
      </c>
      <c r="G9" s="57">
        <v>72</v>
      </c>
      <c r="H9" s="57">
        <v>64</v>
      </c>
      <c r="I9" s="57">
        <v>68</v>
      </c>
      <c r="J9" s="57">
        <v>86</v>
      </c>
      <c r="K9" s="57">
        <v>78</v>
      </c>
      <c r="L9" s="57">
        <v>81</v>
      </c>
      <c r="M9" s="57">
        <v>63</v>
      </c>
      <c r="N9" s="57">
        <v>99</v>
      </c>
      <c r="O9" s="57">
        <v>80</v>
      </c>
      <c r="P9" s="61">
        <f t="shared" si="0"/>
        <v>830</v>
      </c>
      <c r="Q9" s="62">
        <f t="shared" si="1"/>
        <v>75.454545454545453</v>
      </c>
      <c r="R9" s="59">
        <f t="shared" si="2"/>
        <v>28</v>
      </c>
      <c r="S9" s="15"/>
      <c r="T9" s="15"/>
    </row>
    <row r="10" spans="1:20" ht="20.100000000000001" customHeight="1" x14ac:dyDescent="0.25">
      <c r="A10" s="121">
        <v>7</v>
      </c>
      <c r="B10" s="140"/>
      <c r="C10" s="141">
        <v>14</v>
      </c>
      <c r="D10" s="141" t="s">
        <v>23</v>
      </c>
      <c r="E10" s="149">
        <v>78</v>
      </c>
      <c r="F10" s="57">
        <v>67</v>
      </c>
      <c r="G10" s="57">
        <v>73</v>
      </c>
      <c r="H10" s="57">
        <v>61</v>
      </c>
      <c r="I10" s="57">
        <v>58</v>
      </c>
      <c r="J10" s="57">
        <v>69</v>
      </c>
      <c r="K10" s="57">
        <v>69</v>
      </c>
      <c r="L10" s="57">
        <v>67</v>
      </c>
      <c r="M10" s="57">
        <v>74</v>
      </c>
      <c r="N10" s="57">
        <v>83</v>
      </c>
      <c r="O10" s="57">
        <v>78</v>
      </c>
      <c r="P10" s="61">
        <f t="shared" si="0"/>
        <v>777</v>
      </c>
      <c r="Q10" s="62">
        <f t="shared" si="1"/>
        <v>70.63636363636364</v>
      </c>
      <c r="R10" s="59">
        <f t="shared" si="2"/>
        <v>34</v>
      </c>
      <c r="S10" s="15"/>
      <c r="T10" s="15"/>
    </row>
    <row r="11" spans="1:20" ht="20.100000000000001" customHeight="1" x14ac:dyDescent="0.25">
      <c r="A11" s="121">
        <v>8</v>
      </c>
      <c r="B11" s="140"/>
      <c r="C11" s="141">
        <v>15</v>
      </c>
      <c r="D11" s="141" t="s">
        <v>20</v>
      </c>
      <c r="E11" s="149">
        <v>79</v>
      </c>
      <c r="F11" s="57">
        <v>62</v>
      </c>
      <c r="G11" s="57">
        <v>58</v>
      </c>
      <c r="H11" s="57">
        <v>68</v>
      </c>
      <c r="I11" s="57">
        <v>60</v>
      </c>
      <c r="J11" s="57">
        <v>55</v>
      </c>
      <c r="K11" s="57">
        <v>57</v>
      </c>
      <c r="L11" s="57">
        <v>68</v>
      </c>
      <c r="M11" s="57">
        <v>65</v>
      </c>
      <c r="N11" s="57">
        <v>82</v>
      </c>
      <c r="O11" s="57">
        <v>86</v>
      </c>
      <c r="P11" s="61">
        <f t="shared" si="0"/>
        <v>740</v>
      </c>
      <c r="Q11" s="62">
        <f t="shared" si="1"/>
        <v>67.272727272727266</v>
      </c>
      <c r="R11" s="59">
        <f t="shared" si="2"/>
        <v>41</v>
      </c>
      <c r="S11" s="15"/>
      <c r="T11" s="15"/>
    </row>
    <row r="12" spans="1:20" ht="20.100000000000001" customHeight="1" x14ac:dyDescent="0.25">
      <c r="A12" s="137">
        <v>9</v>
      </c>
      <c r="B12" s="140"/>
      <c r="C12" s="141">
        <v>15</v>
      </c>
      <c r="D12" s="141" t="s">
        <v>20</v>
      </c>
      <c r="E12" s="149">
        <v>83</v>
      </c>
      <c r="F12" s="57">
        <v>51</v>
      </c>
      <c r="G12" s="57">
        <v>46</v>
      </c>
      <c r="H12" s="57">
        <v>51</v>
      </c>
      <c r="I12" s="57">
        <v>74</v>
      </c>
      <c r="J12" s="57">
        <v>78</v>
      </c>
      <c r="K12" s="57">
        <v>77</v>
      </c>
      <c r="L12" s="57">
        <v>91</v>
      </c>
      <c r="M12" s="57">
        <v>68</v>
      </c>
      <c r="N12" s="57">
        <v>77</v>
      </c>
      <c r="O12" s="57">
        <v>75</v>
      </c>
      <c r="P12" s="61">
        <f t="shared" si="0"/>
        <v>771</v>
      </c>
      <c r="Q12" s="62">
        <f t="shared" si="1"/>
        <v>70.090909090909093</v>
      </c>
      <c r="R12" s="59">
        <f t="shared" si="2"/>
        <v>37</v>
      </c>
      <c r="S12" s="15"/>
      <c r="T12" s="15"/>
    </row>
    <row r="13" spans="1:20" ht="20.100000000000001" customHeight="1" x14ac:dyDescent="0.25">
      <c r="A13" s="121">
        <v>10</v>
      </c>
      <c r="B13" s="140"/>
      <c r="C13" s="141">
        <v>14</v>
      </c>
      <c r="D13" s="141" t="s">
        <v>23</v>
      </c>
      <c r="E13" s="149">
        <v>91</v>
      </c>
      <c r="F13" s="57">
        <v>67</v>
      </c>
      <c r="G13" s="57">
        <v>82</v>
      </c>
      <c r="H13" s="57">
        <v>64</v>
      </c>
      <c r="I13" s="57">
        <v>72</v>
      </c>
      <c r="J13" s="57">
        <v>68</v>
      </c>
      <c r="K13" s="57">
        <v>64</v>
      </c>
      <c r="L13" s="57">
        <v>81</v>
      </c>
      <c r="M13" s="57">
        <v>78</v>
      </c>
      <c r="N13" s="57">
        <v>87</v>
      </c>
      <c r="O13" s="57">
        <v>91</v>
      </c>
      <c r="P13" s="61">
        <f t="shared" si="0"/>
        <v>845</v>
      </c>
      <c r="Q13" s="62">
        <f t="shared" si="1"/>
        <v>76.818181818181813</v>
      </c>
      <c r="R13" s="59">
        <f t="shared" si="2"/>
        <v>23</v>
      </c>
      <c r="S13" s="15"/>
      <c r="T13" s="15"/>
    </row>
    <row r="14" spans="1:20" ht="20.100000000000001" customHeight="1" x14ac:dyDescent="0.25">
      <c r="A14" s="137">
        <v>11</v>
      </c>
      <c r="B14" s="140"/>
      <c r="C14" s="141">
        <v>14</v>
      </c>
      <c r="D14" s="141" t="s">
        <v>23</v>
      </c>
      <c r="E14" s="149">
        <v>87</v>
      </c>
      <c r="F14" s="57">
        <v>74</v>
      </c>
      <c r="G14" s="57">
        <v>84</v>
      </c>
      <c r="H14" s="57">
        <v>76</v>
      </c>
      <c r="I14" s="57">
        <v>81</v>
      </c>
      <c r="J14" s="57">
        <v>94</v>
      </c>
      <c r="K14" s="57">
        <v>80</v>
      </c>
      <c r="L14" s="57">
        <v>83</v>
      </c>
      <c r="M14" s="57">
        <v>77</v>
      </c>
      <c r="N14" s="57">
        <v>90</v>
      </c>
      <c r="O14" s="57">
        <v>84</v>
      </c>
      <c r="P14" s="61">
        <f t="shared" si="0"/>
        <v>910</v>
      </c>
      <c r="Q14" s="62">
        <f t="shared" si="1"/>
        <v>82.727272727272734</v>
      </c>
      <c r="R14" s="59">
        <f t="shared" si="2"/>
        <v>14</v>
      </c>
      <c r="S14" s="15"/>
      <c r="T14" s="15"/>
    </row>
    <row r="15" spans="1:20" ht="20.100000000000001" customHeight="1" x14ac:dyDescent="0.25">
      <c r="A15" s="137">
        <v>12</v>
      </c>
      <c r="B15" s="140"/>
      <c r="C15" s="141">
        <v>14</v>
      </c>
      <c r="D15" s="141" t="s">
        <v>23</v>
      </c>
      <c r="E15" s="149">
        <v>83</v>
      </c>
      <c r="F15" s="57">
        <v>70</v>
      </c>
      <c r="G15" s="57">
        <v>67</v>
      </c>
      <c r="H15" s="57">
        <v>68</v>
      </c>
      <c r="I15" s="57">
        <v>54</v>
      </c>
      <c r="J15" s="57">
        <v>65</v>
      </c>
      <c r="K15" s="57">
        <v>65</v>
      </c>
      <c r="L15" s="57">
        <v>84</v>
      </c>
      <c r="M15" s="57">
        <v>76</v>
      </c>
      <c r="N15" s="57">
        <v>87</v>
      </c>
      <c r="O15" s="57">
        <v>91</v>
      </c>
      <c r="P15" s="61">
        <f t="shared" si="0"/>
        <v>810</v>
      </c>
      <c r="Q15" s="62">
        <f t="shared" si="1"/>
        <v>73.63636363636364</v>
      </c>
      <c r="R15" s="59">
        <f t="shared" si="2"/>
        <v>32</v>
      </c>
      <c r="S15" s="15"/>
      <c r="T15" s="15"/>
    </row>
    <row r="16" spans="1:20" ht="20.100000000000001" customHeight="1" x14ac:dyDescent="0.25">
      <c r="A16" s="137">
        <v>13</v>
      </c>
      <c r="B16" s="140"/>
      <c r="C16" s="141">
        <v>15</v>
      </c>
      <c r="D16" s="141" t="s">
        <v>20</v>
      </c>
      <c r="E16" s="149">
        <v>84</v>
      </c>
      <c r="F16" s="57">
        <v>73</v>
      </c>
      <c r="G16" s="57">
        <v>52</v>
      </c>
      <c r="H16" s="57">
        <v>63</v>
      </c>
      <c r="I16" s="57">
        <v>56</v>
      </c>
      <c r="J16" s="57">
        <v>56</v>
      </c>
      <c r="K16" s="57">
        <v>57</v>
      </c>
      <c r="L16" s="57">
        <v>65</v>
      </c>
      <c r="M16" s="57">
        <v>68</v>
      </c>
      <c r="N16" s="57">
        <v>87</v>
      </c>
      <c r="O16" s="57">
        <v>87</v>
      </c>
      <c r="P16" s="61">
        <f t="shared" si="0"/>
        <v>748</v>
      </c>
      <c r="Q16" s="62">
        <f t="shared" si="1"/>
        <v>68</v>
      </c>
      <c r="R16" s="59">
        <f t="shared" si="2"/>
        <v>40</v>
      </c>
      <c r="S16" s="15"/>
      <c r="T16" s="15"/>
    </row>
    <row r="17" spans="1:20" ht="20.100000000000001" customHeight="1" x14ac:dyDescent="0.25">
      <c r="A17" s="121">
        <v>14</v>
      </c>
      <c r="B17" s="140"/>
      <c r="C17" s="141">
        <v>14</v>
      </c>
      <c r="D17" s="141" t="s">
        <v>20</v>
      </c>
      <c r="E17" s="149">
        <v>81</v>
      </c>
      <c r="F17" s="57">
        <v>87</v>
      </c>
      <c r="G17" s="57">
        <v>74</v>
      </c>
      <c r="H17" s="57">
        <v>73</v>
      </c>
      <c r="I17" s="57">
        <v>79</v>
      </c>
      <c r="J17" s="57">
        <v>83</v>
      </c>
      <c r="K17" s="57">
        <v>72</v>
      </c>
      <c r="L17" s="57">
        <v>81</v>
      </c>
      <c r="M17" s="57">
        <v>77</v>
      </c>
      <c r="N17" s="57">
        <v>85</v>
      </c>
      <c r="O17" s="57">
        <v>90</v>
      </c>
      <c r="P17" s="61">
        <f t="shared" si="0"/>
        <v>882</v>
      </c>
      <c r="Q17" s="62">
        <f t="shared" si="1"/>
        <v>80.181818181818187</v>
      </c>
      <c r="R17" s="59">
        <f t="shared" si="2"/>
        <v>18</v>
      </c>
      <c r="S17" s="15"/>
      <c r="T17" s="15"/>
    </row>
    <row r="18" spans="1:20" ht="20.100000000000001" customHeight="1" x14ac:dyDescent="0.25">
      <c r="A18" s="137">
        <v>15</v>
      </c>
      <c r="B18" s="140"/>
      <c r="C18" s="141">
        <v>15</v>
      </c>
      <c r="D18" s="141" t="s">
        <v>23</v>
      </c>
      <c r="E18" s="149">
        <v>90</v>
      </c>
      <c r="F18" s="57">
        <v>76</v>
      </c>
      <c r="G18" s="57">
        <v>84</v>
      </c>
      <c r="H18" s="57">
        <v>79</v>
      </c>
      <c r="I18" s="57">
        <v>75</v>
      </c>
      <c r="J18" s="57">
        <v>77</v>
      </c>
      <c r="K18" s="57">
        <v>80</v>
      </c>
      <c r="L18" s="57">
        <v>89</v>
      </c>
      <c r="M18" s="57">
        <v>80</v>
      </c>
      <c r="N18" s="57">
        <v>95</v>
      </c>
      <c r="O18" s="57">
        <v>88</v>
      </c>
      <c r="P18" s="61">
        <f t="shared" si="0"/>
        <v>913</v>
      </c>
      <c r="Q18" s="62">
        <f t="shared" si="1"/>
        <v>83</v>
      </c>
      <c r="R18" s="59">
        <f t="shared" si="2"/>
        <v>13</v>
      </c>
      <c r="S18" s="15"/>
      <c r="T18" s="15"/>
    </row>
    <row r="19" spans="1:20" ht="20.100000000000001" customHeight="1" x14ac:dyDescent="0.25">
      <c r="A19" s="121">
        <v>16</v>
      </c>
      <c r="B19" s="140"/>
      <c r="C19" s="141">
        <v>15</v>
      </c>
      <c r="D19" s="141" t="s">
        <v>23</v>
      </c>
      <c r="E19" s="149">
        <v>83</v>
      </c>
      <c r="F19" s="57">
        <v>64</v>
      </c>
      <c r="G19" s="57">
        <v>68</v>
      </c>
      <c r="H19" s="57">
        <v>64</v>
      </c>
      <c r="I19" s="57">
        <v>60</v>
      </c>
      <c r="J19" s="57">
        <v>60</v>
      </c>
      <c r="K19" s="57">
        <v>60</v>
      </c>
      <c r="L19" s="57">
        <v>79</v>
      </c>
      <c r="M19" s="57">
        <v>69</v>
      </c>
      <c r="N19" s="57">
        <v>79</v>
      </c>
      <c r="O19" s="57">
        <v>86</v>
      </c>
      <c r="P19" s="61">
        <f t="shared" si="0"/>
        <v>772</v>
      </c>
      <c r="Q19" s="62">
        <f t="shared" si="1"/>
        <v>70.181818181818187</v>
      </c>
      <c r="R19" s="59">
        <f t="shared" si="2"/>
        <v>36</v>
      </c>
      <c r="S19" s="15"/>
      <c r="T19" s="15"/>
    </row>
    <row r="20" spans="1:20" ht="20.100000000000001" customHeight="1" x14ac:dyDescent="0.25">
      <c r="A20" s="121">
        <v>17</v>
      </c>
      <c r="B20" s="140"/>
      <c r="C20" s="141">
        <v>15</v>
      </c>
      <c r="D20" s="141" t="s">
        <v>20</v>
      </c>
      <c r="E20" s="149">
        <v>76</v>
      </c>
      <c r="F20" s="57">
        <v>71</v>
      </c>
      <c r="G20" s="57">
        <v>60</v>
      </c>
      <c r="H20" s="57">
        <v>57</v>
      </c>
      <c r="I20" s="57">
        <v>65</v>
      </c>
      <c r="J20" s="57">
        <v>58</v>
      </c>
      <c r="K20" s="57">
        <v>69</v>
      </c>
      <c r="L20" s="57">
        <v>76</v>
      </c>
      <c r="M20" s="57">
        <v>72</v>
      </c>
      <c r="N20" s="57">
        <v>87</v>
      </c>
      <c r="O20" s="57">
        <v>86</v>
      </c>
      <c r="P20" s="61">
        <f t="shared" si="0"/>
        <v>777</v>
      </c>
      <c r="Q20" s="62">
        <f t="shared" si="1"/>
        <v>70.63636363636364</v>
      </c>
      <c r="R20" s="59">
        <f t="shared" si="2"/>
        <v>34</v>
      </c>
      <c r="S20" s="15"/>
      <c r="T20" s="15"/>
    </row>
    <row r="21" spans="1:20" ht="20.100000000000001" customHeight="1" x14ac:dyDescent="0.25">
      <c r="A21" s="121">
        <v>18</v>
      </c>
      <c r="B21" s="140"/>
      <c r="C21" s="141">
        <v>15</v>
      </c>
      <c r="D21" s="141" t="s">
        <v>23</v>
      </c>
      <c r="E21" s="149">
        <v>86</v>
      </c>
      <c r="F21" s="57">
        <v>85</v>
      </c>
      <c r="G21" s="57">
        <v>94</v>
      </c>
      <c r="H21" s="57">
        <v>85</v>
      </c>
      <c r="I21" s="57">
        <v>83</v>
      </c>
      <c r="J21" s="57">
        <v>91</v>
      </c>
      <c r="K21" s="57">
        <v>90</v>
      </c>
      <c r="L21" s="57">
        <v>97</v>
      </c>
      <c r="M21" s="57">
        <v>91</v>
      </c>
      <c r="N21" s="57">
        <v>100</v>
      </c>
      <c r="O21" s="57">
        <v>82</v>
      </c>
      <c r="P21" s="61">
        <f t="shared" si="0"/>
        <v>984</v>
      </c>
      <c r="Q21" s="62">
        <f t="shared" si="1"/>
        <v>89.454545454545453</v>
      </c>
      <c r="R21" s="59">
        <f t="shared" si="2"/>
        <v>7</v>
      </c>
      <c r="S21" s="15"/>
      <c r="T21" s="15"/>
    </row>
    <row r="22" spans="1:20" ht="20.100000000000001" customHeight="1" x14ac:dyDescent="0.25">
      <c r="A22" s="137">
        <v>19</v>
      </c>
      <c r="B22" s="140"/>
      <c r="C22" s="141">
        <v>14</v>
      </c>
      <c r="D22" s="141" t="s">
        <v>20</v>
      </c>
      <c r="E22" s="149">
        <v>89</v>
      </c>
      <c r="F22" s="57">
        <v>78</v>
      </c>
      <c r="G22" s="56">
        <v>62</v>
      </c>
      <c r="H22" s="57">
        <v>60</v>
      </c>
      <c r="I22" s="57">
        <v>63</v>
      </c>
      <c r="J22" s="57">
        <v>65</v>
      </c>
      <c r="K22" s="57">
        <v>58</v>
      </c>
      <c r="L22" s="57">
        <v>83</v>
      </c>
      <c r="M22" s="57">
        <v>86</v>
      </c>
      <c r="N22" s="57">
        <v>85</v>
      </c>
      <c r="O22" s="57">
        <v>88</v>
      </c>
      <c r="P22" s="61">
        <f t="shared" si="0"/>
        <v>817</v>
      </c>
      <c r="Q22" s="62">
        <f t="shared" si="1"/>
        <v>74.272727272727266</v>
      </c>
      <c r="R22" s="59">
        <f t="shared" si="2"/>
        <v>29</v>
      </c>
      <c r="S22" s="15"/>
      <c r="T22" s="15"/>
    </row>
    <row r="23" spans="1:20" ht="20.100000000000001" customHeight="1" x14ac:dyDescent="0.25">
      <c r="A23" s="137">
        <v>20</v>
      </c>
      <c r="B23" s="140"/>
      <c r="C23" s="141">
        <v>15</v>
      </c>
      <c r="D23" s="141" t="s">
        <v>23</v>
      </c>
      <c r="E23" s="149">
        <v>60</v>
      </c>
      <c r="F23" s="57">
        <v>53</v>
      </c>
      <c r="G23" s="57">
        <v>48</v>
      </c>
      <c r="H23" s="57">
        <v>41</v>
      </c>
      <c r="I23" s="57">
        <v>60</v>
      </c>
      <c r="J23" s="57">
        <v>49</v>
      </c>
      <c r="K23" s="57">
        <v>45</v>
      </c>
      <c r="L23" s="57">
        <v>52</v>
      </c>
      <c r="M23" s="57">
        <v>55</v>
      </c>
      <c r="N23" s="57">
        <v>71</v>
      </c>
      <c r="O23" s="57">
        <v>79</v>
      </c>
      <c r="P23" s="61">
        <f t="shared" si="0"/>
        <v>613</v>
      </c>
      <c r="Q23" s="62">
        <f t="shared" si="1"/>
        <v>55.727272727272727</v>
      </c>
      <c r="R23" s="59">
        <f t="shared" si="2"/>
        <v>50</v>
      </c>
      <c r="S23" s="15"/>
      <c r="T23" s="15"/>
    </row>
    <row r="24" spans="1:20" ht="20.100000000000001" customHeight="1" x14ac:dyDescent="0.25">
      <c r="A24" s="137">
        <v>21</v>
      </c>
      <c r="B24" s="140"/>
      <c r="C24" s="141">
        <v>15</v>
      </c>
      <c r="D24" s="141" t="s">
        <v>23</v>
      </c>
      <c r="E24" s="149">
        <v>84</v>
      </c>
      <c r="F24" s="57">
        <v>56</v>
      </c>
      <c r="G24" s="57">
        <v>75</v>
      </c>
      <c r="H24" s="57">
        <v>77</v>
      </c>
      <c r="I24" s="57">
        <v>66</v>
      </c>
      <c r="J24" s="57">
        <v>73</v>
      </c>
      <c r="K24" s="57">
        <v>75</v>
      </c>
      <c r="L24" s="57">
        <v>78</v>
      </c>
      <c r="M24" s="57">
        <v>75</v>
      </c>
      <c r="N24" s="57">
        <v>90</v>
      </c>
      <c r="O24" s="57">
        <v>96</v>
      </c>
      <c r="P24" s="61">
        <f t="shared" si="0"/>
        <v>845</v>
      </c>
      <c r="Q24" s="62">
        <f t="shared" si="1"/>
        <v>76.818181818181813</v>
      </c>
      <c r="R24" s="59">
        <f t="shared" si="2"/>
        <v>23</v>
      </c>
      <c r="S24" s="15"/>
      <c r="T24" s="15"/>
    </row>
    <row r="25" spans="1:20" ht="20.100000000000001" customHeight="1" x14ac:dyDescent="0.25">
      <c r="A25" s="121">
        <v>22</v>
      </c>
      <c r="B25" s="140"/>
      <c r="C25" s="141">
        <v>15</v>
      </c>
      <c r="D25" s="141" t="s">
        <v>23</v>
      </c>
      <c r="E25" s="149">
        <v>75</v>
      </c>
      <c r="F25" s="57">
        <v>82</v>
      </c>
      <c r="G25" s="56">
        <v>48</v>
      </c>
      <c r="H25" s="57">
        <v>57</v>
      </c>
      <c r="I25" s="57">
        <v>55</v>
      </c>
      <c r="J25" s="57">
        <v>46</v>
      </c>
      <c r="K25" s="57">
        <v>54</v>
      </c>
      <c r="L25" s="57">
        <v>60</v>
      </c>
      <c r="M25" s="57">
        <v>77</v>
      </c>
      <c r="N25" s="57">
        <v>86</v>
      </c>
      <c r="O25" s="57">
        <v>82</v>
      </c>
      <c r="P25" s="61">
        <f t="shared" si="0"/>
        <v>722</v>
      </c>
      <c r="Q25" s="62">
        <f t="shared" si="1"/>
        <v>65.63636363636364</v>
      </c>
      <c r="R25" s="59">
        <f t="shared" si="2"/>
        <v>44</v>
      </c>
      <c r="S25" s="15"/>
      <c r="T25" s="15"/>
    </row>
    <row r="26" spans="1:20" ht="20.100000000000001" customHeight="1" x14ac:dyDescent="0.25">
      <c r="A26" s="121">
        <v>23</v>
      </c>
      <c r="B26" s="140"/>
      <c r="C26" s="141">
        <v>14</v>
      </c>
      <c r="D26" s="141" t="s">
        <v>23</v>
      </c>
      <c r="E26" s="149">
        <v>85</v>
      </c>
      <c r="F26" s="57">
        <v>74</v>
      </c>
      <c r="G26" s="57">
        <v>89</v>
      </c>
      <c r="H26" s="57">
        <v>73</v>
      </c>
      <c r="I26" s="57">
        <v>73</v>
      </c>
      <c r="J26" s="57">
        <v>84</v>
      </c>
      <c r="K26" s="57">
        <v>63</v>
      </c>
      <c r="L26" s="57">
        <v>88</v>
      </c>
      <c r="M26" s="57">
        <v>72</v>
      </c>
      <c r="N26" s="57">
        <v>89</v>
      </c>
      <c r="O26" s="57">
        <v>97</v>
      </c>
      <c r="P26" s="61">
        <f t="shared" si="0"/>
        <v>887</v>
      </c>
      <c r="Q26" s="62">
        <f t="shared" si="1"/>
        <v>80.63636363636364</v>
      </c>
      <c r="R26" s="59">
        <f t="shared" si="2"/>
        <v>17</v>
      </c>
      <c r="S26" s="15"/>
      <c r="T26" s="15"/>
    </row>
    <row r="27" spans="1:20" ht="20.100000000000001" customHeight="1" x14ac:dyDescent="0.25">
      <c r="A27" s="137">
        <v>24</v>
      </c>
      <c r="B27" s="140"/>
      <c r="C27" s="141">
        <v>15</v>
      </c>
      <c r="D27" s="141" t="s">
        <v>23</v>
      </c>
      <c r="E27" s="149">
        <v>87</v>
      </c>
      <c r="F27" s="57">
        <v>62</v>
      </c>
      <c r="G27" s="57">
        <v>51</v>
      </c>
      <c r="H27" s="57">
        <v>62</v>
      </c>
      <c r="I27" s="57">
        <v>56</v>
      </c>
      <c r="J27" s="57">
        <v>66</v>
      </c>
      <c r="K27" s="57">
        <v>74</v>
      </c>
      <c r="L27" s="57">
        <v>70</v>
      </c>
      <c r="M27" s="57">
        <v>67</v>
      </c>
      <c r="N27" s="57">
        <v>80</v>
      </c>
      <c r="O27" s="57">
        <v>85</v>
      </c>
      <c r="P27" s="61">
        <f t="shared" si="0"/>
        <v>760</v>
      </c>
      <c r="Q27" s="62">
        <f t="shared" si="1"/>
        <v>69.090909090909093</v>
      </c>
      <c r="R27" s="59">
        <f t="shared" si="2"/>
        <v>38</v>
      </c>
      <c r="S27" s="15"/>
      <c r="T27" s="15"/>
    </row>
    <row r="28" spans="1:20" ht="20.100000000000001" customHeight="1" x14ac:dyDescent="0.25">
      <c r="A28" s="121">
        <v>25</v>
      </c>
      <c r="B28" s="140"/>
      <c r="C28" s="141">
        <v>15</v>
      </c>
      <c r="D28" s="141" t="s">
        <v>20</v>
      </c>
      <c r="E28" s="149">
        <v>90</v>
      </c>
      <c r="F28" s="57">
        <v>77</v>
      </c>
      <c r="G28" s="57">
        <v>74</v>
      </c>
      <c r="H28" s="57">
        <v>75</v>
      </c>
      <c r="I28" s="57">
        <v>78</v>
      </c>
      <c r="J28" s="57">
        <v>83</v>
      </c>
      <c r="K28" s="57">
        <v>73</v>
      </c>
      <c r="L28" s="57">
        <v>76</v>
      </c>
      <c r="M28" s="57">
        <v>85</v>
      </c>
      <c r="N28" s="57">
        <v>96</v>
      </c>
      <c r="O28" s="57">
        <v>82</v>
      </c>
      <c r="P28" s="61">
        <f t="shared" si="0"/>
        <v>889</v>
      </c>
      <c r="Q28" s="62">
        <f t="shared" si="1"/>
        <v>80.818181818181813</v>
      </c>
      <c r="R28" s="59">
        <f t="shared" si="2"/>
        <v>16</v>
      </c>
      <c r="S28" s="15"/>
      <c r="T28" s="15"/>
    </row>
    <row r="29" spans="1:20" ht="20.100000000000001" customHeight="1" x14ac:dyDescent="0.25">
      <c r="A29" s="137">
        <v>26</v>
      </c>
      <c r="B29" s="140"/>
      <c r="C29" s="141">
        <v>14</v>
      </c>
      <c r="D29" s="141" t="s">
        <v>23</v>
      </c>
      <c r="E29" s="149">
        <v>90</v>
      </c>
      <c r="F29" s="57">
        <v>75</v>
      </c>
      <c r="G29" s="57">
        <v>84</v>
      </c>
      <c r="H29" s="57">
        <v>82</v>
      </c>
      <c r="I29" s="57">
        <v>80</v>
      </c>
      <c r="J29" s="57">
        <v>96</v>
      </c>
      <c r="K29" s="57">
        <v>90</v>
      </c>
      <c r="L29" s="57">
        <v>96</v>
      </c>
      <c r="M29" s="57">
        <v>84</v>
      </c>
      <c r="N29" s="57">
        <v>100</v>
      </c>
      <c r="O29" s="57">
        <v>100</v>
      </c>
      <c r="P29" s="61">
        <f t="shared" si="0"/>
        <v>977</v>
      </c>
      <c r="Q29" s="62">
        <f t="shared" si="1"/>
        <v>88.818181818181813</v>
      </c>
      <c r="R29" s="59">
        <f t="shared" si="2"/>
        <v>8</v>
      </c>
      <c r="S29" s="15"/>
      <c r="T29" s="15"/>
    </row>
    <row r="30" spans="1:20" ht="20.100000000000001" customHeight="1" x14ac:dyDescent="0.25">
      <c r="A30" s="137">
        <v>27</v>
      </c>
      <c r="B30" s="140"/>
      <c r="C30" s="141">
        <v>14</v>
      </c>
      <c r="D30" s="141" t="s">
        <v>23</v>
      </c>
      <c r="E30" s="149">
        <v>91</v>
      </c>
      <c r="F30" s="57">
        <v>72</v>
      </c>
      <c r="G30" s="57">
        <v>77</v>
      </c>
      <c r="H30" s="57">
        <v>74</v>
      </c>
      <c r="I30" s="57">
        <v>70</v>
      </c>
      <c r="J30" s="57">
        <v>80</v>
      </c>
      <c r="K30" s="57">
        <v>69</v>
      </c>
      <c r="L30" s="57">
        <v>81</v>
      </c>
      <c r="M30" s="57">
        <v>87</v>
      </c>
      <c r="N30" s="57">
        <v>89</v>
      </c>
      <c r="O30" s="57">
        <v>92</v>
      </c>
      <c r="P30" s="61">
        <f t="shared" si="0"/>
        <v>882</v>
      </c>
      <c r="Q30" s="62">
        <f t="shared" si="1"/>
        <v>80.181818181818187</v>
      </c>
      <c r="R30" s="59">
        <f t="shared" si="2"/>
        <v>18</v>
      </c>
      <c r="S30" s="15"/>
      <c r="T30" s="15"/>
    </row>
    <row r="31" spans="1:20" ht="20.100000000000001" customHeight="1" x14ac:dyDescent="0.25">
      <c r="A31" s="137">
        <v>28</v>
      </c>
      <c r="B31" s="140"/>
      <c r="C31" s="141">
        <v>14</v>
      </c>
      <c r="D31" s="141" t="s">
        <v>23</v>
      </c>
      <c r="E31" s="219"/>
      <c r="F31" s="220"/>
      <c r="G31" s="221"/>
      <c r="H31" s="221"/>
      <c r="I31" s="220"/>
      <c r="J31" s="221"/>
      <c r="K31" s="220"/>
      <c r="L31" s="220"/>
      <c r="M31" s="220"/>
      <c r="N31" s="220"/>
      <c r="O31" s="220"/>
      <c r="P31" s="61">
        <f t="shared" si="0"/>
        <v>0</v>
      </c>
      <c r="Q31" s="62"/>
      <c r="R31" s="59"/>
      <c r="S31" s="15"/>
      <c r="T31" s="15"/>
    </row>
    <row r="32" spans="1:20" ht="20.100000000000001" customHeight="1" x14ac:dyDescent="0.25">
      <c r="A32" s="121">
        <v>29</v>
      </c>
      <c r="B32" s="140"/>
      <c r="C32" s="141">
        <v>14</v>
      </c>
      <c r="D32" s="141" t="s">
        <v>23</v>
      </c>
      <c r="E32" s="149">
        <v>88</v>
      </c>
      <c r="F32" s="56">
        <v>93</v>
      </c>
      <c r="G32" s="56">
        <v>89</v>
      </c>
      <c r="H32" s="57">
        <v>92</v>
      </c>
      <c r="I32" s="56">
        <v>92</v>
      </c>
      <c r="J32" s="57">
        <v>99</v>
      </c>
      <c r="K32" s="57">
        <v>95</v>
      </c>
      <c r="L32" s="57">
        <v>99</v>
      </c>
      <c r="M32" s="57">
        <v>94</v>
      </c>
      <c r="N32" s="57">
        <v>96</v>
      </c>
      <c r="O32" s="57">
        <v>100</v>
      </c>
      <c r="P32" s="61">
        <f t="shared" si="0"/>
        <v>1037</v>
      </c>
      <c r="Q32" s="62">
        <f t="shared" si="1"/>
        <v>94.272727272727266</v>
      </c>
      <c r="R32" s="59">
        <f t="shared" si="2"/>
        <v>3</v>
      </c>
      <c r="S32" s="15"/>
      <c r="T32" s="15"/>
    </row>
    <row r="33" spans="1:20" ht="20.100000000000001" customHeight="1" x14ac:dyDescent="0.25">
      <c r="A33" s="137">
        <v>30</v>
      </c>
      <c r="B33" s="153"/>
      <c r="C33" s="152">
        <v>14</v>
      </c>
      <c r="D33" s="152" t="s">
        <v>20</v>
      </c>
      <c r="E33" s="149">
        <v>81</v>
      </c>
      <c r="F33" s="57">
        <v>83</v>
      </c>
      <c r="G33" s="57">
        <v>71</v>
      </c>
      <c r="H33" s="57">
        <v>70</v>
      </c>
      <c r="I33" s="57">
        <v>63</v>
      </c>
      <c r="J33" s="57">
        <v>87</v>
      </c>
      <c r="K33" s="57">
        <v>63</v>
      </c>
      <c r="L33" s="57">
        <v>71</v>
      </c>
      <c r="M33" s="57">
        <v>78</v>
      </c>
      <c r="N33" s="57">
        <v>88</v>
      </c>
      <c r="O33" s="57">
        <v>81</v>
      </c>
      <c r="P33" s="61">
        <f t="shared" si="0"/>
        <v>836</v>
      </c>
      <c r="Q33" s="62">
        <f t="shared" si="1"/>
        <v>76</v>
      </c>
      <c r="R33" s="59">
        <f t="shared" si="2"/>
        <v>27</v>
      </c>
      <c r="S33" s="15"/>
      <c r="T33" s="15"/>
    </row>
    <row r="34" spans="1:20" ht="20.100000000000001" customHeight="1" x14ac:dyDescent="0.25">
      <c r="A34" s="121">
        <v>31</v>
      </c>
      <c r="B34" s="140"/>
      <c r="C34" s="141">
        <v>15</v>
      </c>
      <c r="D34" s="141" t="s">
        <v>23</v>
      </c>
      <c r="E34" s="149">
        <v>90</v>
      </c>
      <c r="F34" s="57">
        <v>52</v>
      </c>
      <c r="G34" s="56">
        <v>68</v>
      </c>
      <c r="H34" s="57">
        <v>71</v>
      </c>
      <c r="I34" s="57">
        <v>77</v>
      </c>
      <c r="J34" s="57">
        <v>78</v>
      </c>
      <c r="K34" s="57">
        <v>65</v>
      </c>
      <c r="L34" s="57">
        <v>89</v>
      </c>
      <c r="M34" s="57">
        <v>69</v>
      </c>
      <c r="N34" s="57">
        <v>97</v>
      </c>
      <c r="O34" s="57">
        <v>88</v>
      </c>
      <c r="P34" s="61">
        <f t="shared" si="0"/>
        <v>844</v>
      </c>
      <c r="Q34" s="62">
        <f t="shared" si="1"/>
        <v>76.727272727272734</v>
      </c>
      <c r="R34" s="59">
        <f t="shared" si="2"/>
        <v>25</v>
      </c>
      <c r="S34" s="15"/>
      <c r="T34" s="15"/>
    </row>
    <row r="35" spans="1:20" ht="20.100000000000001" customHeight="1" x14ac:dyDescent="0.25">
      <c r="A35" s="121">
        <v>32</v>
      </c>
      <c r="B35" s="140"/>
      <c r="C35" s="141">
        <v>15</v>
      </c>
      <c r="D35" s="141" t="s">
        <v>23</v>
      </c>
      <c r="E35" s="149">
        <v>88</v>
      </c>
      <c r="F35" s="57">
        <v>79</v>
      </c>
      <c r="G35" s="57">
        <v>71</v>
      </c>
      <c r="H35" s="57">
        <v>65</v>
      </c>
      <c r="I35" s="57">
        <v>61</v>
      </c>
      <c r="J35" s="57">
        <v>72</v>
      </c>
      <c r="K35" s="57">
        <v>73</v>
      </c>
      <c r="L35" s="57">
        <v>94</v>
      </c>
      <c r="M35" s="57">
        <v>83</v>
      </c>
      <c r="N35" s="57">
        <v>84</v>
      </c>
      <c r="O35" s="57">
        <v>85</v>
      </c>
      <c r="P35" s="61">
        <f t="shared" si="0"/>
        <v>855</v>
      </c>
      <c r="Q35" s="62">
        <f t="shared" si="1"/>
        <v>77.727272727272734</v>
      </c>
      <c r="R35" s="59">
        <f t="shared" si="2"/>
        <v>21</v>
      </c>
      <c r="S35" s="15"/>
      <c r="T35" s="15"/>
    </row>
    <row r="36" spans="1:20" ht="20.100000000000001" customHeight="1" x14ac:dyDescent="0.25">
      <c r="A36" s="121">
        <v>33</v>
      </c>
      <c r="B36" s="140"/>
      <c r="C36" s="141">
        <v>15</v>
      </c>
      <c r="D36" s="141" t="s">
        <v>20</v>
      </c>
      <c r="E36" s="149">
        <v>78</v>
      </c>
      <c r="F36" s="57">
        <v>76</v>
      </c>
      <c r="G36" s="57">
        <v>64</v>
      </c>
      <c r="H36" s="57">
        <v>61</v>
      </c>
      <c r="I36" s="57">
        <v>54</v>
      </c>
      <c r="J36" s="57">
        <v>69</v>
      </c>
      <c r="K36" s="57">
        <v>58</v>
      </c>
      <c r="L36" s="57">
        <v>65</v>
      </c>
      <c r="M36" s="57">
        <v>62</v>
      </c>
      <c r="N36" s="57">
        <v>79</v>
      </c>
      <c r="O36" s="57">
        <v>85</v>
      </c>
      <c r="P36" s="61">
        <f t="shared" si="0"/>
        <v>751</v>
      </c>
      <c r="Q36" s="62">
        <f t="shared" si="1"/>
        <v>68.272727272727266</v>
      </c>
      <c r="R36" s="59">
        <f t="shared" si="2"/>
        <v>39</v>
      </c>
      <c r="S36" s="15"/>
      <c r="T36" s="15"/>
    </row>
    <row r="37" spans="1:20" ht="20.100000000000001" customHeight="1" x14ac:dyDescent="0.25">
      <c r="A37" s="137">
        <v>34</v>
      </c>
      <c r="B37" s="140"/>
      <c r="C37" s="141">
        <v>15</v>
      </c>
      <c r="D37" s="141" t="s">
        <v>20</v>
      </c>
      <c r="E37" s="149">
        <v>82</v>
      </c>
      <c r="F37" s="56">
        <v>66</v>
      </c>
      <c r="G37" s="56">
        <v>77</v>
      </c>
      <c r="H37" s="56">
        <v>78</v>
      </c>
      <c r="I37" s="57">
        <v>81</v>
      </c>
      <c r="J37" s="57">
        <v>87</v>
      </c>
      <c r="K37" s="57">
        <v>84</v>
      </c>
      <c r="L37" s="57">
        <v>83</v>
      </c>
      <c r="M37" s="57">
        <v>85</v>
      </c>
      <c r="N37" s="57">
        <v>97</v>
      </c>
      <c r="O37" s="56">
        <v>100</v>
      </c>
      <c r="P37" s="61">
        <f t="shared" si="0"/>
        <v>920</v>
      </c>
      <c r="Q37" s="62">
        <f t="shared" si="1"/>
        <v>83.63636363636364</v>
      </c>
      <c r="R37" s="59">
        <f t="shared" si="2"/>
        <v>11</v>
      </c>
      <c r="S37" s="15"/>
      <c r="T37" s="15"/>
    </row>
    <row r="38" spans="1:20" ht="20.100000000000001" customHeight="1" x14ac:dyDescent="0.25">
      <c r="A38" s="137">
        <v>35</v>
      </c>
      <c r="B38" s="140"/>
      <c r="C38" s="141">
        <v>14</v>
      </c>
      <c r="D38" s="141" t="s">
        <v>20</v>
      </c>
      <c r="E38" s="149">
        <v>78</v>
      </c>
      <c r="F38" s="57">
        <v>80</v>
      </c>
      <c r="G38" s="56">
        <v>82</v>
      </c>
      <c r="H38" s="57">
        <v>83</v>
      </c>
      <c r="I38" s="57">
        <v>83</v>
      </c>
      <c r="J38" s="57">
        <v>88</v>
      </c>
      <c r="K38" s="56">
        <v>83</v>
      </c>
      <c r="L38" s="57">
        <v>89</v>
      </c>
      <c r="M38" s="57">
        <v>84</v>
      </c>
      <c r="N38" s="57">
        <v>91</v>
      </c>
      <c r="O38" s="57">
        <v>92</v>
      </c>
      <c r="P38" s="61">
        <f t="shared" si="0"/>
        <v>933</v>
      </c>
      <c r="Q38" s="62">
        <f t="shared" si="1"/>
        <v>84.818181818181813</v>
      </c>
      <c r="R38" s="59">
        <f t="shared" si="2"/>
        <v>10</v>
      </c>
      <c r="S38" s="15"/>
      <c r="T38" s="15"/>
    </row>
    <row r="39" spans="1:20" ht="20.100000000000001" customHeight="1" x14ac:dyDescent="0.25">
      <c r="A39" s="137">
        <v>36</v>
      </c>
      <c r="B39" s="140"/>
      <c r="C39" s="141">
        <v>14</v>
      </c>
      <c r="D39" s="141" t="s">
        <v>20</v>
      </c>
      <c r="E39" s="149">
        <v>80</v>
      </c>
      <c r="F39" s="57">
        <v>64</v>
      </c>
      <c r="G39" s="57">
        <v>82</v>
      </c>
      <c r="H39" s="57">
        <v>71</v>
      </c>
      <c r="I39" s="57">
        <v>88</v>
      </c>
      <c r="J39" s="57">
        <v>78</v>
      </c>
      <c r="K39" s="57">
        <v>73</v>
      </c>
      <c r="L39" s="57">
        <v>77</v>
      </c>
      <c r="M39" s="57">
        <v>68</v>
      </c>
      <c r="N39" s="57">
        <v>87</v>
      </c>
      <c r="O39" s="57">
        <v>76</v>
      </c>
      <c r="P39" s="61">
        <f t="shared" si="0"/>
        <v>844</v>
      </c>
      <c r="Q39" s="62">
        <f t="shared" si="1"/>
        <v>76.727272727272734</v>
      </c>
      <c r="R39" s="59">
        <f t="shared" si="2"/>
        <v>25</v>
      </c>
      <c r="S39" s="15"/>
      <c r="T39" s="15"/>
    </row>
    <row r="40" spans="1:20" ht="20.100000000000001" customHeight="1" x14ac:dyDescent="0.25">
      <c r="A40" s="121">
        <v>37</v>
      </c>
      <c r="B40" s="140"/>
      <c r="C40" s="141">
        <v>15</v>
      </c>
      <c r="D40" s="141" t="s">
        <v>23</v>
      </c>
      <c r="E40" s="149">
        <v>90</v>
      </c>
      <c r="F40" s="57">
        <v>82</v>
      </c>
      <c r="G40" s="56">
        <v>90</v>
      </c>
      <c r="H40" s="57">
        <v>91</v>
      </c>
      <c r="I40" s="57">
        <v>87</v>
      </c>
      <c r="J40" s="57">
        <v>96</v>
      </c>
      <c r="K40" s="57">
        <v>96</v>
      </c>
      <c r="L40" s="57">
        <v>100</v>
      </c>
      <c r="M40" s="57">
        <v>90</v>
      </c>
      <c r="N40" s="57">
        <v>100</v>
      </c>
      <c r="O40" s="57">
        <v>100</v>
      </c>
      <c r="P40" s="61">
        <f t="shared" si="0"/>
        <v>1022</v>
      </c>
      <c r="Q40" s="62">
        <f t="shared" si="1"/>
        <v>92.909090909090907</v>
      </c>
      <c r="R40" s="59">
        <f t="shared" si="2"/>
        <v>4</v>
      </c>
      <c r="S40" s="15"/>
      <c r="T40" s="15"/>
    </row>
    <row r="41" spans="1:20" ht="20.100000000000001" customHeight="1" x14ac:dyDescent="0.25">
      <c r="A41" s="121">
        <v>38</v>
      </c>
      <c r="B41" s="140"/>
      <c r="C41" s="141">
        <v>14</v>
      </c>
      <c r="D41" s="141" t="s">
        <v>20</v>
      </c>
      <c r="E41" s="149">
        <v>89</v>
      </c>
      <c r="F41" s="57">
        <v>57</v>
      </c>
      <c r="G41" s="57">
        <v>85</v>
      </c>
      <c r="H41" s="57">
        <v>74</v>
      </c>
      <c r="I41" s="57">
        <v>83</v>
      </c>
      <c r="J41" s="57">
        <v>81</v>
      </c>
      <c r="K41" s="57">
        <v>77</v>
      </c>
      <c r="L41" s="57">
        <v>90</v>
      </c>
      <c r="M41" s="57">
        <v>79</v>
      </c>
      <c r="N41" s="57">
        <v>100</v>
      </c>
      <c r="O41" s="57">
        <v>89</v>
      </c>
      <c r="P41" s="61">
        <f t="shared" si="0"/>
        <v>904</v>
      </c>
      <c r="Q41" s="62">
        <f t="shared" si="1"/>
        <v>82.181818181818187</v>
      </c>
      <c r="R41" s="59">
        <f t="shared" si="2"/>
        <v>15</v>
      </c>
      <c r="S41" s="15"/>
      <c r="T41" s="15"/>
    </row>
    <row r="42" spans="1:20" ht="20.100000000000001" customHeight="1" x14ac:dyDescent="0.25">
      <c r="A42" s="137">
        <v>39</v>
      </c>
      <c r="B42" s="140"/>
      <c r="C42" s="141">
        <v>14</v>
      </c>
      <c r="D42" s="141" t="s">
        <v>23</v>
      </c>
      <c r="E42" s="149">
        <v>85</v>
      </c>
      <c r="F42" s="57">
        <v>82</v>
      </c>
      <c r="G42" s="57">
        <v>90</v>
      </c>
      <c r="H42" s="57">
        <v>89</v>
      </c>
      <c r="I42" s="57">
        <v>87</v>
      </c>
      <c r="J42" s="57">
        <v>89</v>
      </c>
      <c r="K42" s="57">
        <v>90</v>
      </c>
      <c r="L42" s="57">
        <v>89</v>
      </c>
      <c r="M42" s="57">
        <v>88</v>
      </c>
      <c r="N42" s="57">
        <v>100</v>
      </c>
      <c r="O42" s="57">
        <v>100</v>
      </c>
      <c r="P42" s="61">
        <f t="shared" si="0"/>
        <v>989</v>
      </c>
      <c r="Q42" s="62">
        <f t="shared" si="1"/>
        <v>89.909090909090907</v>
      </c>
      <c r="R42" s="59">
        <f t="shared" si="2"/>
        <v>5</v>
      </c>
      <c r="S42" s="15"/>
      <c r="T42" s="15"/>
    </row>
    <row r="43" spans="1:20" ht="20.100000000000001" customHeight="1" x14ac:dyDescent="0.25">
      <c r="A43" s="121">
        <v>40</v>
      </c>
      <c r="B43" s="140"/>
      <c r="C43" s="141">
        <v>15</v>
      </c>
      <c r="D43" s="141" t="s">
        <v>23</v>
      </c>
      <c r="E43" s="149">
        <v>77</v>
      </c>
      <c r="F43" s="57">
        <v>77</v>
      </c>
      <c r="G43" s="56">
        <v>51</v>
      </c>
      <c r="H43" s="57">
        <v>49</v>
      </c>
      <c r="I43" s="57">
        <v>44</v>
      </c>
      <c r="J43" s="57">
        <v>46</v>
      </c>
      <c r="K43" s="57">
        <v>47</v>
      </c>
      <c r="L43" s="57">
        <v>62</v>
      </c>
      <c r="M43" s="57">
        <v>66</v>
      </c>
      <c r="N43" s="57">
        <v>71</v>
      </c>
      <c r="O43" s="57">
        <v>81</v>
      </c>
      <c r="P43" s="61">
        <f t="shared" si="0"/>
        <v>671</v>
      </c>
      <c r="Q43" s="62">
        <f t="shared" si="1"/>
        <v>61</v>
      </c>
      <c r="R43" s="59">
        <f t="shared" si="2"/>
        <v>46</v>
      </c>
      <c r="S43" s="15"/>
      <c r="T43" s="15"/>
    </row>
    <row r="44" spans="1:20" ht="20.100000000000001" customHeight="1" x14ac:dyDescent="0.25">
      <c r="A44" s="137">
        <v>41</v>
      </c>
      <c r="B44" s="140"/>
      <c r="C44" s="141">
        <v>14</v>
      </c>
      <c r="D44" s="141" t="s">
        <v>23</v>
      </c>
      <c r="E44" s="149">
        <v>75</v>
      </c>
      <c r="F44" s="57">
        <v>50</v>
      </c>
      <c r="G44" s="57">
        <v>51</v>
      </c>
      <c r="H44" s="57">
        <v>52</v>
      </c>
      <c r="I44" s="57">
        <v>45</v>
      </c>
      <c r="J44" s="57">
        <v>52</v>
      </c>
      <c r="K44" s="57">
        <v>54</v>
      </c>
      <c r="L44" s="57">
        <v>65</v>
      </c>
      <c r="M44" s="57">
        <v>52</v>
      </c>
      <c r="N44" s="57">
        <v>74</v>
      </c>
      <c r="O44" s="57">
        <v>82</v>
      </c>
      <c r="P44" s="61">
        <f t="shared" si="0"/>
        <v>652</v>
      </c>
      <c r="Q44" s="62">
        <f t="shared" si="1"/>
        <v>59.272727272727273</v>
      </c>
      <c r="R44" s="59">
        <f t="shared" si="2"/>
        <v>48</v>
      </c>
      <c r="S44" s="15"/>
      <c r="T44" s="15"/>
    </row>
    <row r="45" spans="1:20" ht="20.100000000000001" customHeight="1" x14ac:dyDescent="0.25">
      <c r="A45" s="137">
        <v>42</v>
      </c>
      <c r="B45" s="140"/>
      <c r="C45" s="141">
        <v>15</v>
      </c>
      <c r="D45" s="141" t="s">
        <v>23</v>
      </c>
      <c r="E45" s="149">
        <v>76</v>
      </c>
      <c r="F45" s="57">
        <v>72</v>
      </c>
      <c r="G45" s="57">
        <v>37</v>
      </c>
      <c r="H45" s="57">
        <v>37</v>
      </c>
      <c r="I45" s="57">
        <v>46</v>
      </c>
      <c r="J45" s="57">
        <v>45</v>
      </c>
      <c r="K45" s="57">
        <v>50</v>
      </c>
      <c r="L45" s="57">
        <v>67</v>
      </c>
      <c r="M45" s="57">
        <v>62</v>
      </c>
      <c r="N45" s="57">
        <v>65</v>
      </c>
      <c r="O45" s="57">
        <v>72</v>
      </c>
      <c r="P45" s="61">
        <f t="shared" si="0"/>
        <v>629</v>
      </c>
      <c r="Q45" s="62">
        <f t="shared" si="1"/>
        <v>57.18181818181818</v>
      </c>
      <c r="R45" s="59">
        <f t="shared" si="2"/>
        <v>49</v>
      </c>
      <c r="S45" s="15"/>
      <c r="T45" s="15"/>
    </row>
    <row r="46" spans="1:20" ht="20.100000000000001" customHeight="1" x14ac:dyDescent="0.25">
      <c r="A46" s="137">
        <v>43</v>
      </c>
      <c r="B46" s="140"/>
      <c r="C46" s="141">
        <v>14</v>
      </c>
      <c r="D46" s="141" t="s">
        <v>23</v>
      </c>
      <c r="E46" s="149">
        <v>85</v>
      </c>
      <c r="F46" s="57">
        <v>61</v>
      </c>
      <c r="G46" s="56">
        <v>65</v>
      </c>
      <c r="H46" s="57">
        <v>67</v>
      </c>
      <c r="I46" s="57">
        <v>66</v>
      </c>
      <c r="J46" s="57">
        <v>79</v>
      </c>
      <c r="K46" s="57">
        <v>68</v>
      </c>
      <c r="L46" s="57">
        <v>87</v>
      </c>
      <c r="M46" s="57">
        <v>68</v>
      </c>
      <c r="N46" s="57">
        <v>89</v>
      </c>
      <c r="O46" s="57">
        <v>80</v>
      </c>
      <c r="P46" s="61">
        <f t="shared" si="0"/>
        <v>815</v>
      </c>
      <c r="Q46" s="62">
        <f t="shared" si="1"/>
        <v>74.090909090909093</v>
      </c>
      <c r="R46" s="59">
        <f t="shared" si="2"/>
        <v>30</v>
      </c>
      <c r="S46" s="15"/>
      <c r="T46" s="15"/>
    </row>
    <row r="47" spans="1:20" ht="20.100000000000001" customHeight="1" x14ac:dyDescent="0.25">
      <c r="A47" s="121">
        <v>44</v>
      </c>
      <c r="B47" s="140"/>
      <c r="C47" s="141">
        <v>15</v>
      </c>
      <c r="D47" s="141" t="s">
        <v>23</v>
      </c>
      <c r="E47" s="149">
        <v>88</v>
      </c>
      <c r="F47" s="57">
        <v>74</v>
      </c>
      <c r="G47" s="57">
        <v>93</v>
      </c>
      <c r="H47" s="57">
        <v>90</v>
      </c>
      <c r="I47" s="57">
        <v>83</v>
      </c>
      <c r="J47" s="57">
        <v>92</v>
      </c>
      <c r="K47" s="56">
        <v>88</v>
      </c>
      <c r="L47" s="57">
        <v>88</v>
      </c>
      <c r="M47" s="57">
        <v>85</v>
      </c>
      <c r="N47" s="57">
        <v>97</v>
      </c>
      <c r="O47" s="57">
        <v>86</v>
      </c>
      <c r="P47" s="61">
        <f t="shared" si="0"/>
        <v>964</v>
      </c>
      <c r="Q47" s="62">
        <f t="shared" si="1"/>
        <v>87.63636363636364</v>
      </c>
      <c r="R47" s="59">
        <f t="shared" si="2"/>
        <v>9</v>
      </c>
      <c r="S47" s="15"/>
      <c r="T47" s="15"/>
    </row>
    <row r="48" spans="1:20" ht="20.100000000000001" customHeight="1" x14ac:dyDescent="0.25">
      <c r="A48" s="137">
        <v>45</v>
      </c>
      <c r="B48" s="140"/>
      <c r="C48" s="141">
        <v>15</v>
      </c>
      <c r="D48" s="141" t="s">
        <v>20</v>
      </c>
      <c r="E48" s="149">
        <v>82</v>
      </c>
      <c r="F48" s="57">
        <v>67</v>
      </c>
      <c r="G48" s="57">
        <v>81</v>
      </c>
      <c r="H48" s="57">
        <v>72</v>
      </c>
      <c r="I48" s="57">
        <v>77</v>
      </c>
      <c r="J48" s="57">
        <v>77</v>
      </c>
      <c r="K48" s="57">
        <v>77</v>
      </c>
      <c r="L48" s="57">
        <v>72</v>
      </c>
      <c r="M48" s="57">
        <v>76</v>
      </c>
      <c r="N48" s="57">
        <v>86</v>
      </c>
      <c r="O48" s="57">
        <v>97</v>
      </c>
      <c r="P48" s="61">
        <f t="shared" si="0"/>
        <v>864</v>
      </c>
      <c r="Q48" s="62">
        <f t="shared" si="1"/>
        <v>78.545454545454547</v>
      </c>
      <c r="R48" s="59">
        <f t="shared" si="2"/>
        <v>20</v>
      </c>
      <c r="S48" s="15"/>
      <c r="T48" s="15"/>
    </row>
    <row r="49" spans="1:20" ht="20.100000000000001" customHeight="1" x14ac:dyDescent="0.25">
      <c r="A49" s="121">
        <v>46</v>
      </c>
      <c r="B49" s="140"/>
      <c r="C49" s="141">
        <v>14</v>
      </c>
      <c r="D49" s="141" t="s">
        <v>20</v>
      </c>
      <c r="E49" s="149">
        <v>81</v>
      </c>
      <c r="F49" s="56">
        <v>88</v>
      </c>
      <c r="G49" s="56">
        <v>49</v>
      </c>
      <c r="H49" s="56">
        <v>51</v>
      </c>
      <c r="I49" s="57">
        <v>50</v>
      </c>
      <c r="J49" s="57">
        <v>51</v>
      </c>
      <c r="K49" s="57">
        <v>55</v>
      </c>
      <c r="L49" s="57">
        <v>59</v>
      </c>
      <c r="M49" s="57">
        <v>75</v>
      </c>
      <c r="N49" s="56">
        <v>85</v>
      </c>
      <c r="O49" s="57">
        <v>86</v>
      </c>
      <c r="P49" s="61">
        <f t="shared" si="0"/>
        <v>730</v>
      </c>
      <c r="Q49" s="62">
        <f t="shared" si="1"/>
        <v>66.36363636363636</v>
      </c>
      <c r="R49" s="59">
        <f t="shared" si="2"/>
        <v>43</v>
      </c>
      <c r="S49" s="15"/>
      <c r="T49" s="15"/>
    </row>
    <row r="50" spans="1:20" ht="20.100000000000001" customHeight="1" x14ac:dyDescent="0.25">
      <c r="A50" s="121">
        <v>47</v>
      </c>
      <c r="B50" s="140"/>
      <c r="C50" s="141">
        <v>14</v>
      </c>
      <c r="D50" s="141" t="s">
        <v>23</v>
      </c>
      <c r="E50" s="149">
        <v>81</v>
      </c>
      <c r="F50" s="56">
        <v>63</v>
      </c>
      <c r="G50" s="56">
        <v>58</v>
      </c>
      <c r="H50" s="57">
        <v>70</v>
      </c>
      <c r="I50" s="56">
        <v>73</v>
      </c>
      <c r="J50" s="57">
        <v>82</v>
      </c>
      <c r="K50" s="56">
        <v>75</v>
      </c>
      <c r="L50" s="56">
        <v>86</v>
      </c>
      <c r="M50" s="57">
        <v>76</v>
      </c>
      <c r="N50" s="57">
        <v>91</v>
      </c>
      <c r="O50" s="56">
        <v>94</v>
      </c>
      <c r="P50" s="61">
        <f t="shared" si="0"/>
        <v>849</v>
      </c>
      <c r="Q50" s="62">
        <f t="shared" si="1"/>
        <v>77.181818181818187</v>
      </c>
      <c r="R50" s="59">
        <f t="shared" si="2"/>
        <v>22</v>
      </c>
      <c r="S50" s="15"/>
      <c r="T50" s="15"/>
    </row>
    <row r="51" spans="1:20" ht="20.100000000000001" customHeight="1" x14ac:dyDescent="0.25">
      <c r="A51" s="121">
        <v>48</v>
      </c>
      <c r="B51" s="140"/>
      <c r="C51" s="141">
        <v>15</v>
      </c>
      <c r="D51" s="141" t="s">
        <v>23</v>
      </c>
      <c r="E51" s="149">
        <v>71</v>
      </c>
      <c r="F51" s="57">
        <v>54</v>
      </c>
      <c r="G51" s="57">
        <v>46</v>
      </c>
      <c r="H51" s="57">
        <v>41</v>
      </c>
      <c r="I51" s="57">
        <v>42</v>
      </c>
      <c r="J51" s="57">
        <v>44</v>
      </c>
      <c r="K51" s="57">
        <v>42</v>
      </c>
      <c r="L51" s="57">
        <v>51</v>
      </c>
      <c r="M51" s="57">
        <v>48</v>
      </c>
      <c r="N51" s="57">
        <v>76</v>
      </c>
      <c r="O51" s="57">
        <v>78</v>
      </c>
      <c r="P51" s="61">
        <f t="shared" si="0"/>
        <v>593</v>
      </c>
      <c r="Q51" s="62">
        <f t="shared" si="1"/>
        <v>53.909090909090907</v>
      </c>
      <c r="R51" s="59">
        <f t="shared" si="2"/>
        <v>51</v>
      </c>
      <c r="S51" s="15"/>
      <c r="T51" s="15"/>
    </row>
    <row r="52" spans="1:20" ht="20.100000000000001" customHeight="1" x14ac:dyDescent="0.25">
      <c r="A52" s="137">
        <v>49</v>
      </c>
      <c r="B52" s="140"/>
      <c r="C52" s="141">
        <v>14</v>
      </c>
      <c r="D52" s="141" t="s">
        <v>23</v>
      </c>
      <c r="E52" s="149">
        <v>99</v>
      </c>
      <c r="F52" s="57">
        <v>92</v>
      </c>
      <c r="G52" s="57">
        <v>100</v>
      </c>
      <c r="H52" s="57">
        <v>100</v>
      </c>
      <c r="I52" s="57">
        <v>98</v>
      </c>
      <c r="J52" s="57">
        <v>99</v>
      </c>
      <c r="K52" s="57">
        <v>100</v>
      </c>
      <c r="L52" s="57">
        <v>100</v>
      </c>
      <c r="M52" s="57">
        <v>100</v>
      </c>
      <c r="N52" s="57">
        <v>100</v>
      </c>
      <c r="O52" s="57">
        <v>100</v>
      </c>
      <c r="P52" s="61">
        <f t="shared" si="0"/>
        <v>1088</v>
      </c>
      <c r="Q52" s="62">
        <f t="shared" si="1"/>
        <v>98.909090909090907</v>
      </c>
      <c r="R52" s="59">
        <f t="shared" si="2"/>
        <v>1</v>
      </c>
      <c r="S52" s="15"/>
      <c r="T52" s="15"/>
    </row>
    <row r="53" spans="1:20" ht="20.100000000000001" customHeight="1" x14ac:dyDescent="0.25">
      <c r="A53" s="137">
        <v>50</v>
      </c>
      <c r="B53" s="140"/>
      <c r="C53" s="141">
        <v>15</v>
      </c>
      <c r="D53" s="141" t="s">
        <v>20</v>
      </c>
      <c r="E53" s="149">
        <v>89</v>
      </c>
      <c r="F53" s="57">
        <v>88</v>
      </c>
      <c r="G53" s="57">
        <v>90</v>
      </c>
      <c r="H53" s="57">
        <v>85</v>
      </c>
      <c r="I53" s="57">
        <v>90</v>
      </c>
      <c r="J53" s="57">
        <v>94</v>
      </c>
      <c r="K53" s="56">
        <v>83</v>
      </c>
      <c r="L53" s="57">
        <v>94</v>
      </c>
      <c r="M53" s="57">
        <v>92</v>
      </c>
      <c r="N53" s="57">
        <v>100</v>
      </c>
      <c r="O53" s="57">
        <v>80</v>
      </c>
      <c r="P53" s="61">
        <f t="shared" si="0"/>
        <v>985</v>
      </c>
      <c r="Q53" s="62">
        <f t="shared" si="1"/>
        <v>89.545454545454547</v>
      </c>
      <c r="R53" s="59">
        <f t="shared" si="2"/>
        <v>6</v>
      </c>
      <c r="S53" s="15"/>
      <c r="T53" s="15"/>
    </row>
    <row r="54" spans="1:20" ht="19.5" customHeight="1" x14ac:dyDescent="0.25">
      <c r="A54" s="137">
        <v>51</v>
      </c>
      <c r="B54" s="140"/>
      <c r="C54" s="141">
        <v>15</v>
      </c>
      <c r="D54" s="141" t="s">
        <v>20</v>
      </c>
      <c r="E54" s="149">
        <v>92</v>
      </c>
      <c r="F54" s="57">
        <v>84</v>
      </c>
      <c r="G54" s="57">
        <v>95</v>
      </c>
      <c r="H54" s="57">
        <v>99</v>
      </c>
      <c r="I54" s="57">
        <v>93</v>
      </c>
      <c r="J54" s="57">
        <v>95</v>
      </c>
      <c r="K54" s="57">
        <v>91</v>
      </c>
      <c r="L54" s="57">
        <v>98</v>
      </c>
      <c r="M54" s="57">
        <v>94</v>
      </c>
      <c r="N54" s="57">
        <v>99</v>
      </c>
      <c r="O54" s="57">
        <v>100</v>
      </c>
      <c r="P54" s="61">
        <f t="shared" si="0"/>
        <v>1040</v>
      </c>
      <c r="Q54" s="62">
        <f t="shared" si="1"/>
        <v>94.545454545454547</v>
      </c>
      <c r="R54" s="59">
        <f t="shared" si="2"/>
        <v>2</v>
      </c>
      <c r="S54" s="15"/>
      <c r="T54" s="15"/>
    </row>
    <row r="55" spans="1:20" ht="19.5" customHeight="1" x14ac:dyDescent="0.25">
      <c r="A55" s="137">
        <v>52</v>
      </c>
      <c r="B55" s="140"/>
      <c r="C55" s="141">
        <v>14</v>
      </c>
      <c r="D55" s="141" t="s">
        <v>20</v>
      </c>
      <c r="E55" s="58">
        <v>66</v>
      </c>
      <c r="F55" s="15">
        <v>72</v>
      </c>
      <c r="G55" s="15">
        <v>77</v>
      </c>
      <c r="H55" s="15">
        <v>72</v>
      </c>
      <c r="I55" s="15">
        <v>74</v>
      </c>
      <c r="J55" s="15">
        <v>71</v>
      </c>
      <c r="K55" s="15">
        <v>69</v>
      </c>
      <c r="L55" s="15">
        <v>75</v>
      </c>
      <c r="M55" s="15">
        <v>74</v>
      </c>
      <c r="N55" s="15">
        <v>82</v>
      </c>
      <c r="O55" s="15">
        <v>80</v>
      </c>
      <c r="P55" s="61">
        <f t="shared" si="0"/>
        <v>812</v>
      </c>
      <c r="Q55" s="62">
        <f t="shared" si="1"/>
        <v>73.818181818181813</v>
      </c>
      <c r="R55" s="59">
        <f t="shared" si="2"/>
        <v>31</v>
      </c>
      <c r="S55" s="15"/>
      <c r="T55" s="15"/>
    </row>
    <row r="56" spans="1:20" ht="19.5" customHeight="1" x14ac:dyDescent="0.25">
      <c r="A56" s="107">
        <v>53</v>
      </c>
      <c r="B56" s="69"/>
      <c r="C56" s="69"/>
      <c r="D56" s="69"/>
      <c r="E56" s="15"/>
      <c r="F56" s="15"/>
      <c r="G56" s="15"/>
      <c r="H56" s="15"/>
      <c r="I56" s="15"/>
      <c r="J56" s="15"/>
      <c r="K56" s="15"/>
      <c r="L56" s="15"/>
      <c r="M56" s="15"/>
      <c r="N56" s="15"/>
      <c r="O56" s="15"/>
      <c r="P56" s="15"/>
      <c r="Q56" s="15"/>
      <c r="R56" s="15"/>
      <c r="S56" s="15"/>
      <c r="T56" s="15"/>
    </row>
    <row r="57" spans="1:20" ht="19.5" customHeight="1" x14ac:dyDescent="0.25">
      <c r="A57" s="107">
        <v>54</v>
      </c>
      <c r="B57" s="20"/>
      <c r="C57" s="20"/>
      <c r="D57" s="20"/>
      <c r="E57" s="15"/>
      <c r="F57" s="15"/>
      <c r="G57" s="15"/>
      <c r="H57" s="15"/>
      <c r="I57" s="15"/>
      <c r="J57" s="15"/>
      <c r="K57" s="15"/>
      <c r="L57" s="15"/>
      <c r="M57" s="15"/>
      <c r="N57" s="15"/>
      <c r="O57" s="15"/>
      <c r="P57" s="15"/>
      <c r="Q57" s="15"/>
      <c r="R57" s="15"/>
      <c r="S57" s="15"/>
      <c r="T57" s="15"/>
    </row>
    <row r="58" spans="1:20" ht="19.5" customHeight="1" x14ac:dyDescent="0.25">
      <c r="A58" s="107">
        <v>55</v>
      </c>
      <c r="B58" s="20"/>
      <c r="C58" s="20"/>
      <c r="D58" s="20"/>
      <c r="E58" s="15"/>
      <c r="F58" s="15"/>
      <c r="G58" s="15"/>
      <c r="H58" s="15"/>
      <c r="I58" s="15"/>
      <c r="J58" s="15"/>
      <c r="K58" s="15"/>
      <c r="L58" s="15"/>
      <c r="M58" s="15"/>
      <c r="N58" s="15"/>
      <c r="O58" s="15"/>
      <c r="P58" s="15"/>
      <c r="Q58" s="15"/>
      <c r="R58" s="15"/>
      <c r="S58" s="15"/>
      <c r="T58" s="15"/>
    </row>
  </sheetData>
  <mergeCells count="2">
    <mergeCell ref="A1:T1"/>
    <mergeCell ref="A2:T2"/>
  </mergeCells>
  <conditionalFormatting sqref="E4:O55">
    <cfRule type="cellIs" dxfId="7" priority="1" operator="lessThan">
      <formula>50</formula>
    </cfRule>
  </conditionalFormatting>
  <pageMargins left="0.7" right="0.7" top="0.75" bottom="0.75" header="0.3" footer="0.3"/>
  <pageSetup paperSize="9" scale="75" fitToHeight="0" orientation="landscape"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58"/>
  <sheetViews>
    <sheetView workbookViewId="0">
      <selection activeCell="B4" sqref="B4:B55"/>
    </sheetView>
  </sheetViews>
  <sheetFormatPr defaultRowHeight="15" x14ac:dyDescent="0.25"/>
  <cols>
    <col min="1" max="1" width="6.7109375" style="14" customWidth="1"/>
    <col min="2" max="2" width="35.140625" bestFit="1" customWidth="1"/>
    <col min="3" max="3" width="4.7109375" customWidth="1"/>
    <col min="4" max="4" width="4.140625" customWidth="1"/>
    <col min="5" max="16" width="7.7109375" customWidth="1"/>
    <col min="17" max="17" width="9.140625" customWidth="1"/>
    <col min="18" max="20" width="7.7109375" customWidth="1"/>
  </cols>
  <sheetData>
    <row r="1" spans="1:20" ht="20.25" x14ac:dyDescent="0.25">
      <c r="A1" s="272" t="s">
        <v>40</v>
      </c>
      <c r="B1" s="273"/>
      <c r="C1" s="273"/>
      <c r="D1" s="273"/>
      <c r="E1" s="273"/>
      <c r="F1" s="273"/>
      <c r="G1" s="273"/>
      <c r="H1" s="273"/>
      <c r="I1" s="273"/>
      <c r="J1" s="273"/>
      <c r="K1" s="273"/>
      <c r="L1" s="273"/>
      <c r="M1" s="273"/>
      <c r="N1" s="273"/>
      <c r="O1" s="273"/>
      <c r="P1" s="273"/>
      <c r="Q1" s="273"/>
      <c r="R1" s="273"/>
      <c r="S1" s="273"/>
      <c r="T1" s="274"/>
    </row>
    <row r="2" spans="1:20" ht="18" thickBot="1" x14ac:dyDescent="0.3">
      <c r="A2" s="275" t="s">
        <v>41</v>
      </c>
      <c r="B2" s="275"/>
      <c r="C2" s="275"/>
      <c r="D2" s="275"/>
      <c r="E2" s="275"/>
      <c r="F2" s="275"/>
      <c r="G2" s="275"/>
      <c r="H2" s="275"/>
      <c r="I2" s="275"/>
      <c r="J2" s="275"/>
      <c r="K2" s="275"/>
      <c r="L2" s="275"/>
      <c r="M2" s="275"/>
      <c r="N2" s="275"/>
      <c r="O2" s="275"/>
      <c r="P2" s="275"/>
      <c r="Q2" s="275"/>
      <c r="R2" s="275"/>
      <c r="S2" s="275"/>
      <c r="T2" s="275"/>
    </row>
    <row r="3" spans="1:20" ht="67.5" customHeight="1" thickBot="1" x14ac:dyDescent="0.3">
      <c r="A3" s="21" t="s">
        <v>24</v>
      </c>
      <c r="B3" s="22" t="s">
        <v>1</v>
      </c>
      <c r="C3" s="23" t="s">
        <v>2</v>
      </c>
      <c r="D3" s="22" t="s">
        <v>3</v>
      </c>
      <c r="E3" s="25" t="s">
        <v>4</v>
      </c>
      <c r="F3" s="25" t="s">
        <v>5</v>
      </c>
      <c r="G3" s="25" t="s">
        <v>6</v>
      </c>
      <c r="H3" s="25" t="s">
        <v>7</v>
      </c>
      <c r="I3" s="25" t="s">
        <v>8</v>
      </c>
      <c r="J3" s="25" t="s">
        <v>9</v>
      </c>
      <c r="K3" s="26" t="s">
        <v>10</v>
      </c>
      <c r="L3" s="25" t="s">
        <v>11</v>
      </c>
      <c r="M3" s="27" t="s">
        <v>12</v>
      </c>
      <c r="N3" s="27" t="s">
        <v>13</v>
      </c>
      <c r="O3" s="25" t="s">
        <v>14</v>
      </c>
      <c r="P3" s="27" t="s">
        <v>15</v>
      </c>
      <c r="Q3" s="25" t="s">
        <v>16</v>
      </c>
      <c r="R3" s="25" t="s">
        <v>17</v>
      </c>
      <c r="S3" s="26" t="s">
        <v>18</v>
      </c>
      <c r="T3" s="28" t="s">
        <v>19</v>
      </c>
    </row>
    <row r="4" spans="1:20" ht="20.100000000000001" customHeight="1" thickBot="1" x14ac:dyDescent="0.3">
      <c r="A4" s="24">
        <v>1</v>
      </c>
      <c r="B4" s="140"/>
      <c r="C4" s="141">
        <v>15</v>
      </c>
      <c r="D4" s="141" t="s">
        <v>20</v>
      </c>
      <c r="E4" s="24">
        <v>82</v>
      </c>
      <c r="F4" s="24">
        <v>62</v>
      </c>
      <c r="G4" s="24">
        <v>73</v>
      </c>
      <c r="H4" s="24">
        <v>55</v>
      </c>
      <c r="I4" s="24">
        <v>61</v>
      </c>
      <c r="J4" s="24">
        <v>58</v>
      </c>
      <c r="K4" s="24">
        <v>57</v>
      </c>
      <c r="L4" s="24">
        <v>62</v>
      </c>
      <c r="M4" s="24">
        <v>69</v>
      </c>
      <c r="N4" s="24">
        <v>79</v>
      </c>
      <c r="O4" s="24">
        <v>80</v>
      </c>
      <c r="P4" s="193">
        <f>SUM(E4:O4)</f>
        <v>738</v>
      </c>
      <c r="Q4" s="194">
        <f>AVERAGE(E4:O4)</f>
        <v>67.090909090909093</v>
      </c>
      <c r="R4" s="193">
        <f>RANK(Q4,$Q$4:$Q$55)</f>
        <v>43</v>
      </c>
      <c r="S4" s="24"/>
      <c r="T4" s="24"/>
    </row>
    <row r="5" spans="1:20" ht="20.100000000000001" customHeight="1" thickBot="1" x14ac:dyDescent="0.3">
      <c r="A5" s="16">
        <v>2</v>
      </c>
      <c r="B5" s="140"/>
      <c r="C5" s="141">
        <v>15</v>
      </c>
      <c r="D5" s="141" t="s">
        <v>23</v>
      </c>
      <c r="E5" s="15">
        <v>91</v>
      </c>
      <c r="F5" s="15">
        <v>68</v>
      </c>
      <c r="G5" s="15">
        <v>64</v>
      </c>
      <c r="H5" s="15">
        <v>66</v>
      </c>
      <c r="I5" s="15">
        <v>59</v>
      </c>
      <c r="J5" s="15">
        <v>62</v>
      </c>
      <c r="K5" s="15">
        <v>65</v>
      </c>
      <c r="L5" s="15">
        <v>73</v>
      </c>
      <c r="M5" s="15">
        <v>75</v>
      </c>
      <c r="N5" s="15">
        <v>85</v>
      </c>
      <c r="O5" s="15">
        <v>89</v>
      </c>
      <c r="P5" s="193">
        <f t="shared" ref="P5:P55" si="0">SUM(E5:O5)</f>
        <v>797</v>
      </c>
      <c r="Q5" s="194">
        <f t="shared" ref="Q5:Q55" si="1">AVERAGE(E5:O5)</f>
        <v>72.454545454545453</v>
      </c>
      <c r="R5" s="193">
        <f t="shared" ref="R5:R55" si="2">RANK(Q5,$Q$4:$Q$55)</f>
        <v>35</v>
      </c>
      <c r="S5" s="15"/>
      <c r="T5" s="15"/>
    </row>
    <row r="6" spans="1:20" ht="20.100000000000001" customHeight="1" thickBot="1" x14ac:dyDescent="0.3">
      <c r="A6" s="13">
        <v>3</v>
      </c>
      <c r="B6" s="140"/>
      <c r="C6" s="141">
        <v>14</v>
      </c>
      <c r="D6" s="141" t="s">
        <v>20</v>
      </c>
      <c r="E6" s="15">
        <v>92</v>
      </c>
      <c r="F6" s="15">
        <v>77</v>
      </c>
      <c r="G6" s="15">
        <v>55</v>
      </c>
      <c r="H6" s="15">
        <v>55</v>
      </c>
      <c r="I6" s="15">
        <v>54</v>
      </c>
      <c r="J6" s="15">
        <v>58</v>
      </c>
      <c r="K6" s="15">
        <v>59</v>
      </c>
      <c r="L6" s="15">
        <v>61</v>
      </c>
      <c r="M6" s="15">
        <v>75</v>
      </c>
      <c r="N6" s="15">
        <v>88</v>
      </c>
      <c r="O6" s="15">
        <v>91</v>
      </c>
      <c r="P6" s="193">
        <f t="shared" si="0"/>
        <v>765</v>
      </c>
      <c r="Q6" s="194">
        <f t="shared" si="1"/>
        <v>69.545454545454547</v>
      </c>
      <c r="R6" s="193">
        <f t="shared" si="2"/>
        <v>42</v>
      </c>
      <c r="S6" s="15"/>
      <c r="T6" s="15"/>
    </row>
    <row r="7" spans="1:20" ht="20.100000000000001" customHeight="1" thickBot="1" x14ac:dyDescent="0.3">
      <c r="A7" s="16">
        <v>4</v>
      </c>
      <c r="B7" s="140"/>
      <c r="C7" s="141">
        <v>14</v>
      </c>
      <c r="D7" s="141" t="s">
        <v>20</v>
      </c>
      <c r="E7" s="15">
        <v>88</v>
      </c>
      <c r="F7" s="15">
        <v>72</v>
      </c>
      <c r="G7" s="15">
        <v>86</v>
      </c>
      <c r="H7" s="15">
        <v>78</v>
      </c>
      <c r="I7" s="15">
        <v>85</v>
      </c>
      <c r="J7" s="15">
        <v>91</v>
      </c>
      <c r="K7" s="15">
        <v>74</v>
      </c>
      <c r="L7" s="15">
        <v>71</v>
      </c>
      <c r="M7" s="15">
        <v>78</v>
      </c>
      <c r="N7" s="15">
        <v>96</v>
      </c>
      <c r="O7" s="15">
        <v>87</v>
      </c>
      <c r="P7" s="193">
        <f t="shared" si="0"/>
        <v>906</v>
      </c>
      <c r="Q7" s="194">
        <f t="shared" si="1"/>
        <v>82.36363636363636</v>
      </c>
      <c r="R7" s="193">
        <f t="shared" si="2"/>
        <v>16</v>
      </c>
      <c r="S7" s="15"/>
      <c r="T7" s="15"/>
    </row>
    <row r="8" spans="1:20" ht="20.100000000000001" customHeight="1" thickBot="1" x14ac:dyDescent="0.3">
      <c r="A8" s="16">
        <v>5</v>
      </c>
      <c r="B8" s="140"/>
      <c r="C8" s="141">
        <v>14</v>
      </c>
      <c r="D8" s="141" t="s">
        <v>20</v>
      </c>
      <c r="E8" s="15">
        <v>73</v>
      </c>
      <c r="F8" s="15">
        <v>55</v>
      </c>
      <c r="G8" s="15">
        <v>55</v>
      </c>
      <c r="H8" s="15">
        <v>52</v>
      </c>
      <c r="I8" s="15">
        <v>53</v>
      </c>
      <c r="J8" s="15">
        <v>52</v>
      </c>
      <c r="K8" s="15">
        <v>52</v>
      </c>
      <c r="L8" s="15">
        <v>60</v>
      </c>
      <c r="M8" s="15">
        <v>55</v>
      </c>
      <c r="N8" s="15">
        <v>80</v>
      </c>
      <c r="O8" s="15">
        <v>93</v>
      </c>
      <c r="P8" s="193">
        <f t="shared" si="0"/>
        <v>680</v>
      </c>
      <c r="Q8" s="194">
        <f t="shared" si="1"/>
        <v>61.81818181818182</v>
      </c>
      <c r="R8" s="193">
        <f t="shared" si="2"/>
        <v>48</v>
      </c>
      <c r="S8" s="15"/>
      <c r="T8" s="15"/>
    </row>
    <row r="9" spans="1:20" ht="20.100000000000001" customHeight="1" thickBot="1" x14ac:dyDescent="0.3">
      <c r="A9" s="13">
        <v>6</v>
      </c>
      <c r="B9" s="140"/>
      <c r="C9" s="141">
        <v>15</v>
      </c>
      <c r="D9" s="141" t="s">
        <v>20</v>
      </c>
      <c r="E9" s="15">
        <v>77</v>
      </c>
      <c r="F9" s="15">
        <v>69</v>
      </c>
      <c r="G9" s="15">
        <v>87</v>
      </c>
      <c r="H9" s="15">
        <v>58</v>
      </c>
      <c r="I9" s="15">
        <v>68</v>
      </c>
      <c r="J9" s="15">
        <v>82</v>
      </c>
      <c r="K9" s="15">
        <v>72</v>
      </c>
      <c r="L9" s="15">
        <v>74</v>
      </c>
      <c r="M9" s="15">
        <v>68</v>
      </c>
      <c r="N9" s="15">
        <v>95</v>
      </c>
      <c r="O9" s="15">
        <v>95</v>
      </c>
      <c r="P9" s="193">
        <f t="shared" si="0"/>
        <v>845</v>
      </c>
      <c r="Q9" s="194">
        <f t="shared" si="1"/>
        <v>76.818181818181813</v>
      </c>
      <c r="R9" s="193">
        <f t="shared" si="2"/>
        <v>29</v>
      </c>
      <c r="S9" s="15"/>
      <c r="T9" s="15"/>
    </row>
    <row r="10" spans="1:20" ht="20.100000000000001" customHeight="1" thickBot="1" x14ac:dyDescent="0.3">
      <c r="A10" s="16">
        <v>7</v>
      </c>
      <c r="B10" s="140"/>
      <c r="C10" s="141">
        <v>14</v>
      </c>
      <c r="D10" s="141" t="s">
        <v>23</v>
      </c>
      <c r="E10" s="15">
        <v>87</v>
      </c>
      <c r="F10" s="15">
        <v>81</v>
      </c>
      <c r="G10" s="15">
        <v>59</v>
      </c>
      <c r="H10" s="15">
        <v>61</v>
      </c>
      <c r="I10" s="15">
        <v>52</v>
      </c>
      <c r="J10" s="15">
        <v>70</v>
      </c>
      <c r="K10" s="15">
        <v>72</v>
      </c>
      <c r="L10" s="15">
        <v>66</v>
      </c>
      <c r="M10" s="15">
        <v>76</v>
      </c>
      <c r="N10" s="15">
        <v>87</v>
      </c>
      <c r="O10" s="15">
        <v>80</v>
      </c>
      <c r="P10" s="193">
        <f t="shared" si="0"/>
        <v>791</v>
      </c>
      <c r="Q10" s="194">
        <f t="shared" si="1"/>
        <v>71.909090909090907</v>
      </c>
      <c r="R10" s="193">
        <f t="shared" si="2"/>
        <v>36</v>
      </c>
      <c r="S10" s="15"/>
      <c r="T10" s="15"/>
    </row>
    <row r="11" spans="1:20" ht="20.100000000000001" customHeight="1" thickBot="1" x14ac:dyDescent="0.3">
      <c r="A11" s="16">
        <v>8</v>
      </c>
      <c r="B11" s="140"/>
      <c r="C11" s="141">
        <v>15</v>
      </c>
      <c r="D11" s="141" t="s">
        <v>20</v>
      </c>
      <c r="E11" s="15">
        <v>79</v>
      </c>
      <c r="F11" s="15">
        <v>64</v>
      </c>
      <c r="G11" s="15">
        <v>65</v>
      </c>
      <c r="H11" s="15">
        <v>59</v>
      </c>
      <c r="I11" s="15">
        <v>56</v>
      </c>
      <c r="J11" s="15">
        <v>52</v>
      </c>
      <c r="K11" s="15">
        <v>55</v>
      </c>
      <c r="L11" s="15">
        <v>50</v>
      </c>
      <c r="M11" s="15">
        <v>61</v>
      </c>
      <c r="N11" s="15">
        <v>76</v>
      </c>
      <c r="O11" s="15">
        <v>94</v>
      </c>
      <c r="P11" s="193">
        <f t="shared" si="0"/>
        <v>711</v>
      </c>
      <c r="Q11" s="194">
        <f t="shared" si="1"/>
        <v>64.63636363636364</v>
      </c>
      <c r="R11" s="193">
        <f t="shared" si="2"/>
        <v>45</v>
      </c>
      <c r="S11" s="15"/>
      <c r="T11" s="15"/>
    </row>
    <row r="12" spans="1:20" ht="20.100000000000001" customHeight="1" thickBot="1" x14ac:dyDescent="0.3">
      <c r="A12" s="13">
        <v>9</v>
      </c>
      <c r="B12" s="140"/>
      <c r="C12" s="141">
        <v>15</v>
      </c>
      <c r="D12" s="141" t="s">
        <v>20</v>
      </c>
      <c r="E12" s="15">
        <v>87</v>
      </c>
      <c r="F12" s="15">
        <v>64</v>
      </c>
      <c r="G12" s="15">
        <v>47</v>
      </c>
      <c r="H12" s="15">
        <v>57</v>
      </c>
      <c r="I12" s="15">
        <v>61</v>
      </c>
      <c r="J12" s="15">
        <v>70</v>
      </c>
      <c r="K12" s="15">
        <v>80</v>
      </c>
      <c r="L12" s="15">
        <v>77</v>
      </c>
      <c r="M12" s="15">
        <v>75</v>
      </c>
      <c r="N12" s="15">
        <v>75</v>
      </c>
      <c r="O12" s="15">
        <v>88</v>
      </c>
      <c r="P12" s="193">
        <f t="shared" si="0"/>
        <v>781</v>
      </c>
      <c r="Q12" s="194">
        <f t="shared" si="1"/>
        <v>71</v>
      </c>
      <c r="R12" s="193">
        <f t="shared" si="2"/>
        <v>37</v>
      </c>
      <c r="S12" s="15"/>
      <c r="T12" s="15"/>
    </row>
    <row r="13" spans="1:20" ht="20.100000000000001" customHeight="1" thickBot="1" x14ac:dyDescent="0.3">
      <c r="A13" s="16">
        <v>10</v>
      </c>
      <c r="B13" s="140"/>
      <c r="C13" s="141">
        <v>14</v>
      </c>
      <c r="D13" s="141" t="s">
        <v>23</v>
      </c>
      <c r="E13" s="15">
        <v>91</v>
      </c>
      <c r="F13" s="15">
        <v>84</v>
      </c>
      <c r="G13" s="15">
        <v>78</v>
      </c>
      <c r="H13" s="15">
        <v>71</v>
      </c>
      <c r="I13" s="15">
        <v>77</v>
      </c>
      <c r="J13" s="15">
        <v>82</v>
      </c>
      <c r="K13" s="15">
        <v>84</v>
      </c>
      <c r="L13" s="15">
        <v>75</v>
      </c>
      <c r="M13" s="15">
        <v>89</v>
      </c>
      <c r="N13" s="15">
        <v>87</v>
      </c>
      <c r="O13" s="15">
        <v>90</v>
      </c>
      <c r="P13" s="193">
        <f t="shared" si="0"/>
        <v>908</v>
      </c>
      <c r="Q13" s="194">
        <f t="shared" si="1"/>
        <v>82.545454545454547</v>
      </c>
      <c r="R13" s="193">
        <f t="shared" si="2"/>
        <v>15</v>
      </c>
      <c r="S13" s="15"/>
      <c r="T13" s="15"/>
    </row>
    <row r="14" spans="1:20" ht="20.100000000000001" customHeight="1" thickBot="1" x14ac:dyDescent="0.3">
      <c r="A14" s="13">
        <v>11</v>
      </c>
      <c r="B14" s="140"/>
      <c r="C14" s="141">
        <v>14</v>
      </c>
      <c r="D14" s="141" t="s">
        <v>23</v>
      </c>
      <c r="E14" s="15">
        <v>93</v>
      </c>
      <c r="F14" s="15">
        <v>76</v>
      </c>
      <c r="G14" s="15">
        <v>84</v>
      </c>
      <c r="H14" s="15">
        <v>78</v>
      </c>
      <c r="I14" s="15">
        <v>82</v>
      </c>
      <c r="J14" s="15">
        <v>84</v>
      </c>
      <c r="K14" s="15">
        <v>76</v>
      </c>
      <c r="L14" s="15">
        <v>81</v>
      </c>
      <c r="M14" s="15">
        <v>87</v>
      </c>
      <c r="N14" s="15">
        <v>87</v>
      </c>
      <c r="O14" s="15">
        <v>93</v>
      </c>
      <c r="P14" s="193">
        <f t="shared" si="0"/>
        <v>921</v>
      </c>
      <c r="Q14" s="194">
        <f t="shared" si="1"/>
        <v>83.727272727272734</v>
      </c>
      <c r="R14" s="193">
        <f t="shared" si="2"/>
        <v>14</v>
      </c>
      <c r="S14" s="15"/>
      <c r="T14" s="15"/>
    </row>
    <row r="15" spans="1:20" ht="20.100000000000001" customHeight="1" thickBot="1" x14ac:dyDescent="0.3">
      <c r="A15" s="13">
        <v>12</v>
      </c>
      <c r="B15" s="140"/>
      <c r="C15" s="141">
        <v>14</v>
      </c>
      <c r="D15" s="141" t="s">
        <v>23</v>
      </c>
      <c r="E15" s="15">
        <v>85</v>
      </c>
      <c r="F15" s="15">
        <v>73</v>
      </c>
      <c r="G15" s="15">
        <v>80</v>
      </c>
      <c r="H15" s="15">
        <v>71</v>
      </c>
      <c r="I15" s="15">
        <v>72</v>
      </c>
      <c r="J15" s="15">
        <v>79</v>
      </c>
      <c r="K15" s="15">
        <v>66</v>
      </c>
      <c r="L15" s="15">
        <v>78</v>
      </c>
      <c r="M15" s="15">
        <v>81</v>
      </c>
      <c r="N15" s="15">
        <v>83</v>
      </c>
      <c r="O15" s="15">
        <v>93</v>
      </c>
      <c r="P15" s="193">
        <f t="shared" si="0"/>
        <v>861</v>
      </c>
      <c r="Q15" s="194">
        <f t="shared" si="1"/>
        <v>78.272727272727266</v>
      </c>
      <c r="R15" s="193">
        <f t="shared" si="2"/>
        <v>26</v>
      </c>
      <c r="S15" s="15"/>
      <c r="T15" s="15"/>
    </row>
    <row r="16" spans="1:20" ht="20.100000000000001" customHeight="1" thickBot="1" x14ac:dyDescent="0.3">
      <c r="A16" s="13">
        <v>13</v>
      </c>
      <c r="B16" s="140"/>
      <c r="C16" s="141">
        <v>15</v>
      </c>
      <c r="D16" s="141" t="s">
        <v>20</v>
      </c>
      <c r="E16" s="15">
        <v>86</v>
      </c>
      <c r="F16" s="15">
        <v>62</v>
      </c>
      <c r="G16" s="15">
        <v>60</v>
      </c>
      <c r="H16" s="15">
        <v>60</v>
      </c>
      <c r="I16" s="15">
        <v>61</v>
      </c>
      <c r="J16" s="15">
        <v>58</v>
      </c>
      <c r="K16" s="15">
        <v>67</v>
      </c>
      <c r="L16" s="15">
        <v>60</v>
      </c>
      <c r="M16" s="15">
        <v>77</v>
      </c>
      <c r="N16" s="15">
        <v>87</v>
      </c>
      <c r="O16" s="15">
        <v>97</v>
      </c>
      <c r="P16" s="193">
        <f t="shared" si="0"/>
        <v>775</v>
      </c>
      <c r="Q16" s="194">
        <f t="shared" si="1"/>
        <v>70.454545454545453</v>
      </c>
      <c r="R16" s="193">
        <f t="shared" si="2"/>
        <v>40</v>
      </c>
      <c r="S16" s="15"/>
      <c r="T16" s="15"/>
    </row>
    <row r="17" spans="1:20" ht="20.100000000000001" customHeight="1" thickBot="1" x14ac:dyDescent="0.3">
      <c r="A17" s="16">
        <v>14</v>
      </c>
      <c r="B17" s="140"/>
      <c r="C17" s="141">
        <v>14</v>
      </c>
      <c r="D17" s="141" t="s">
        <v>20</v>
      </c>
      <c r="E17" s="15">
        <v>78</v>
      </c>
      <c r="F17" s="15">
        <v>90</v>
      </c>
      <c r="G17" s="15">
        <v>86</v>
      </c>
      <c r="H17" s="15">
        <v>72</v>
      </c>
      <c r="I17" s="15">
        <v>81</v>
      </c>
      <c r="J17" s="15">
        <v>86</v>
      </c>
      <c r="K17" s="15">
        <v>73</v>
      </c>
      <c r="L17" s="15">
        <v>63</v>
      </c>
      <c r="M17" s="15">
        <v>88</v>
      </c>
      <c r="N17" s="15">
        <v>92</v>
      </c>
      <c r="O17" s="15">
        <v>94</v>
      </c>
      <c r="P17" s="193">
        <f t="shared" si="0"/>
        <v>903</v>
      </c>
      <c r="Q17" s="194">
        <f t="shared" si="1"/>
        <v>82.090909090909093</v>
      </c>
      <c r="R17" s="193">
        <f t="shared" si="2"/>
        <v>18</v>
      </c>
      <c r="S17" s="15"/>
      <c r="T17" s="15"/>
    </row>
    <row r="18" spans="1:20" ht="20.100000000000001" customHeight="1" thickBot="1" x14ac:dyDescent="0.3">
      <c r="A18" s="13">
        <v>15</v>
      </c>
      <c r="B18" s="140"/>
      <c r="C18" s="141">
        <v>15</v>
      </c>
      <c r="D18" s="141" t="s">
        <v>23</v>
      </c>
      <c r="E18" s="15">
        <v>89</v>
      </c>
      <c r="F18" s="15">
        <v>74</v>
      </c>
      <c r="G18" s="15">
        <v>86</v>
      </c>
      <c r="H18" s="15">
        <v>81</v>
      </c>
      <c r="I18" s="15">
        <v>77</v>
      </c>
      <c r="J18" s="15">
        <v>86</v>
      </c>
      <c r="K18" s="15">
        <v>76</v>
      </c>
      <c r="L18" s="15">
        <v>88</v>
      </c>
      <c r="M18" s="15">
        <v>86</v>
      </c>
      <c r="N18" s="15">
        <v>94</v>
      </c>
      <c r="O18" s="15">
        <v>94</v>
      </c>
      <c r="P18" s="193">
        <f t="shared" si="0"/>
        <v>931</v>
      </c>
      <c r="Q18" s="194">
        <f t="shared" si="1"/>
        <v>84.63636363636364</v>
      </c>
      <c r="R18" s="193">
        <f t="shared" si="2"/>
        <v>12</v>
      </c>
      <c r="S18" s="15"/>
      <c r="T18" s="15"/>
    </row>
    <row r="19" spans="1:20" ht="20.100000000000001" customHeight="1" thickBot="1" x14ac:dyDescent="0.3">
      <c r="A19" s="16">
        <v>16</v>
      </c>
      <c r="B19" s="140"/>
      <c r="C19" s="141">
        <v>15</v>
      </c>
      <c r="D19" s="141" t="s">
        <v>23</v>
      </c>
      <c r="E19" s="15">
        <v>87</v>
      </c>
      <c r="F19" s="15">
        <v>69</v>
      </c>
      <c r="G19" s="15">
        <v>76</v>
      </c>
      <c r="H19" s="15">
        <v>59</v>
      </c>
      <c r="I19" s="15">
        <v>65</v>
      </c>
      <c r="J19" s="15">
        <v>56</v>
      </c>
      <c r="K19" s="15">
        <v>65</v>
      </c>
      <c r="L19" s="15">
        <v>61</v>
      </c>
      <c r="M19" s="15">
        <v>76</v>
      </c>
      <c r="N19" s="15">
        <v>77</v>
      </c>
      <c r="O19" s="15">
        <v>87</v>
      </c>
      <c r="P19" s="193">
        <f t="shared" si="0"/>
        <v>778</v>
      </c>
      <c r="Q19" s="194">
        <f t="shared" si="1"/>
        <v>70.727272727272734</v>
      </c>
      <c r="R19" s="193">
        <f t="shared" si="2"/>
        <v>39</v>
      </c>
      <c r="S19" s="15"/>
      <c r="T19" s="15"/>
    </row>
    <row r="20" spans="1:20" ht="20.100000000000001" customHeight="1" thickBot="1" x14ac:dyDescent="0.3">
      <c r="A20" s="16">
        <v>17</v>
      </c>
      <c r="B20" s="140"/>
      <c r="C20" s="141">
        <v>15</v>
      </c>
      <c r="D20" s="141" t="s">
        <v>20</v>
      </c>
      <c r="E20" s="15">
        <v>79</v>
      </c>
      <c r="F20" s="15">
        <v>80</v>
      </c>
      <c r="G20" s="15">
        <v>81</v>
      </c>
      <c r="H20" s="15">
        <v>65</v>
      </c>
      <c r="I20" s="15">
        <v>74</v>
      </c>
      <c r="J20" s="15">
        <v>78</v>
      </c>
      <c r="K20" s="15">
        <v>73</v>
      </c>
      <c r="L20" s="15">
        <v>79</v>
      </c>
      <c r="M20" s="15">
        <v>89</v>
      </c>
      <c r="N20" s="15">
        <v>96</v>
      </c>
      <c r="O20" s="15">
        <v>97</v>
      </c>
      <c r="P20" s="193">
        <f t="shared" si="0"/>
        <v>891</v>
      </c>
      <c r="Q20" s="194">
        <f t="shared" si="1"/>
        <v>81</v>
      </c>
      <c r="R20" s="193">
        <f t="shared" si="2"/>
        <v>20</v>
      </c>
      <c r="S20" s="15"/>
      <c r="T20" s="15"/>
    </row>
    <row r="21" spans="1:20" ht="20.100000000000001" customHeight="1" thickBot="1" x14ac:dyDescent="0.3">
      <c r="A21" s="16">
        <v>18</v>
      </c>
      <c r="B21" s="140"/>
      <c r="C21" s="141">
        <v>15</v>
      </c>
      <c r="D21" s="141" t="s">
        <v>23</v>
      </c>
      <c r="E21" s="15">
        <v>89</v>
      </c>
      <c r="F21" s="15">
        <v>90</v>
      </c>
      <c r="G21" s="15">
        <v>91</v>
      </c>
      <c r="H21" s="15">
        <v>91</v>
      </c>
      <c r="I21" s="15">
        <v>88</v>
      </c>
      <c r="J21" s="15">
        <v>97</v>
      </c>
      <c r="K21" s="15">
        <v>90</v>
      </c>
      <c r="L21" s="15">
        <v>96</v>
      </c>
      <c r="M21" s="15">
        <v>97</v>
      </c>
      <c r="N21" s="15">
        <v>99</v>
      </c>
      <c r="O21" s="15">
        <v>99</v>
      </c>
      <c r="P21" s="193">
        <f t="shared" si="0"/>
        <v>1027</v>
      </c>
      <c r="Q21" s="194">
        <f t="shared" si="1"/>
        <v>93.36363636363636</v>
      </c>
      <c r="R21" s="193">
        <f t="shared" si="2"/>
        <v>4</v>
      </c>
      <c r="S21" s="15"/>
      <c r="T21" s="15"/>
    </row>
    <row r="22" spans="1:20" ht="20.100000000000001" customHeight="1" thickBot="1" x14ac:dyDescent="0.3">
      <c r="A22" s="13">
        <v>19</v>
      </c>
      <c r="B22" s="140"/>
      <c r="C22" s="141">
        <v>14</v>
      </c>
      <c r="D22" s="141" t="s">
        <v>20</v>
      </c>
      <c r="E22" s="15">
        <v>89</v>
      </c>
      <c r="F22" s="15">
        <v>84</v>
      </c>
      <c r="G22" s="15">
        <v>69</v>
      </c>
      <c r="H22" s="15">
        <v>63</v>
      </c>
      <c r="I22" s="15">
        <v>65</v>
      </c>
      <c r="J22" s="15">
        <v>68</v>
      </c>
      <c r="K22" s="15">
        <v>67</v>
      </c>
      <c r="L22" s="15">
        <v>77</v>
      </c>
      <c r="M22" s="15">
        <v>84</v>
      </c>
      <c r="N22" s="15">
        <v>83</v>
      </c>
      <c r="O22" s="15">
        <v>86</v>
      </c>
      <c r="P22" s="193">
        <f t="shared" si="0"/>
        <v>835</v>
      </c>
      <c r="Q22" s="194">
        <f t="shared" si="1"/>
        <v>75.909090909090907</v>
      </c>
      <c r="R22" s="193">
        <f t="shared" si="2"/>
        <v>32</v>
      </c>
      <c r="S22" s="15"/>
      <c r="T22" s="15"/>
    </row>
    <row r="23" spans="1:20" ht="20.100000000000001" customHeight="1" thickBot="1" x14ac:dyDescent="0.3">
      <c r="A23" s="13">
        <v>20</v>
      </c>
      <c r="B23" s="140"/>
      <c r="C23" s="141">
        <v>15</v>
      </c>
      <c r="D23" s="141" t="s">
        <v>23</v>
      </c>
      <c r="E23" s="15">
        <v>73</v>
      </c>
      <c r="F23" s="15">
        <v>55</v>
      </c>
      <c r="G23" s="15">
        <v>61</v>
      </c>
      <c r="H23" s="15">
        <v>44</v>
      </c>
      <c r="I23" s="15">
        <v>42</v>
      </c>
      <c r="J23" s="15">
        <v>48</v>
      </c>
      <c r="K23" s="15">
        <v>45</v>
      </c>
      <c r="L23" s="15">
        <v>50</v>
      </c>
      <c r="M23" s="15">
        <v>53</v>
      </c>
      <c r="N23" s="15">
        <v>76</v>
      </c>
      <c r="O23" s="15">
        <v>80</v>
      </c>
      <c r="P23" s="193">
        <f t="shared" si="0"/>
        <v>627</v>
      </c>
      <c r="Q23" s="194">
        <f t="shared" si="1"/>
        <v>57</v>
      </c>
      <c r="R23" s="193">
        <f t="shared" si="2"/>
        <v>49</v>
      </c>
      <c r="S23" s="15"/>
      <c r="T23" s="15"/>
    </row>
    <row r="24" spans="1:20" ht="20.100000000000001" customHeight="1" thickBot="1" x14ac:dyDescent="0.3">
      <c r="A24" s="13">
        <v>21</v>
      </c>
      <c r="B24" s="140"/>
      <c r="C24" s="141">
        <v>15</v>
      </c>
      <c r="D24" s="141" t="s">
        <v>23</v>
      </c>
      <c r="E24" s="15">
        <v>90</v>
      </c>
      <c r="F24" s="15">
        <v>69</v>
      </c>
      <c r="G24" s="15">
        <v>74</v>
      </c>
      <c r="H24" s="15">
        <v>72</v>
      </c>
      <c r="I24" s="15">
        <v>74</v>
      </c>
      <c r="J24" s="15">
        <v>82</v>
      </c>
      <c r="K24" s="15">
        <v>74</v>
      </c>
      <c r="L24" s="15">
        <v>82</v>
      </c>
      <c r="M24" s="15">
        <v>79</v>
      </c>
      <c r="N24" s="15">
        <v>86</v>
      </c>
      <c r="O24" s="15">
        <v>95</v>
      </c>
      <c r="P24" s="193">
        <f t="shared" si="0"/>
        <v>877</v>
      </c>
      <c r="Q24" s="194">
        <f t="shared" si="1"/>
        <v>79.727272727272734</v>
      </c>
      <c r="R24" s="193">
        <f t="shared" si="2"/>
        <v>23</v>
      </c>
      <c r="S24" s="15"/>
      <c r="T24" s="15"/>
    </row>
    <row r="25" spans="1:20" ht="20.100000000000001" customHeight="1" thickBot="1" x14ac:dyDescent="0.3">
      <c r="A25" s="16">
        <v>22</v>
      </c>
      <c r="B25" s="140"/>
      <c r="C25" s="141">
        <v>15</v>
      </c>
      <c r="D25" s="141" t="s">
        <v>23</v>
      </c>
      <c r="E25" s="15">
        <v>78</v>
      </c>
      <c r="F25" s="15">
        <v>84</v>
      </c>
      <c r="G25" s="15">
        <v>49</v>
      </c>
      <c r="H25" s="15">
        <v>57</v>
      </c>
      <c r="I25" s="15">
        <v>47</v>
      </c>
      <c r="J25" s="15">
        <v>49</v>
      </c>
      <c r="K25" s="15">
        <v>64</v>
      </c>
      <c r="L25" s="15">
        <v>59</v>
      </c>
      <c r="M25" s="15">
        <v>85</v>
      </c>
      <c r="N25" s="15">
        <v>77</v>
      </c>
      <c r="O25" s="15">
        <v>86</v>
      </c>
      <c r="P25" s="193">
        <f t="shared" si="0"/>
        <v>735</v>
      </c>
      <c r="Q25" s="194">
        <f t="shared" si="1"/>
        <v>66.818181818181813</v>
      </c>
      <c r="R25" s="193">
        <f t="shared" si="2"/>
        <v>44</v>
      </c>
      <c r="S25" s="15"/>
      <c r="T25" s="15"/>
    </row>
    <row r="26" spans="1:20" ht="20.100000000000001" customHeight="1" thickBot="1" x14ac:dyDescent="0.3">
      <c r="A26" s="16">
        <v>23</v>
      </c>
      <c r="B26" s="140"/>
      <c r="C26" s="141">
        <v>14</v>
      </c>
      <c r="D26" s="141" t="s">
        <v>23</v>
      </c>
      <c r="E26" s="15">
        <v>85</v>
      </c>
      <c r="F26" s="15">
        <v>74</v>
      </c>
      <c r="G26" s="15">
        <v>91</v>
      </c>
      <c r="H26" s="15">
        <v>76</v>
      </c>
      <c r="I26" s="15">
        <v>79</v>
      </c>
      <c r="J26" s="15">
        <v>92</v>
      </c>
      <c r="K26" s="15">
        <v>81</v>
      </c>
      <c r="L26" s="15">
        <v>87</v>
      </c>
      <c r="M26" s="15">
        <v>82</v>
      </c>
      <c r="N26" s="15">
        <v>88</v>
      </c>
      <c r="O26" s="15">
        <v>93</v>
      </c>
      <c r="P26" s="193">
        <f t="shared" si="0"/>
        <v>928</v>
      </c>
      <c r="Q26" s="194">
        <f t="shared" si="1"/>
        <v>84.36363636363636</v>
      </c>
      <c r="R26" s="193">
        <f t="shared" si="2"/>
        <v>13</v>
      </c>
      <c r="S26" s="15"/>
      <c r="T26" s="15"/>
    </row>
    <row r="27" spans="1:20" ht="20.100000000000001" customHeight="1" thickBot="1" x14ac:dyDescent="0.3">
      <c r="A27" s="13">
        <v>24</v>
      </c>
      <c r="B27" s="140"/>
      <c r="C27" s="141">
        <v>15</v>
      </c>
      <c r="D27" s="141" t="s">
        <v>23</v>
      </c>
      <c r="E27" s="15">
        <v>78</v>
      </c>
      <c r="F27" s="15">
        <v>70</v>
      </c>
      <c r="G27" s="15">
        <v>62</v>
      </c>
      <c r="H27" s="15">
        <v>64</v>
      </c>
      <c r="I27" s="15">
        <v>57</v>
      </c>
      <c r="J27" s="15">
        <v>72</v>
      </c>
      <c r="K27" s="15">
        <v>73</v>
      </c>
      <c r="L27" s="15">
        <v>72</v>
      </c>
      <c r="M27" s="15">
        <v>83</v>
      </c>
      <c r="N27" s="15">
        <v>83</v>
      </c>
      <c r="O27" s="15">
        <v>86</v>
      </c>
      <c r="P27" s="193">
        <f t="shared" si="0"/>
        <v>800</v>
      </c>
      <c r="Q27" s="194">
        <f t="shared" si="1"/>
        <v>72.727272727272734</v>
      </c>
      <c r="R27" s="193">
        <f t="shared" si="2"/>
        <v>34</v>
      </c>
      <c r="S27" s="15"/>
      <c r="T27" s="15"/>
    </row>
    <row r="28" spans="1:20" ht="20.100000000000001" customHeight="1" thickBot="1" x14ac:dyDescent="0.3">
      <c r="A28" s="16">
        <v>25</v>
      </c>
      <c r="B28" s="140"/>
      <c r="C28" s="141">
        <v>15</v>
      </c>
      <c r="D28" s="141" t="s">
        <v>20</v>
      </c>
      <c r="E28" s="15">
        <v>87</v>
      </c>
      <c r="F28" s="15">
        <v>81</v>
      </c>
      <c r="G28" s="15">
        <v>73</v>
      </c>
      <c r="H28" s="15">
        <v>72</v>
      </c>
      <c r="I28" s="15">
        <v>66</v>
      </c>
      <c r="J28" s="15">
        <v>89</v>
      </c>
      <c r="K28" s="15">
        <v>82</v>
      </c>
      <c r="L28" s="15">
        <v>69</v>
      </c>
      <c r="M28" s="15">
        <v>92</v>
      </c>
      <c r="N28" s="15">
        <v>87</v>
      </c>
      <c r="O28" s="15">
        <v>92</v>
      </c>
      <c r="P28" s="193">
        <f t="shared" si="0"/>
        <v>890</v>
      </c>
      <c r="Q28" s="194">
        <f t="shared" si="1"/>
        <v>80.909090909090907</v>
      </c>
      <c r="R28" s="193">
        <f t="shared" si="2"/>
        <v>21</v>
      </c>
      <c r="S28" s="15"/>
      <c r="T28" s="15"/>
    </row>
    <row r="29" spans="1:20" ht="20.100000000000001" customHeight="1" thickBot="1" x14ac:dyDescent="0.3">
      <c r="A29" s="13">
        <v>26</v>
      </c>
      <c r="B29" s="140"/>
      <c r="C29" s="141">
        <v>14</v>
      </c>
      <c r="D29" s="141" t="s">
        <v>23</v>
      </c>
      <c r="E29" s="15">
        <v>92</v>
      </c>
      <c r="F29" s="15">
        <v>84</v>
      </c>
      <c r="G29" s="15">
        <v>86</v>
      </c>
      <c r="H29" s="15">
        <v>93</v>
      </c>
      <c r="I29" s="15">
        <v>83</v>
      </c>
      <c r="J29" s="15">
        <v>98</v>
      </c>
      <c r="K29" s="15">
        <v>87</v>
      </c>
      <c r="L29" s="15">
        <v>93</v>
      </c>
      <c r="M29" s="15">
        <v>100</v>
      </c>
      <c r="N29" s="15">
        <v>97</v>
      </c>
      <c r="O29" s="15">
        <v>97</v>
      </c>
      <c r="P29" s="193">
        <f t="shared" si="0"/>
        <v>1010</v>
      </c>
      <c r="Q29" s="194">
        <f t="shared" si="1"/>
        <v>91.818181818181813</v>
      </c>
      <c r="R29" s="193">
        <f t="shared" si="2"/>
        <v>6</v>
      </c>
      <c r="S29" s="15"/>
      <c r="T29" s="15"/>
    </row>
    <row r="30" spans="1:20" ht="20.100000000000001" customHeight="1" thickBot="1" x14ac:dyDescent="0.3">
      <c r="A30" s="13">
        <v>27</v>
      </c>
      <c r="B30" s="140"/>
      <c r="C30" s="141">
        <v>14</v>
      </c>
      <c r="D30" s="141" t="s">
        <v>23</v>
      </c>
      <c r="E30" s="15">
        <v>93</v>
      </c>
      <c r="F30" s="15">
        <v>70</v>
      </c>
      <c r="G30" s="15">
        <v>70</v>
      </c>
      <c r="H30" s="15">
        <v>60</v>
      </c>
      <c r="I30" s="15">
        <v>69</v>
      </c>
      <c r="J30" s="15">
        <v>85</v>
      </c>
      <c r="K30" s="15">
        <v>72</v>
      </c>
      <c r="L30" s="15">
        <v>80</v>
      </c>
      <c r="M30" s="15">
        <v>90</v>
      </c>
      <c r="N30" s="15">
        <v>87</v>
      </c>
      <c r="O30" s="15">
        <v>97</v>
      </c>
      <c r="P30" s="193">
        <f t="shared" si="0"/>
        <v>873</v>
      </c>
      <c r="Q30" s="194">
        <f t="shared" si="1"/>
        <v>79.36363636363636</v>
      </c>
      <c r="R30" s="193">
        <f t="shared" si="2"/>
        <v>24</v>
      </c>
      <c r="S30" s="15"/>
      <c r="T30" s="15"/>
    </row>
    <row r="31" spans="1:20" ht="20.100000000000001" customHeight="1" thickBot="1" x14ac:dyDescent="0.3">
      <c r="A31" s="13">
        <v>28</v>
      </c>
      <c r="B31" s="140"/>
      <c r="C31" s="141">
        <v>14</v>
      </c>
      <c r="D31" s="141" t="s">
        <v>23</v>
      </c>
      <c r="E31" s="230"/>
      <c r="F31" s="230"/>
      <c r="G31" s="230"/>
      <c r="H31" s="230"/>
      <c r="I31" s="230"/>
      <c r="J31" s="230"/>
      <c r="K31" s="230"/>
      <c r="L31" s="230"/>
      <c r="M31" s="230"/>
      <c r="N31" s="230"/>
      <c r="O31" s="230"/>
      <c r="P31" s="193">
        <f t="shared" si="0"/>
        <v>0</v>
      </c>
      <c r="Q31" s="194"/>
      <c r="R31" s="193"/>
      <c r="S31" s="15"/>
      <c r="T31" s="15"/>
    </row>
    <row r="32" spans="1:20" ht="20.100000000000001" customHeight="1" thickBot="1" x14ac:dyDescent="0.3">
      <c r="A32" s="16">
        <v>29</v>
      </c>
      <c r="B32" s="140"/>
      <c r="C32" s="141">
        <v>14</v>
      </c>
      <c r="D32" s="141" t="s">
        <v>23</v>
      </c>
      <c r="E32" s="15">
        <v>95</v>
      </c>
      <c r="F32" s="15">
        <v>89</v>
      </c>
      <c r="G32" s="15">
        <v>94</v>
      </c>
      <c r="H32" s="15">
        <v>88</v>
      </c>
      <c r="I32" s="15">
        <v>88</v>
      </c>
      <c r="J32" s="15">
        <v>98</v>
      </c>
      <c r="K32" s="15">
        <v>93</v>
      </c>
      <c r="L32" s="15">
        <v>95</v>
      </c>
      <c r="M32" s="15">
        <v>97</v>
      </c>
      <c r="N32" s="15">
        <v>95</v>
      </c>
      <c r="O32" s="15">
        <v>98</v>
      </c>
      <c r="P32" s="193">
        <f t="shared" si="0"/>
        <v>1030</v>
      </c>
      <c r="Q32" s="194">
        <f t="shared" si="1"/>
        <v>93.63636363636364</v>
      </c>
      <c r="R32" s="193">
        <f t="shared" si="2"/>
        <v>3</v>
      </c>
      <c r="S32" s="15"/>
      <c r="T32" s="15"/>
    </row>
    <row r="33" spans="1:20" ht="20.100000000000001" customHeight="1" thickBot="1" x14ac:dyDescent="0.3">
      <c r="A33" s="13">
        <v>30</v>
      </c>
      <c r="B33" s="140"/>
      <c r="C33" s="141">
        <v>14</v>
      </c>
      <c r="D33" s="141" t="s">
        <v>20</v>
      </c>
      <c r="E33" s="15">
        <v>83</v>
      </c>
      <c r="F33" s="15">
        <v>89</v>
      </c>
      <c r="G33" s="15">
        <v>72</v>
      </c>
      <c r="H33" s="15">
        <v>59</v>
      </c>
      <c r="I33" s="15">
        <v>66</v>
      </c>
      <c r="J33" s="15">
        <v>77</v>
      </c>
      <c r="K33" s="15">
        <v>74</v>
      </c>
      <c r="L33" s="15">
        <v>70</v>
      </c>
      <c r="M33" s="15">
        <v>82</v>
      </c>
      <c r="N33" s="15">
        <v>94</v>
      </c>
      <c r="O33" s="15">
        <v>85</v>
      </c>
      <c r="P33" s="193">
        <f t="shared" si="0"/>
        <v>851</v>
      </c>
      <c r="Q33" s="194">
        <f t="shared" si="1"/>
        <v>77.36363636363636</v>
      </c>
      <c r="R33" s="193">
        <f t="shared" si="2"/>
        <v>27</v>
      </c>
      <c r="S33" s="15"/>
      <c r="T33" s="15"/>
    </row>
    <row r="34" spans="1:20" ht="20.100000000000001" customHeight="1" thickBot="1" x14ac:dyDescent="0.3">
      <c r="A34" s="16">
        <v>31</v>
      </c>
      <c r="B34" s="140"/>
      <c r="C34" s="141">
        <v>15</v>
      </c>
      <c r="D34" s="141" t="s">
        <v>23</v>
      </c>
      <c r="E34" s="15">
        <v>87</v>
      </c>
      <c r="F34" s="15">
        <v>58</v>
      </c>
      <c r="G34" s="15">
        <v>72</v>
      </c>
      <c r="H34" s="15">
        <v>71</v>
      </c>
      <c r="I34" s="15">
        <v>69</v>
      </c>
      <c r="J34" s="15">
        <v>75</v>
      </c>
      <c r="K34" s="15">
        <v>73</v>
      </c>
      <c r="L34" s="15">
        <v>86</v>
      </c>
      <c r="M34" s="15">
        <v>73</v>
      </c>
      <c r="N34" s="15">
        <v>88</v>
      </c>
      <c r="O34" s="15">
        <v>93</v>
      </c>
      <c r="P34" s="193">
        <f t="shared" si="0"/>
        <v>845</v>
      </c>
      <c r="Q34" s="194">
        <f t="shared" si="1"/>
        <v>76.818181818181813</v>
      </c>
      <c r="R34" s="193">
        <f t="shared" si="2"/>
        <v>29</v>
      </c>
      <c r="S34" s="15"/>
      <c r="T34" s="15"/>
    </row>
    <row r="35" spans="1:20" ht="20.100000000000001" customHeight="1" thickBot="1" x14ac:dyDescent="0.3">
      <c r="A35" s="16">
        <v>32</v>
      </c>
      <c r="B35" s="140"/>
      <c r="C35" s="141">
        <v>15</v>
      </c>
      <c r="D35" s="141" t="s">
        <v>23</v>
      </c>
      <c r="E35" s="15">
        <v>85</v>
      </c>
      <c r="F35" s="15">
        <v>80</v>
      </c>
      <c r="G35" s="15">
        <v>68</v>
      </c>
      <c r="H35" s="15">
        <v>51</v>
      </c>
      <c r="I35" s="15">
        <v>61</v>
      </c>
      <c r="J35" s="15">
        <v>61</v>
      </c>
      <c r="K35" s="15">
        <v>87</v>
      </c>
      <c r="L35" s="15">
        <v>90</v>
      </c>
      <c r="M35" s="15">
        <v>93</v>
      </c>
      <c r="N35" s="15">
        <v>95</v>
      </c>
      <c r="O35" s="15">
        <v>92</v>
      </c>
      <c r="P35" s="193">
        <f t="shared" si="0"/>
        <v>863</v>
      </c>
      <c r="Q35" s="194">
        <f t="shared" si="1"/>
        <v>78.454545454545453</v>
      </c>
      <c r="R35" s="193">
        <f t="shared" si="2"/>
        <v>25</v>
      </c>
      <c r="S35" s="15"/>
      <c r="T35" s="15"/>
    </row>
    <row r="36" spans="1:20" ht="20.100000000000001" customHeight="1" thickBot="1" x14ac:dyDescent="0.3">
      <c r="A36" s="16">
        <v>33</v>
      </c>
      <c r="B36" s="140"/>
      <c r="C36" s="141">
        <v>15</v>
      </c>
      <c r="D36" s="141" t="s">
        <v>20</v>
      </c>
      <c r="E36" s="15">
        <v>80</v>
      </c>
      <c r="F36" s="15">
        <v>75</v>
      </c>
      <c r="G36" s="15">
        <v>64</v>
      </c>
      <c r="H36" s="15">
        <v>65</v>
      </c>
      <c r="I36" s="15">
        <v>53</v>
      </c>
      <c r="J36" s="15">
        <v>73</v>
      </c>
      <c r="K36" s="15">
        <v>65</v>
      </c>
      <c r="L36" s="15">
        <v>61</v>
      </c>
      <c r="M36" s="15">
        <v>80</v>
      </c>
      <c r="N36" s="15">
        <v>77</v>
      </c>
      <c r="O36" s="15">
        <v>82</v>
      </c>
      <c r="P36" s="193">
        <f t="shared" si="0"/>
        <v>775</v>
      </c>
      <c r="Q36" s="194">
        <f t="shared" si="1"/>
        <v>70.454545454545453</v>
      </c>
      <c r="R36" s="193">
        <f t="shared" si="2"/>
        <v>40</v>
      </c>
      <c r="S36" s="15"/>
      <c r="T36" s="15"/>
    </row>
    <row r="37" spans="1:20" ht="20.100000000000001" customHeight="1" thickBot="1" x14ac:dyDescent="0.3">
      <c r="A37" s="13">
        <v>34</v>
      </c>
      <c r="B37" s="140"/>
      <c r="C37" s="141">
        <v>15</v>
      </c>
      <c r="D37" s="141" t="s">
        <v>20</v>
      </c>
      <c r="E37" s="15">
        <v>83</v>
      </c>
      <c r="F37" s="15">
        <v>83</v>
      </c>
      <c r="G37" s="15">
        <v>84</v>
      </c>
      <c r="H37" s="15">
        <v>81</v>
      </c>
      <c r="I37" s="15">
        <v>85</v>
      </c>
      <c r="J37" s="15">
        <v>90</v>
      </c>
      <c r="K37" s="15">
        <v>85</v>
      </c>
      <c r="L37" s="15">
        <v>78</v>
      </c>
      <c r="M37" s="15">
        <v>95</v>
      </c>
      <c r="N37" s="15">
        <v>87</v>
      </c>
      <c r="O37" s="15">
        <v>96</v>
      </c>
      <c r="P37" s="193">
        <f t="shared" si="0"/>
        <v>947</v>
      </c>
      <c r="Q37" s="194">
        <f t="shared" si="1"/>
        <v>86.090909090909093</v>
      </c>
      <c r="R37" s="193">
        <f t="shared" si="2"/>
        <v>10</v>
      </c>
      <c r="S37" s="15"/>
      <c r="T37" s="15"/>
    </row>
    <row r="38" spans="1:20" ht="20.100000000000001" customHeight="1" thickBot="1" x14ac:dyDescent="0.3">
      <c r="A38" s="13">
        <v>35</v>
      </c>
      <c r="B38" s="140"/>
      <c r="C38" s="141">
        <v>14</v>
      </c>
      <c r="D38" s="141" t="s">
        <v>20</v>
      </c>
      <c r="E38" s="15">
        <v>76</v>
      </c>
      <c r="F38" s="15">
        <v>84</v>
      </c>
      <c r="G38" s="15">
        <v>88</v>
      </c>
      <c r="H38" s="15">
        <v>83</v>
      </c>
      <c r="I38" s="15">
        <v>80</v>
      </c>
      <c r="J38" s="15">
        <v>91</v>
      </c>
      <c r="K38" s="15">
        <v>83</v>
      </c>
      <c r="L38" s="15">
        <v>81</v>
      </c>
      <c r="M38" s="15">
        <v>90</v>
      </c>
      <c r="N38" s="15">
        <v>85</v>
      </c>
      <c r="O38" s="15">
        <v>93</v>
      </c>
      <c r="P38" s="193">
        <f t="shared" si="0"/>
        <v>934</v>
      </c>
      <c r="Q38" s="194">
        <f t="shared" si="1"/>
        <v>84.909090909090907</v>
      </c>
      <c r="R38" s="193">
        <f t="shared" si="2"/>
        <v>11</v>
      </c>
      <c r="S38" s="15"/>
      <c r="T38" s="15"/>
    </row>
    <row r="39" spans="1:20" ht="20.100000000000001" customHeight="1" thickBot="1" x14ac:dyDescent="0.3">
      <c r="A39" s="13">
        <v>36</v>
      </c>
      <c r="B39" s="140"/>
      <c r="C39" s="141">
        <v>14</v>
      </c>
      <c r="D39" s="141" t="s">
        <v>20</v>
      </c>
      <c r="E39" s="15">
        <v>80</v>
      </c>
      <c r="F39" s="15">
        <v>71</v>
      </c>
      <c r="G39" s="15">
        <v>92</v>
      </c>
      <c r="H39" s="15">
        <v>76</v>
      </c>
      <c r="I39" s="15">
        <v>79</v>
      </c>
      <c r="J39" s="15">
        <v>95</v>
      </c>
      <c r="K39" s="15">
        <v>81</v>
      </c>
      <c r="L39" s="15">
        <v>78</v>
      </c>
      <c r="M39" s="15">
        <v>75</v>
      </c>
      <c r="N39" s="15">
        <v>84</v>
      </c>
      <c r="O39" s="15">
        <v>85</v>
      </c>
      <c r="P39" s="193">
        <f t="shared" si="0"/>
        <v>896</v>
      </c>
      <c r="Q39" s="194">
        <f t="shared" si="1"/>
        <v>81.454545454545453</v>
      </c>
      <c r="R39" s="193">
        <f t="shared" si="2"/>
        <v>19</v>
      </c>
      <c r="S39" s="15"/>
      <c r="T39" s="15"/>
    </row>
    <row r="40" spans="1:20" ht="20.100000000000001" customHeight="1" thickBot="1" x14ac:dyDescent="0.3">
      <c r="A40" s="16">
        <v>37</v>
      </c>
      <c r="B40" s="140"/>
      <c r="C40" s="141">
        <v>15</v>
      </c>
      <c r="D40" s="141" t="s">
        <v>23</v>
      </c>
      <c r="E40" s="15">
        <v>90</v>
      </c>
      <c r="F40" s="15">
        <v>86</v>
      </c>
      <c r="G40" s="15">
        <v>96</v>
      </c>
      <c r="H40" s="15">
        <v>92</v>
      </c>
      <c r="I40" s="15">
        <v>83</v>
      </c>
      <c r="J40" s="15">
        <v>98</v>
      </c>
      <c r="K40" s="15">
        <v>88</v>
      </c>
      <c r="L40" s="15">
        <v>89</v>
      </c>
      <c r="M40" s="15">
        <v>97</v>
      </c>
      <c r="N40" s="15">
        <v>93</v>
      </c>
      <c r="O40" s="15">
        <v>98</v>
      </c>
      <c r="P40" s="193">
        <f t="shared" si="0"/>
        <v>1010</v>
      </c>
      <c r="Q40" s="194">
        <f t="shared" si="1"/>
        <v>91.818181818181813</v>
      </c>
      <c r="R40" s="193">
        <f t="shared" si="2"/>
        <v>6</v>
      </c>
      <c r="S40" s="15"/>
      <c r="T40" s="15"/>
    </row>
    <row r="41" spans="1:20" ht="20.100000000000001" customHeight="1" thickBot="1" x14ac:dyDescent="0.3">
      <c r="A41" s="16">
        <v>38</v>
      </c>
      <c r="B41" s="140"/>
      <c r="C41" s="141">
        <v>14</v>
      </c>
      <c r="D41" s="141" t="s">
        <v>20</v>
      </c>
      <c r="E41" s="15">
        <v>93</v>
      </c>
      <c r="F41" s="15">
        <v>77</v>
      </c>
      <c r="G41" s="15">
        <v>83</v>
      </c>
      <c r="H41" s="15">
        <v>70</v>
      </c>
      <c r="I41" s="15">
        <v>76</v>
      </c>
      <c r="J41" s="15">
        <v>75</v>
      </c>
      <c r="K41" s="15">
        <v>74</v>
      </c>
      <c r="L41" s="15">
        <v>79</v>
      </c>
      <c r="M41" s="15">
        <v>81</v>
      </c>
      <c r="N41" s="15">
        <v>97</v>
      </c>
      <c r="O41" s="15">
        <v>100</v>
      </c>
      <c r="P41" s="193">
        <f t="shared" si="0"/>
        <v>905</v>
      </c>
      <c r="Q41" s="194">
        <f t="shared" si="1"/>
        <v>82.272727272727266</v>
      </c>
      <c r="R41" s="193">
        <f t="shared" si="2"/>
        <v>17</v>
      </c>
      <c r="S41" s="15"/>
      <c r="T41" s="15"/>
    </row>
    <row r="42" spans="1:20" ht="20.100000000000001" customHeight="1" thickBot="1" x14ac:dyDescent="0.3">
      <c r="A42" s="13">
        <v>39</v>
      </c>
      <c r="B42" s="140"/>
      <c r="C42" s="141">
        <v>14</v>
      </c>
      <c r="D42" s="141" t="s">
        <v>23</v>
      </c>
      <c r="E42" s="15">
        <v>94</v>
      </c>
      <c r="F42" s="15">
        <v>82</v>
      </c>
      <c r="G42" s="15">
        <v>91</v>
      </c>
      <c r="H42" s="15">
        <v>93</v>
      </c>
      <c r="I42" s="15">
        <v>87</v>
      </c>
      <c r="J42" s="15">
        <v>96</v>
      </c>
      <c r="K42" s="15">
        <v>90</v>
      </c>
      <c r="L42" s="15">
        <v>97</v>
      </c>
      <c r="M42" s="15">
        <v>94</v>
      </c>
      <c r="N42" s="15">
        <v>95</v>
      </c>
      <c r="O42" s="15">
        <v>98</v>
      </c>
      <c r="P42" s="193">
        <f t="shared" si="0"/>
        <v>1017</v>
      </c>
      <c r="Q42" s="194">
        <f t="shared" si="1"/>
        <v>92.454545454545453</v>
      </c>
      <c r="R42" s="193">
        <f t="shared" si="2"/>
        <v>5</v>
      </c>
      <c r="S42" s="15"/>
      <c r="T42" s="15"/>
    </row>
    <row r="43" spans="1:20" ht="20.100000000000001" customHeight="1" thickBot="1" x14ac:dyDescent="0.3">
      <c r="A43" s="16">
        <v>40</v>
      </c>
      <c r="B43" s="140"/>
      <c r="C43" s="141">
        <v>15</v>
      </c>
      <c r="D43" s="141" t="s">
        <v>23</v>
      </c>
      <c r="E43" s="15">
        <v>77</v>
      </c>
      <c r="F43" s="15">
        <v>78</v>
      </c>
      <c r="G43" s="15">
        <v>50</v>
      </c>
      <c r="H43" s="15">
        <v>51</v>
      </c>
      <c r="I43" s="15">
        <v>50</v>
      </c>
      <c r="J43" s="15">
        <v>47</v>
      </c>
      <c r="K43" s="15">
        <v>57</v>
      </c>
      <c r="L43" s="15">
        <v>57</v>
      </c>
      <c r="M43" s="15">
        <v>80</v>
      </c>
      <c r="N43" s="15">
        <v>71</v>
      </c>
      <c r="O43" s="15">
        <v>80</v>
      </c>
      <c r="P43" s="193">
        <f t="shared" si="0"/>
        <v>698</v>
      </c>
      <c r="Q43" s="194">
        <f t="shared" si="1"/>
        <v>63.454545454545453</v>
      </c>
      <c r="R43" s="193">
        <f t="shared" si="2"/>
        <v>47</v>
      </c>
      <c r="S43" s="15"/>
      <c r="T43" s="15"/>
    </row>
    <row r="44" spans="1:20" ht="20.100000000000001" customHeight="1" thickBot="1" x14ac:dyDescent="0.3">
      <c r="A44" s="13">
        <v>41</v>
      </c>
      <c r="B44" s="140"/>
      <c r="C44" s="141">
        <v>14</v>
      </c>
      <c r="D44" s="141" t="s">
        <v>23</v>
      </c>
      <c r="E44" s="15">
        <v>79</v>
      </c>
      <c r="F44" s="15">
        <v>58</v>
      </c>
      <c r="G44" s="15">
        <v>53</v>
      </c>
      <c r="H44" s="15">
        <v>53</v>
      </c>
      <c r="I44" s="15">
        <v>60</v>
      </c>
      <c r="J44" s="15">
        <v>60</v>
      </c>
      <c r="K44" s="15">
        <v>60</v>
      </c>
      <c r="L44" s="15">
        <v>68</v>
      </c>
      <c r="M44" s="15">
        <v>52</v>
      </c>
      <c r="N44" s="15">
        <v>80</v>
      </c>
      <c r="O44" s="15">
        <v>88</v>
      </c>
      <c r="P44" s="193">
        <f t="shared" si="0"/>
        <v>711</v>
      </c>
      <c r="Q44" s="194">
        <f t="shared" si="1"/>
        <v>64.63636363636364</v>
      </c>
      <c r="R44" s="193">
        <f t="shared" si="2"/>
        <v>45</v>
      </c>
      <c r="S44" s="15"/>
      <c r="T44" s="15"/>
    </row>
    <row r="45" spans="1:20" ht="20.100000000000001" customHeight="1" thickBot="1" x14ac:dyDescent="0.3">
      <c r="A45" s="13">
        <v>42</v>
      </c>
      <c r="B45" s="140"/>
      <c r="C45" s="141">
        <v>15</v>
      </c>
      <c r="D45" s="141" t="s">
        <v>23</v>
      </c>
      <c r="E45" s="15">
        <v>75</v>
      </c>
      <c r="F45" s="15">
        <v>71</v>
      </c>
      <c r="G45" s="15">
        <v>36</v>
      </c>
      <c r="H45" s="15">
        <v>61</v>
      </c>
      <c r="I45" s="15">
        <v>46</v>
      </c>
      <c r="J45" s="15">
        <v>40</v>
      </c>
      <c r="K45" s="15">
        <v>57</v>
      </c>
      <c r="L45" s="15">
        <v>38</v>
      </c>
      <c r="M45" s="15">
        <v>70</v>
      </c>
      <c r="N45" s="15">
        <v>63</v>
      </c>
      <c r="O45" s="15">
        <v>60</v>
      </c>
      <c r="P45" s="193">
        <f t="shared" si="0"/>
        <v>617</v>
      </c>
      <c r="Q45" s="194">
        <f t="shared" si="1"/>
        <v>56.090909090909093</v>
      </c>
      <c r="R45" s="193">
        <f t="shared" si="2"/>
        <v>51</v>
      </c>
      <c r="S45" s="15"/>
      <c r="T45" s="15"/>
    </row>
    <row r="46" spans="1:20" ht="20.100000000000001" customHeight="1" thickBot="1" x14ac:dyDescent="0.3">
      <c r="A46" s="13">
        <v>43</v>
      </c>
      <c r="B46" s="140"/>
      <c r="C46" s="141">
        <v>14</v>
      </c>
      <c r="D46" s="141" t="s">
        <v>23</v>
      </c>
      <c r="E46" s="15">
        <v>90</v>
      </c>
      <c r="F46" s="15">
        <v>70</v>
      </c>
      <c r="G46" s="15">
        <v>65</v>
      </c>
      <c r="H46" s="15">
        <v>65</v>
      </c>
      <c r="I46" s="15">
        <v>59</v>
      </c>
      <c r="J46" s="15">
        <v>88</v>
      </c>
      <c r="K46" s="15">
        <v>65</v>
      </c>
      <c r="L46" s="15">
        <v>84</v>
      </c>
      <c r="M46" s="15">
        <v>83</v>
      </c>
      <c r="N46" s="15">
        <v>89</v>
      </c>
      <c r="O46" s="15">
        <v>91</v>
      </c>
      <c r="P46" s="193">
        <f t="shared" si="0"/>
        <v>849</v>
      </c>
      <c r="Q46" s="194">
        <f t="shared" si="1"/>
        <v>77.181818181818187</v>
      </c>
      <c r="R46" s="193">
        <f t="shared" si="2"/>
        <v>28</v>
      </c>
      <c r="S46" s="15"/>
      <c r="T46" s="15"/>
    </row>
    <row r="47" spans="1:20" ht="20.100000000000001" customHeight="1" thickBot="1" x14ac:dyDescent="0.3">
      <c r="A47" s="16">
        <v>44</v>
      </c>
      <c r="B47" s="140"/>
      <c r="C47" s="141">
        <v>15</v>
      </c>
      <c r="D47" s="141" t="s">
        <v>23</v>
      </c>
      <c r="E47" s="15">
        <v>87</v>
      </c>
      <c r="F47" s="15">
        <v>83</v>
      </c>
      <c r="G47" s="15">
        <v>90</v>
      </c>
      <c r="H47" s="15">
        <v>88</v>
      </c>
      <c r="I47" s="15">
        <v>88</v>
      </c>
      <c r="J47" s="15">
        <v>91</v>
      </c>
      <c r="K47" s="15">
        <v>90</v>
      </c>
      <c r="L47" s="15">
        <v>86</v>
      </c>
      <c r="M47" s="15">
        <v>93</v>
      </c>
      <c r="N47" s="15">
        <v>95</v>
      </c>
      <c r="O47" s="15">
        <v>100</v>
      </c>
      <c r="P47" s="193">
        <f t="shared" si="0"/>
        <v>991</v>
      </c>
      <c r="Q47" s="194">
        <f t="shared" si="1"/>
        <v>90.090909090909093</v>
      </c>
      <c r="R47" s="193">
        <f t="shared" si="2"/>
        <v>8</v>
      </c>
      <c r="S47" s="15"/>
      <c r="T47" s="15"/>
    </row>
    <row r="48" spans="1:20" ht="20.100000000000001" customHeight="1" thickBot="1" x14ac:dyDescent="0.3">
      <c r="A48" s="13">
        <v>45</v>
      </c>
      <c r="B48" s="140"/>
      <c r="C48" s="141">
        <v>15</v>
      </c>
      <c r="D48" s="141" t="s">
        <v>20</v>
      </c>
      <c r="E48" s="15">
        <v>86</v>
      </c>
      <c r="F48" s="15">
        <v>69</v>
      </c>
      <c r="G48" s="15">
        <v>71</v>
      </c>
      <c r="H48" s="15">
        <v>72</v>
      </c>
      <c r="I48" s="15">
        <v>79</v>
      </c>
      <c r="J48" s="15">
        <v>72</v>
      </c>
      <c r="K48" s="15">
        <v>81</v>
      </c>
      <c r="L48" s="15">
        <v>79</v>
      </c>
      <c r="M48" s="15">
        <v>86</v>
      </c>
      <c r="N48" s="15">
        <v>91</v>
      </c>
      <c r="O48" s="15">
        <v>97</v>
      </c>
      <c r="P48" s="193">
        <f t="shared" si="0"/>
        <v>883</v>
      </c>
      <c r="Q48" s="194">
        <f t="shared" si="1"/>
        <v>80.272727272727266</v>
      </c>
      <c r="R48" s="193">
        <f t="shared" si="2"/>
        <v>22</v>
      </c>
      <c r="S48" s="15"/>
      <c r="T48" s="15"/>
    </row>
    <row r="49" spans="1:20" ht="20.100000000000001" customHeight="1" thickBot="1" x14ac:dyDescent="0.3">
      <c r="A49" s="16">
        <v>46</v>
      </c>
      <c r="B49" s="140"/>
      <c r="C49" s="141">
        <v>14</v>
      </c>
      <c r="D49" s="141" t="s">
        <v>20</v>
      </c>
      <c r="E49" s="15">
        <v>81</v>
      </c>
      <c r="F49" s="15">
        <v>88</v>
      </c>
      <c r="G49" s="15">
        <v>54</v>
      </c>
      <c r="H49" s="15">
        <v>53</v>
      </c>
      <c r="I49" s="15">
        <v>64</v>
      </c>
      <c r="J49" s="15">
        <v>48</v>
      </c>
      <c r="K49" s="15">
        <v>66</v>
      </c>
      <c r="L49" s="15">
        <v>55</v>
      </c>
      <c r="M49" s="15">
        <v>88</v>
      </c>
      <c r="N49" s="15">
        <v>86</v>
      </c>
      <c r="O49" s="15">
        <v>96</v>
      </c>
      <c r="P49" s="193">
        <f t="shared" si="0"/>
        <v>779</v>
      </c>
      <c r="Q49" s="194">
        <f t="shared" si="1"/>
        <v>70.818181818181813</v>
      </c>
      <c r="R49" s="193">
        <f t="shared" si="2"/>
        <v>38</v>
      </c>
      <c r="S49" s="15"/>
      <c r="T49" s="15"/>
    </row>
    <row r="50" spans="1:20" ht="20.100000000000001" customHeight="1" thickBot="1" x14ac:dyDescent="0.3">
      <c r="A50" s="16">
        <v>47</v>
      </c>
      <c r="B50" s="140"/>
      <c r="C50" s="141">
        <v>14</v>
      </c>
      <c r="D50" s="141" t="s">
        <v>23</v>
      </c>
      <c r="E50" s="15">
        <v>89</v>
      </c>
      <c r="F50" s="15">
        <v>67</v>
      </c>
      <c r="G50" s="15">
        <v>59</v>
      </c>
      <c r="H50" s="15">
        <v>61</v>
      </c>
      <c r="I50" s="15">
        <v>64</v>
      </c>
      <c r="J50" s="15">
        <v>82</v>
      </c>
      <c r="K50" s="15">
        <v>79</v>
      </c>
      <c r="L50" s="15">
        <v>80</v>
      </c>
      <c r="M50" s="15">
        <v>85</v>
      </c>
      <c r="N50" s="15">
        <v>83</v>
      </c>
      <c r="O50" s="15">
        <v>87</v>
      </c>
      <c r="P50" s="193">
        <f t="shared" si="0"/>
        <v>836</v>
      </c>
      <c r="Q50" s="194">
        <f t="shared" si="1"/>
        <v>76</v>
      </c>
      <c r="R50" s="193">
        <f t="shared" si="2"/>
        <v>31</v>
      </c>
      <c r="S50" s="15"/>
      <c r="T50" s="15"/>
    </row>
    <row r="51" spans="1:20" ht="20.100000000000001" customHeight="1" thickBot="1" x14ac:dyDescent="0.3">
      <c r="A51" s="16">
        <v>48</v>
      </c>
      <c r="B51" s="140"/>
      <c r="C51" s="141">
        <v>15</v>
      </c>
      <c r="D51" s="141" t="s">
        <v>23</v>
      </c>
      <c r="E51" s="15">
        <v>84</v>
      </c>
      <c r="F51" s="15">
        <v>60</v>
      </c>
      <c r="G51" s="15">
        <v>40</v>
      </c>
      <c r="H51" s="15">
        <v>46</v>
      </c>
      <c r="I51" s="15">
        <v>41</v>
      </c>
      <c r="J51" s="15">
        <v>45</v>
      </c>
      <c r="K51" s="15">
        <v>54</v>
      </c>
      <c r="L51" s="15">
        <v>55</v>
      </c>
      <c r="M51" s="15">
        <v>60</v>
      </c>
      <c r="N51" s="15">
        <v>70</v>
      </c>
      <c r="O51" s="15">
        <v>70</v>
      </c>
      <c r="P51" s="193">
        <f t="shared" si="0"/>
        <v>625</v>
      </c>
      <c r="Q51" s="194">
        <f t="shared" si="1"/>
        <v>56.81818181818182</v>
      </c>
      <c r="R51" s="193">
        <f t="shared" si="2"/>
        <v>50</v>
      </c>
      <c r="S51" s="15"/>
      <c r="T51" s="15"/>
    </row>
    <row r="52" spans="1:20" ht="19.5" customHeight="1" thickBot="1" x14ac:dyDescent="0.3">
      <c r="A52" s="13">
        <v>49</v>
      </c>
      <c r="B52" s="140"/>
      <c r="C52" s="141">
        <v>14</v>
      </c>
      <c r="D52" s="141" t="s">
        <v>23</v>
      </c>
      <c r="E52" s="15">
        <v>99</v>
      </c>
      <c r="F52" s="15">
        <v>97</v>
      </c>
      <c r="G52" s="15">
        <v>99</v>
      </c>
      <c r="H52" s="15">
        <v>100</v>
      </c>
      <c r="I52" s="15">
        <v>97</v>
      </c>
      <c r="J52" s="15">
        <v>100</v>
      </c>
      <c r="K52" s="15">
        <v>100</v>
      </c>
      <c r="L52" s="15">
        <v>98</v>
      </c>
      <c r="M52" s="15">
        <v>100</v>
      </c>
      <c r="N52" s="15">
        <v>100</v>
      </c>
      <c r="O52" s="15">
        <v>100</v>
      </c>
      <c r="P52" s="193">
        <f t="shared" si="0"/>
        <v>1090</v>
      </c>
      <c r="Q52" s="194">
        <f t="shared" si="1"/>
        <v>99.090909090909093</v>
      </c>
      <c r="R52" s="193">
        <f t="shared" si="2"/>
        <v>1</v>
      </c>
      <c r="S52" s="15"/>
      <c r="T52" s="15"/>
    </row>
    <row r="53" spans="1:20" ht="19.5" customHeight="1" thickBot="1" x14ac:dyDescent="0.3">
      <c r="A53" s="13">
        <v>50</v>
      </c>
      <c r="B53" s="140"/>
      <c r="C53" s="141">
        <v>15</v>
      </c>
      <c r="D53" s="141" t="s">
        <v>20</v>
      </c>
      <c r="E53" s="15">
        <v>89</v>
      </c>
      <c r="F53" s="15">
        <v>93</v>
      </c>
      <c r="G53" s="15">
        <v>93</v>
      </c>
      <c r="H53" s="15">
        <v>82</v>
      </c>
      <c r="I53" s="15">
        <v>84</v>
      </c>
      <c r="J53" s="15">
        <v>92</v>
      </c>
      <c r="K53" s="15">
        <v>93</v>
      </c>
      <c r="L53" s="15">
        <v>80</v>
      </c>
      <c r="M53" s="15">
        <v>97</v>
      </c>
      <c r="N53" s="15">
        <v>95</v>
      </c>
      <c r="O53" s="15">
        <v>90</v>
      </c>
      <c r="P53" s="193">
        <f t="shared" si="0"/>
        <v>988</v>
      </c>
      <c r="Q53" s="194">
        <f t="shared" si="1"/>
        <v>89.818181818181813</v>
      </c>
      <c r="R53" s="193">
        <f t="shared" si="2"/>
        <v>9</v>
      </c>
      <c r="S53" s="15"/>
      <c r="T53" s="15"/>
    </row>
    <row r="54" spans="1:20" ht="19.5" customHeight="1" thickBot="1" x14ac:dyDescent="0.3">
      <c r="A54" s="13">
        <v>51</v>
      </c>
      <c r="B54" s="140"/>
      <c r="C54" s="141">
        <v>15</v>
      </c>
      <c r="D54" s="141" t="s">
        <v>20</v>
      </c>
      <c r="E54" s="15">
        <v>94</v>
      </c>
      <c r="F54" s="15">
        <v>91</v>
      </c>
      <c r="G54" s="15">
        <v>99</v>
      </c>
      <c r="H54" s="15">
        <v>92</v>
      </c>
      <c r="I54" s="15">
        <v>92</v>
      </c>
      <c r="J54" s="15">
        <v>93</v>
      </c>
      <c r="K54" s="15">
        <v>92</v>
      </c>
      <c r="L54" s="15">
        <v>95</v>
      </c>
      <c r="M54" s="15">
        <v>97</v>
      </c>
      <c r="N54" s="15">
        <v>97</v>
      </c>
      <c r="O54" s="15">
        <v>100</v>
      </c>
      <c r="P54" s="193">
        <f t="shared" si="0"/>
        <v>1042</v>
      </c>
      <c r="Q54" s="194">
        <f t="shared" si="1"/>
        <v>94.727272727272734</v>
      </c>
      <c r="R54" s="193">
        <f t="shared" si="2"/>
        <v>2</v>
      </c>
      <c r="S54" s="15"/>
      <c r="T54" s="15"/>
    </row>
    <row r="55" spans="1:20" ht="19.5" customHeight="1" x14ac:dyDescent="0.25">
      <c r="A55" s="107">
        <v>52</v>
      </c>
      <c r="B55" s="140"/>
      <c r="C55" s="141">
        <v>14</v>
      </c>
      <c r="D55" s="141" t="s">
        <v>20</v>
      </c>
      <c r="E55" s="15">
        <v>74</v>
      </c>
      <c r="F55" s="15">
        <v>76</v>
      </c>
      <c r="G55" s="15">
        <v>77</v>
      </c>
      <c r="H55" s="15">
        <v>66</v>
      </c>
      <c r="I55" s="15">
        <v>73</v>
      </c>
      <c r="J55" s="15">
        <v>78</v>
      </c>
      <c r="K55" s="15">
        <v>58</v>
      </c>
      <c r="L55" s="15">
        <v>61</v>
      </c>
      <c r="M55" s="15">
        <v>79</v>
      </c>
      <c r="N55" s="15">
        <v>84</v>
      </c>
      <c r="O55" s="15">
        <v>88</v>
      </c>
      <c r="P55" s="193">
        <f t="shared" si="0"/>
        <v>814</v>
      </c>
      <c r="Q55" s="194">
        <f t="shared" si="1"/>
        <v>74</v>
      </c>
      <c r="R55" s="193">
        <f t="shared" si="2"/>
        <v>33</v>
      </c>
      <c r="S55" s="15"/>
      <c r="T55" s="15"/>
    </row>
    <row r="56" spans="1:20" ht="19.5" customHeight="1" x14ac:dyDescent="0.25">
      <c r="A56" s="107">
        <v>53</v>
      </c>
      <c r="B56" s="20"/>
      <c r="C56" s="20"/>
      <c r="D56" s="20"/>
      <c r="E56" s="15"/>
      <c r="F56" s="15"/>
      <c r="G56" s="15"/>
      <c r="H56" s="15"/>
      <c r="I56" s="15"/>
      <c r="J56" s="15"/>
      <c r="K56" s="15"/>
      <c r="L56" s="15"/>
      <c r="M56" s="15"/>
      <c r="N56" s="15"/>
      <c r="O56" s="15"/>
      <c r="P56" s="15"/>
      <c r="Q56" s="15"/>
      <c r="R56" s="15"/>
      <c r="S56" s="15"/>
      <c r="T56" s="15"/>
    </row>
    <row r="57" spans="1:20" ht="19.5" customHeight="1" x14ac:dyDescent="0.25">
      <c r="A57" s="107">
        <v>54</v>
      </c>
      <c r="B57" s="20"/>
      <c r="C57" s="20"/>
      <c r="D57" s="20"/>
      <c r="E57" s="15"/>
      <c r="F57" s="15"/>
      <c r="G57" s="15"/>
      <c r="H57" s="15"/>
      <c r="I57" s="15"/>
      <c r="J57" s="15"/>
      <c r="K57" s="15"/>
      <c r="L57" s="15"/>
      <c r="M57" s="15"/>
      <c r="N57" s="15"/>
      <c r="O57" s="15"/>
      <c r="P57" s="15"/>
      <c r="Q57" s="15"/>
      <c r="R57" s="15"/>
      <c r="S57" s="15"/>
      <c r="T57" s="15"/>
    </row>
    <row r="58" spans="1:20" ht="19.5" customHeight="1" x14ac:dyDescent="0.25">
      <c r="A58" s="107">
        <v>55</v>
      </c>
      <c r="B58" s="20"/>
      <c r="C58" s="20"/>
      <c r="D58" s="20"/>
      <c r="E58" s="15"/>
      <c r="F58" s="15"/>
      <c r="G58" s="15"/>
      <c r="H58" s="15"/>
      <c r="I58" s="15"/>
      <c r="J58" s="15"/>
      <c r="K58" s="15"/>
      <c r="L58" s="15"/>
      <c r="M58" s="15"/>
      <c r="N58" s="15"/>
      <c r="O58" s="15"/>
      <c r="P58" s="15"/>
      <c r="Q58" s="15"/>
      <c r="R58" s="15"/>
      <c r="S58" s="15"/>
      <c r="T58" s="15"/>
    </row>
  </sheetData>
  <mergeCells count="2">
    <mergeCell ref="A1:T1"/>
    <mergeCell ref="A2:T2"/>
  </mergeCells>
  <pageMargins left="0.7" right="0.7" top="0.75" bottom="0.75" header="0.3" footer="0.3"/>
  <pageSetup paperSize="9" scale="49" fitToHeight="0"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55"/>
  <sheetViews>
    <sheetView workbookViewId="0">
      <selection activeCell="B4" sqref="B4:B55"/>
    </sheetView>
  </sheetViews>
  <sheetFormatPr defaultRowHeight="15" x14ac:dyDescent="0.25"/>
  <cols>
    <col min="1" max="1" width="6.7109375" style="14" customWidth="1"/>
    <col min="2" max="2" width="35.140625" bestFit="1" customWidth="1"/>
    <col min="3" max="3" width="4.7109375" customWidth="1"/>
    <col min="4" max="4" width="4.140625" customWidth="1"/>
    <col min="5" max="5" width="12" style="14" customWidth="1"/>
    <col min="6" max="7" width="10.5703125" style="14" customWidth="1"/>
  </cols>
  <sheetData>
    <row r="1" spans="1:8" ht="20.25" x14ac:dyDescent="0.25">
      <c r="A1" s="288" t="s">
        <v>33</v>
      </c>
      <c r="B1" s="289"/>
      <c r="C1" s="289"/>
      <c r="D1" s="289"/>
      <c r="E1" s="289"/>
      <c r="F1" s="289"/>
      <c r="G1" s="289"/>
      <c r="H1" s="289"/>
    </row>
    <row r="2" spans="1:8" x14ac:dyDescent="0.25">
      <c r="A2" s="290" t="s">
        <v>42</v>
      </c>
      <c r="B2" s="291"/>
      <c r="C2" s="291"/>
      <c r="D2" s="291"/>
      <c r="E2" s="291"/>
      <c r="F2" s="291"/>
      <c r="G2" s="291"/>
      <c r="H2" s="291"/>
    </row>
    <row r="3" spans="1:8" ht="67.5" customHeight="1" thickBot="1" x14ac:dyDescent="0.3">
      <c r="A3" s="21" t="s">
        <v>24</v>
      </c>
      <c r="B3" s="22" t="s">
        <v>1</v>
      </c>
      <c r="C3" s="23" t="s">
        <v>2</v>
      </c>
      <c r="D3" s="22" t="s">
        <v>3</v>
      </c>
      <c r="E3" s="39" t="s">
        <v>26</v>
      </c>
      <c r="F3" s="39" t="s">
        <v>27</v>
      </c>
      <c r="G3" s="39" t="s">
        <v>16</v>
      </c>
      <c r="H3" s="40" t="s">
        <v>17</v>
      </c>
    </row>
    <row r="4" spans="1:8" ht="20.100000000000001" customHeight="1" x14ac:dyDescent="0.25">
      <c r="A4" s="24">
        <v>1</v>
      </c>
      <c r="B4" s="140"/>
      <c r="C4" s="141">
        <v>15</v>
      </c>
      <c r="D4" s="141" t="s">
        <v>20</v>
      </c>
      <c r="E4" s="33">
        <f>'9B Sem 1'!Q4</f>
        <v>63.363636363636367</v>
      </c>
      <c r="F4" s="33">
        <f>'9B Sem 2'!Q4</f>
        <v>67.090909090909093</v>
      </c>
      <c r="G4" s="33">
        <f>AVERAGE(E4:F4)</f>
        <v>65.227272727272734</v>
      </c>
      <c r="H4" s="20">
        <f>RANK(G4,$G$4:$G$55)</f>
        <v>45</v>
      </c>
    </row>
    <row r="5" spans="1:8" ht="20.100000000000001" customHeight="1" x14ac:dyDescent="0.25">
      <c r="A5" s="16">
        <v>2</v>
      </c>
      <c r="B5" s="140"/>
      <c r="C5" s="141">
        <v>15</v>
      </c>
      <c r="D5" s="141" t="s">
        <v>23</v>
      </c>
      <c r="E5" s="33">
        <f>'9B Sem 1'!Q5</f>
        <v>72.818181818181813</v>
      </c>
      <c r="F5" s="33">
        <f>'9B Sem 2'!Q5</f>
        <v>72.454545454545453</v>
      </c>
      <c r="G5" s="33">
        <f t="shared" ref="G5:G55" si="0">AVERAGE(E5:F5)</f>
        <v>72.636363636363626</v>
      </c>
      <c r="H5" s="20">
        <f t="shared" ref="H5:H55" si="1">RANK(G5,$G$4:$G$55)</f>
        <v>34</v>
      </c>
    </row>
    <row r="6" spans="1:8" ht="20.100000000000001" customHeight="1" x14ac:dyDescent="0.25">
      <c r="A6" s="13">
        <v>3</v>
      </c>
      <c r="B6" s="140"/>
      <c r="C6" s="141">
        <v>14</v>
      </c>
      <c r="D6" s="141" t="s">
        <v>20</v>
      </c>
      <c r="E6" s="33">
        <f>'9B Sem 1'!Q6</f>
        <v>66.909090909090907</v>
      </c>
      <c r="F6" s="33">
        <f>'9B Sem 2'!Q6</f>
        <v>69.545454545454547</v>
      </c>
      <c r="G6" s="33">
        <f t="shared" si="0"/>
        <v>68.22727272727272</v>
      </c>
      <c r="H6" s="20">
        <f t="shared" si="1"/>
        <v>42</v>
      </c>
    </row>
    <row r="7" spans="1:8" ht="20.100000000000001" customHeight="1" x14ac:dyDescent="0.25">
      <c r="A7" s="16">
        <v>4</v>
      </c>
      <c r="B7" s="140"/>
      <c r="C7" s="141">
        <v>14</v>
      </c>
      <c r="D7" s="141" t="s">
        <v>20</v>
      </c>
      <c r="E7" s="33">
        <f>'9B Sem 1'!Q7</f>
        <v>83.545454545454547</v>
      </c>
      <c r="F7" s="33">
        <f>'9B Sem 2'!Q7</f>
        <v>82.36363636363636</v>
      </c>
      <c r="G7" s="33">
        <f t="shared" si="0"/>
        <v>82.954545454545453</v>
      </c>
      <c r="H7" s="20">
        <f t="shared" si="1"/>
        <v>14</v>
      </c>
    </row>
    <row r="8" spans="1:8" ht="20.100000000000001" customHeight="1" x14ac:dyDescent="0.25">
      <c r="A8" s="16">
        <v>5</v>
      </c>
      <c r="B8" s="140"/>
      <c r="C8" s="141">
        <v>14</v>
      </c>
      <c r="D8" s="141" t="s">
        <v>20</v>
      </c>
      <c r="E8" s="33">
        <f>'9B Sem 1'!Q8</f>
        <v>59.545454545454547</v>
      </c>
      <c r="F8" s="33">
        <f>'9B Sem 2'!Q8</f>
        <v>61.81818181818182</v>
      </c>
      <c r="G8" s="33">
        <f t="shared" si="0"/>
        <v>60.681818181818187</v>
      </c>
      <c r="H8" s="20">
        <f t="shared" si="1"/>
        <v>48</v>
      </c>
    </row>
    <row r="9" spans="1:8" ht="20.100000000000001" customHeight="1" x14ac:dyDescent="0.25">
      <c r="A9" s="13">
        <v>6</v>
      </c>
      <c r="B9" s="140"/>
      <c r="C9" s="141">
        <v>15</v>
      </c>
      <c r="D9" s="141" t="s">
        <v>20</v>
      </c>
      <c r="E9" s="33">
        <f>'9B Sem 1'!Q9</f>
        <v>75.454545454545453</v>
      </c>
      <c r="F9" s="33">
        <f>'9B Sem 2'!Q9</f>
        <v>76.818181818181813</v>
      </c>
      <c r="G9" s="33">
        <f t="shared" si="0"/>
        <v>76.136363636363626</v>
      </c>
      <c r="H9" s="20">
        <f t="shared" si="1"/>
        <v>28</v>
      </c>
    </row>
    <row r="10" spans="1:8" ht="20.100000000000001" customHeight="1" x14ac:dyDescent="0.25">
      <c r="A10" s="16">
        <v>7</v>
      </c>
      <c r="B10" s="140"/>
      <c r="C10" s="141">
        <v>14</v>
      </c>
      <c r="D10" s="141" t="s">
        <v>23</v>
      </c>
      <c r="E10" s="33">
        <f>'9B Sem 1'!Q10</f>
        <v>70.63636363636364</v>
      </c>
      <c r="F10" s="33">
        <f>'9B Sem 2'!Q10</f>
        <v>71.909090909090907</v>
      </c>
      <c r="G10" s="33">
        <f t="shared" si="0"/>
        <v>71.27272727272728</v>
      </c>
      <c r="H10" s="20">
        <f t="shared" si="1"/>
        <v>35</v>
      </c>
    </row>
    <row r="11" spans="1:8" ht="20.100000000000001" customHeight="1" x14ac:dyDescent="0.25">
      <c r="A11" s="16">
        <v>8</v>
      </c>
      <c r="B11" s="140"/>
      <c r="C11" s="141">
        <v>15</v>
      </c>
      <c r="D11" s="141" t="s">
        <v>20</v>
      </c>
      <c r="E11" s="33">
        <f>'9B Sem 1'!Q11</f>
        <v>67.272727272727266</v>
      </c>
      <c r="F11" s="33">
        <f>'9B Sem 2'!Q11</f>
        <v>64.63636363636364</v>
      </c>
      <c r="G11" s="33">
        <f t="shared" si="0"/>
        <v>65.954545454545453</v>
      </c>
      <c r="H11" s="20">
        <f t="shared" si="1"/>
        <v>44</v>
      </c>
    </row>
    <row r="12" spans="1:8" ht="20.100000000000001" customHeight="1" x14ac:dyDescent="0.25">
      <c r="A12" s="13">
        <v>9</v>
      </c>
      <c r="B12" s="140"/>
      <c r="C12" s="141">
        <v>15</v>
      </c>
      <c r="D12" s="141" t="s">
        <v>20</v>
      </c>
      <c r="E12" s="33">
        <f>'9B Sem 1'!Q12</f>
        <v>70.090909090909093</v>
      </c>
      <c r="F12" s="33">
        <f>'9B Sem 2'!Q12</f>
        <v>71</v>
      </c>
      <c r="G12" s="33">
        <f t="shared" si="0"/>
        <v>70.545454545454547</v>
      </c>
      <c r="H12" s="20">
        <f t="shared" si="1"/>
        <v>37</v>
      </c>
    </row>
    <row r="13" spans="1:8" ht="20.100000000000001" customHeight="1" x14ac:dyDescent="0.25">
      <c r="A13" s="16">
        <v>10</v>
      </c>
      <c r="B13" s="140"/>
      <c r="C13" s="141">
        <v>14</v>
      </c>
      <c r="D13" s="141" t="s">
        <v>23</v>
      </c>
      <c r="E13" s="33">
        <f>'9B Sem 1'!Q13</f>
        <v>76.818181818181813</v>
      </c>
      <c r="F13" s="33">
        <f>'9B Sem 2'!Q13</f>
        <v>82.545454545454547</v>
      </c>
      <c r="G13" s="33">
        <f t="shared" si="0"/>
        <v>79.681818181818187</v>
      </c>
      <c r="H13" s="20">
        <f t="shared" si="1"/>
        <v>20</v>
      </c>
    </row>
    <row r="14" spans="1:8" ht="20.100000000000001" customHeight="1" x14ac:dyDescent="0.25">
      <c r="A14" s="13">
        <v>11</v>
      </c>
      <c r="B14" s="140"/>
      <c r="C14" s="141">
        <v>14</v>
      </c>
      <c r="D14" s="141" t="s">
        <v>23</v>
      </c>
      <c r="E14" s="33">
        <f>'9B Sem 1'!Q14</f>
        <v>82.727272727272734</v>
      </c>
      <c r="F14" s="33">
        <f>'9B Sem 2'!Q14</f>
        <v>83.727272727272734</v>
      </c>
      <c r="G14" s="33">
        <f t="shared" si="0"/>
        <v>83.227272727272734</v>
      </c>
      <c r="H14" s="20">
        <f t="shared" si="1"/>
        <v>13</v>
      </c>
    </row>
    <row r="15" spans="1:8" ht="20.100000000000001" customHeight="1" x14ac:dyDescent="0.25">
      <c r="A15" s="13">
        <v>12</v>
      </c>
      <c r="B15" s="140"/>
      <c r="C15" s="141">
        <v>14</v>
      </c>
      <c r="D15" s="141" t="s">
        <v>23</v>
      </c>
      <c r="E15" s="33">
        <f>'9B Sem 1'!Q15</f>
        <v>73.63636363636364</v>
      </c>
      <c r="F15" s="33">
        <f>'9B Sem 2'!Q15</f>
        <v>78.272727272727266</v>
      </c>
      <c r="G15" s="33">
        <f t="shared" si="0"/>
        <v>75.954545454545453</v>
      </c>
      <c r="H15" s="20">
        <f t="shared" si="1"/>
        <v>29</v>
      </c>
    </row>
    <row r="16" spans="1:8" ht="20.100000000000001" customHeight="1" x14ac:dyDescent="0.25">
      <c r="A16" s="13">
        <v>13</v>
      </c>
      <c r="B16" s="140"/>
      <c r="C16" s="141">
        <v>15</v>
      </c>
      <c r="D16" s="141" t="s">
        <v>20</v>
      </c>
      <c r="E16" s="33">
        <f>'9B Sem 1'!Q16</f>
        <v>68</v>
      </c>
      <c r="F16" s="33">
        <f>'9B Sem 2'!Q16</f>
        <v>70.454545454545453</v>
      </c>
      <c r="G16" s="33">
        <f t="shared" si="0"/>
        <v>69.22727272727272</v>
      </c>
      <c r="H16" s="20">
        <f t="shared" si="1"/>
        <v>40</v>
      </c>
    </row>
    <row r="17" spans="1:8" ht="20.100000000000001" customHeight="1" x14ac:dyDescent="0.25">
      <c r="A17" s="16">
        <v>14</v>
      </c>
      <c r="B17" s="140"/>
      <c r="C17" s="141">
        <v>14</v>
      </c>
      <c r="D17" s="141" t="s">
        <v>20</v>
      </c>
      <c r="E17" s="33">
        <f>'9B Sem 1'!Q17</f>
        <v>80.181818181818187</v>
      </c>
      <c r="F17" s="33">
        <f>'9B Sem 2'!Q17</f>
        <v>82.090909090909093</v>
      </c>
      <c r="G17" s="33">
        <f t="shared" si="0"/>
        <v>81.13636363636364</v>
      </c>
      <c r="H17" s="20">
        <f t="shared" si="1"/>
        <v>17</v>
      </c>
    </row>
    <row r="18" spans="1:8" ht="20.100000000000001" customHeight="1" x14ac:dyDescent="0.25">
      <c r="A18" s="13">
        <v>15</v>
      </c>
      <c r="B18" s="140"/>
      <c r="C18" s="141">
        <v>15</v>
      </c>
      <c r="D18" s="141" t="s">
        <v>23</v>
      </c>
      <c r="E18" s="33">
        <f>'9B Sem 1'!Q18</f>
        <v>83</v>
      </c>
      <c r="F18" s="33">
        <f>'9B Sem 2'!Q18</f>
        <v>84.63636363636364</v>
      </c>
      <c r="G18" s="33">
        <f t="shared" si="0"/>
        <v>83.818181818181813</v>
      </c>
      <c r="H18" s="20">
        <f t="shared" si="1"/>
        <v>12</v>
      </c>
    </row>
    <row r="19" spans="1:8" ht="20.100000000000001" customHeight="1" x14ac:dyDescent="0.25">
      <c r="A19" s="16">
        <v>16</v>
      </c>
      <c r="B19" s="140"/>
      <c r="C19" s="141">
        <v>15</v>
      </c>
      <c r="D19" s="141" t="s">
        <v>23</v>
      </c>
      <c r="E19" s="33">
        <f>'9B Sem 1'!Q19</f>
        <v>70.181818181818187</v>
      </c>
      <c r="F19" s="33">
        <f>'9B Sem 2'!Q19</f>
        <v>70.727272727272734</v>
      </c>
      <c r="G19" s="33">
        <f t="shared" si="0"/>
        <v>70.454545454545467</v>
      </c>
      <c r="H19" s="20">
        <f t="shared" si="1"/>
        <v>38</v>
      </c>
    </row>
    <row r="20" spans="1:8" ht="20.100000000000001" customHeight="1" x14ac:dyDescent="0.25">
      <c r="A20" s="16">
        <v>17</v>
      </c>
      <c r="B20" s="140"/>
      <c r="C20" s="141">
        <v>15</v>
      </c>
      <c r="D20" s="141" t="s">
        <v>20</v>
      </c>
      <c r="E20" s="33">
        <f>'9B Sem 1'!Q20</f>
        <v>70.63636363636364</v>
      </c>
      <c r="F20" s="33">
        <f>'9B Sem 2'!Q20</f>
        <v>81</v>
      </c>
      <c r="G20" s="33">
        <f t="shared" si="0"/>
        <v>75.818181818181813</v>
      </c>
      <c r="H20" s="20">
        <f t="shared" si="1"/>
        <v>30</v>
      </c>
    </row>
    <row r="21" spans="1:8" ht="20.100000000000001" customHeight="1" x14ac:dyDescent="0.25">
      <c r="A21" s="16">
        <v>18</v>
      </c>
      <c r="B21" s="140"/>
      <c r="C21" s="141">
        <v>15</v>
      </c>
      <c r="D21" s="141" t="s">
        <v>23</v>
      </c>
      <c r="E21" s="33">
        <f>'9B Sem 1'!Q21</f>
        <v>89.454545454545453</v>
      </c>
      <c r="F21" s="33">
        <f>'9B Sem 2'!Q21</f>
        <v>93.36363636363636</v>
      </c>
      <c r="G21" s="33">
        <f t="shared" si="0"/>
        <v>91.409090909090907</v>
      </c>
      <c r="H21" s="20">
        <f t="shared" si="1"/>
        <v>5</v>
      </c>
    </row>
    <row r="22" spans="1:8" ht="20.100000000000001" customHeight="1" x14ac:dyDescent="0.25">
      <c r="A22" s="13">
        <v>19</v>
      </c>
      <c r="B22" s="140"/>
      <c r="C22" s="141">
        <v>14</v>
      </c>
      <c r="D22" s="141" t="s">
        <v>20</v>
      </c>
      <c r="E22" s="33">
        <f>'9B Sem 1'!Q22</f>
        <v>74.272727272727266</v>
      </c>
      <c r="F22" s="33">
        <f>'9B Sem 2'!Q22</f>
        <v>75.909090909090907</v>
      </c>
      <c r="G22" s="33">
        <f t="shared" si="0"/>
        <v>75.090909090909093</v>
      </c>
      <c r="H22" s="20">
        <f t="shared" si="1"/>
        <v>32</v>
      </c>
    </row>
    <row r="23" spans="1:8" ht="20.100000000000001" customHeight="1" x14ac:dyDescent="0.25">
      <c r="A23" s="13">
        <v>20</v>
      </c>
      <c r="B23" s="140"/>
      <c r="C23" s="141">
        <v>15</v>
      </c>
      <c r="D23" s="141" t="s">
        <v>23</v>
      </c>
      <c r="E23" s="33">
        <f>'9B Sem 1'!Q23</f>
        <v>55.727272727272727</v>
      </c>
      <c r="F23" s="33">
        <f>'9B Sem 2'!Q23</f>
        <v>57</v>
      </c>
      <c r="G23" s="33">
        <f t="shared" si="0"/>
        <v>56.36363636363636</v>
      </c>
      <c r="H23" s="20">
        <f t="shared" si="1"/>
        <v>50</v>
      </c>
    </row>
    <row r="24" spans="1:8" ht="20.100000000000001" customHeight="1" x14ac:dyDescent="0.25">
      <c r="A24" s="13">
        <v>21</v>
      </c>
      <c r="B24" s="140"/>
      <c r="C24" s="141">
        <v>15</v>
      </c>
      <c r="D24" s="141" t="s">
        <v>23</v>
      </c>
      <c r="E24" s="33">
        <f>'9B Sem 1'!Q24</f>
        <v>76.818181818181813</v>
      </c>
      <c r="F24" s="33">
        <f>'9B Sem 2'!Q24</f>
        <v>79.727272727272734</v>
      </c>
      <c r="G24" s="33">
        <f t="shared" si="0"/>
        <v>78.27272727272728</v>
      </c>
      <c r="H24" s="20">
        <f t="shared" si="1"/>
        <v>23</v>
      </c>
    </row>
    <row r="25" spans="1:8" ht="20.100000000000001" customHeight="1" x14ac:dyDescent="0.25">
      <c r="A25" s="16">
        <v>22</v>
      </c>
      <c r="B25" s="140"/>
      <c r="C25" s="141">
        <v>15</v>
      </c>
      <c r="D25" s="141" t="s">
        <v>23</v>
      </c>
      <c r="E25" s="33">
        <f>'9B Sem 1'!Q25</f>
        <v>65.63636363636364</v>
      </c>
      <c r="F25" s="33">
        <f>'9B Sem 2'!Q25</f>
        <v>66.818181818181813</v>
      </c>
      <c r="G25" s="33">
        <f t="shared" si="0"/>
        <v>66.22727272727272</v>
      </c>
      <c r="H25" s="20">
        <f t="shared" si="1"/>
        <v>43</v>
      </c>
    </row>
    <row r="26" spans="1:8" ht="20.100000000000001" customHeight="1" x14ac:dyDescent="0.25">
      <c r="A26" s="16">
        <v>23</v>
      </c>
      <c r="B26" s="140"/>
      <c r="C26" s="141">
        <v>14</v>
      </c>
      <c r="D26" s="141" t="s">
        <v>23</v>
      </c>
      <c r="E26" s="33">
        <f>'9B Sem 1'!Q26</f>
        <v>80.63636363636364</v>
      </c>
      <c r="F26" s="33">
        <f>'9B Sem 2'!Q26</f>
        <v>84.36363636363636</v>
      </c>
      <c r="G26" s="33">
        <f t="shared" si="0"/>
        <v>82.5</v>
      </c>
      <c r="H26" s="20">
        <f t="shared" si="1"/>
        <v>15</v>
      </c>
    </row>
    <row r="27" spans="1:8" ht="20.100000000000001" customHeight="1" x14ac:dyDescent="0.25">
      <c r="A27" s="13">
        <v>24</v>
      </c>
      <c r="B27" s="140"/>
      <c r="C27" s="141">
        <v>15</v>
      </c>
      <c r="D27" s="141" t="s">
        <v>23</v>
      </c>
      <c r="E27" s="33">
        <f>'9B Sem 1'!Q27</f>
        <v>69.090909090909093</v>
      </c>
      <c r="F27" s="33">
        <f>'9B Sem 2'!Q27</f>
        <v>72.727272727272734</v>
      </c>
      <c r="G27" s="33">
        <f t="shared" si="0"/>
        <v>70.909090909090907</v>
      </c>
      <c r="H27" s="20">
        <f t="shared" si="1"/>
        <v>36</v>
      </c>
    </row>
    <row r="28" spans="1:8" ht="20.100000000000001" customHeight="1" x14ac:dyDescent="0.25">
      <c r="A28" s="16">
        <v>25</v>
      </c>
      <c r="B28" s="140"/>
      <c r="C28" s="141">
        <v>15</v>
      </c>
      <c r="D28" s="141" t="s">
        <v>20</v>
      </c>
      <c r="E28" s="33">
        <f>'9B Sem 1'!Q28</f>
        <v>80.818181818181813</v>
      </c>
      <c r="F28" s="33">
        <f>'9B Sem 2'!Q28</f>
        <v>80.909090909090907</v>
      </c>
      <c r="G28" s="33">
        <f t="shared" si="0"/>
        <v>80.86363636363636</v>
      </c>
      <c r="H28" s="20">
        <f t="shared" si="1"/>
        <v>18</v>
      </c>
    </row>
    <row r="29" spans="1:8" ht="20.100000000000001" customHeight="1" x14ac:dyDescent="0.25">
      <c r="A29" s="13">
        <v>26</v>
      </c>
      <c r="B29" s="140"/>
      <c r="C29" s="141">
        <v>14</v>
      </c>
      <c r="D29" s="141" t="s">
        <v>23</v>
      </c>
      <c r="E29" s="33">
        <f>'9B Sem 1'!Q29</f>
        <v>88.818181818181813</v>
      </c>
      <c r="F29" s="33">
        <f>'9B Sem 2'!Q29</f>
        <v>91.818181818181813</v>
      </c>
      <c r="G29" s="33">
        <f t="shared" si="0"/>
        <v>90.318181818181813</v>
      </c>
      <c r="H29" s="20">
        <f t="shared" si="1"/>
        <v>7</v>
      </c>
    </row>
    <row r="30" spans="1:8" ht="20.100000000000001" customHeight="1" x14ac:dyDescent="0.25">
      <c r="A30" s="13">
        <v>27</v>
      </c>
      <c r="B30" s="140"/>
      <c r="C30" s="141">
        <v>14</v>
      </c>
      <c r="D30" s="141" t="s">
        <v>23</v>
      </c>
      <c r="E30" s="33">
        <f>'9B Sem 1'!Q30</f>
        <v>80.181818181818187</v>
      </c>
      <c r="F30" s="33">
        <f>'9B Sem 2'!Q30</f>
        <v>79.36363636363636</v>
      </c>
      <c r="G30" s="33">
        <f t="shared" si="0"/>
        <v>79.77272727272728</v>
      </c>
      <c r="H30" s="20">
        <f t="shared" si="1"/>
        <v>19</v>
      </c>
    </row>
    <row r="31" spans="1:8" ht="20.100000000000001" customHeight="1" x14ac:dyDescent="0.25">
      <c r="A31" s="13">
        <v>28</v>
      </c>
      <c r="B31" s="140"/>
      <c r="C31" s="141">
        <v>14</v>
      </c>
      <c r="D31" s="141" t="s">
        <v>23</v>
      </c>
      <c r="E31" s="33">
        <f>'9B Sem 1'!Q31</f>
        <v>0</v>
      </c>
      <c r="F31" s="33">
        <f>'9B Sem 2'!Q31</f>
        <v>0</v>
      </c>
      <c r="G31" s="33">
        <f t="shared" si="0"/>
        <v>0</v>
      </c>
      <c r="H31" s="20">
        <f t="shared" si="1"/>
        <v>52</v>
      </c>
    </row>
    <row r="32" spans="1:8" ht="20.100000000000001" customHeight="1" x14ac:dyDescent="0.25">
      <c r="A32" s="16">
        <v>29</v>
      </c>
      <c r="B32" s="140"/>
      <c r="C32" s="141">
        <v>14</v>
      </c>
      <c r="D32" s="141" t="s">
        <v>23</v>
      </c>
      <c r="E32" s="33">
        <f>'9B Sem 1'!Q32</f>
        <v>94.272727272727266</v>
      </c>
      <c r="F32" s="33">
        <f>'9B Sem 2'!Q32</f>
        <v>93.63636363636364</v>
      </c>
      <c r="G32" s="33">
        <f t="shared" si="0"/>
        <v>93.954545454545453</v>
      </c>
      <c r="H32" s="20">
        <f t="shared" si="1"/>
        <v>3</v>
      </c>
    </row>
    <row r="33" spans="1:8" ht="20.100000000000001" customHeight="1" x14ac:dyDescent="0.25">
      <c r="A33" s="13">
        <v>30</v>
      </c>
      <c r="B33" s="140"/>
      <c r="C33" s="141">
        <v>14</v>
      </c>
      <c r="D33" s="141" t="s">
        <v>20</v>
      </c>
      <c r="E33" s="33">
        <f>'9B Sem 1'!Q33</f>
        <v>76</v>
      </c>
      <c r="F33" s="33">
        <f>'9B Sem 2'!Q33</f>
        <v>77.36363636363636</v>
      </c>
      <c r="G33" s="33">
        <f t="shared" si="0"/>
        <v>76.681818181818187</v>
      </c>
      <c r="H33" s="20">
        <f t="shared" si="1"/>
        <v>26</v>
      </c>
    </row>
    <row r="34" spans="1:8" ht="20.100000000000001" customHeight="1" x14ac:dyDescent="0.25">
      <c r="A34" s="16">
        <v>31</v>
      </c>
      <c r="B34" s="140"/>
      <c r="C34" s="141">
        <v>15</v>
      </c>
      <c r="D34" s="141" t="s">
        <v>23</v>
      </c>
      <c r="E34" s="33">
        <f>'9B Sem 1'!Q34</f>
        <v>76.727272727272734</v>
      </c>
      <c r="F34" s="33">
        <f>'9B Sem 2'!Q34</f>
        <v>76.818181818181813</v>
      </c>
      <c r="G34" s="33">
        <f t="shared" si="0"/>
        <v>76.77272727272728</v>
      </c>
      <c r="H34" s="20">
        <f t="shared" si="1"/>
        <v>25</v>
      </c>
    </row>
    <row r="35" spans="1:8" ht="20.100000000000001" customHeight="1" x14ac:dyDescent="0.25">
      <c r="A35" s="16">
        <v>32</v>
      </c>
      <c r="B35" s="140"/>
      <c r="C35" s="141">
        <v>15</v>
      </c>
      <c r="D35" s="141" t="s">
        <v>23</v>
      </c>
      <c r="E35" s="33">
        <f>'9B Sem 1'!Q35</f>
        <v>77.727272727272734</v>
      </c>
      <c r="F35" s="33">
        <f>'9B Sem 2'!Q35</f>
        <v>78.454545454545453</v>
      </c>
      <c r="G35" s="33">
        <f t="shared" si="0"/>
        <v>78.090909090909093</v>
      </c>
      <c r="H35" s="20">
        <f t="shared" si="1"/>
        <v>24</v>
      </c>
    </row>
    <row r="36" spans="1:8" ht="20.100000000000001" customHeight="1" x14ac:dyDescent="0.25">
      <c r="A36" s="16">
        <v>33</v>
      </c>
      <c r="B36" s="140"/>
      <c r="C36" s="141">
        <v>15</v>
      </c>
      <c r="D36" s="141" t="s">
        <v>20</v>
      </c>
      <c r="E36" s="33">
        <f>'9B Sem 1'!Q36</f>
        <v>68.272727272727266</v>
      </c>
      <c r="F36" s="33">
        <f>'9B Sem 2'!Q36</f>
        <v>70.454545454545453</v>
      </c>
      <c r="G36" s="33">
        <f t="shared" si="0"/>
        <v>69.36363636363636</v>
      </c>
      <c r="H36" s="20">
        <f t="shared" si="1"/>
        <v>39</v>
      </c>
    </row>
    <row r="37" spans="1:8" ht="20.100000000000001" customHeight="1" x14ac:dyDescent="0.25">
      <c r="A37" s="13">
        <v>34</v>
      </c>
      <c r="B37" s="140"/>
      <c r="C37" s="141">
        <v>15</v>
      </c>
      <c r="D37" s="141" t="s">
        <v>20</v>
      </c>
      <c r="E37" s="33">
        <f>'9B Sem 1'!Q37</f>
        <v>83.63636363636364</v>
      </c>
      <c r="F37" s="33">
        <f>'9B Sem 2'!Q37</f>
        <v>86.090909090909093</v>
      </c>
      <c r="G37" s="33">
        <f t="shared" si="0"/>
        <v>84.863636363636374</v>
      </c>
      <c r="H37" s="20">
        <f t="shared" si="1"/>
        <v>10</v>
      </c>
    </row>
    <row r="38" spans="1:8" ht="20.100000000000001" customHeight="1" x14ac:dyDescent="0.25">
      <c r="A38" s="13">
        <v>35</v>
      </c>
      <c r="B38" s="140"/>
      <c r="C38" s="141">
        <v>14</v>
      </c>
      <c r="D38" s="141" t="s">
        <v>20</v>
      </c>
      <c r="E38" s="33">
        <f>'9B Sem 1'!Q38</f>
        <v>84.818181818181813</v>
      </c>
      <c r="F38" s="33">
        <f>'9B Sem 2'!Q38</f>
        <v>84.909090909090907</v>
      </c>
      <c r="G38" s="33">
        <f t="shared" si="0"/>
        <v>84.86363636363636</v>
      </c>
      <c r="H38" s="20">
        <f t="shared" si="1"/>
        <v>11</v>
      </c>
    </row>
    <row r="39" spans="1:8" ht="20.100000000000001" customHeight="1" x14ac:dyDescent="0.25">
      <c r="A39" s="13">
        <v>36</v>
      </c>
      <c r="B39" s="140"/>
      <c r="C39" s="141">
        <v>14</v>
      </c>
      <c r="D39" s="141" t="s">
        <v>20</v>
      </c>
      <c r="E39" s="33">
        <f>'9B Sem 1'!Q39</f>
        <v>76.727272727272734</v>
      </c>
      <c r="F39" s="33">
        <f>'9B Sem 2'!Q39</f>
        <v>81.454545454545453</v>
      </c>
      <c r="G39" s="33">
        <f t="shared" si="0"/>
        <v>79.090909090909093</v>
      </c>
      <c r="H39" s="20">
        <f t="shared" si="1"/>
        <v>22</v>
      </c>
    </row>
    <row r="40" spans="1:8" ht="20.100000000000001" customHeight="1" x14ac:dyDescent="0.25">
      <c r="A40" s="16">
        <v>37</v>
      </c>
      <c r="B40" s="140"/>
      <c r="C40" s="141">
        <v>15</v>
      </c>
      <c r="D40" s="141" t="s">
        <v>23</v>
      </c>
      <c r="E40" s="33">
        <f>'9B Sem 1'!Q40</f>
        <v>92.909090909090907</v>
      </c>
      <c r="F40" s="33">
        <f>'9B Sem 2'!Q40</f>
        <v>91.818181818181813</v>
      </c>
      <c r="G40" s="33">
        <f t="shared" si="0"/>
        <v>92.36363636363636</v>
      </c>
      <c r="H40" s="20">
        <f t="shared" si="1"/>
        <v>4</v>
      </c>
    </row>
    <row r="41" spans="1:8" ht="20.100000000000001" customHeight="1" x14ac:dyDescent="0.25">
      <c r="A41" s="16">
        <v>38</v>
      </c>
      <c r="B41" s="140"/>
      <c r="C41" s="141">
        <v>14</v>
      </c>
      <c r="D41" s="141" t="s">
        <v>20</v>
      </c>
      <c r="E41" s="33">
        <f>'9B Sem 1'!Q41</f>
        <v>82.181818181818187</v>
      </c>
      <c r="F41" s="33">
        <f>'9B Sem 2'!Q41</f>
        <v>82.272727272727266</v>
      </c>
      <c r="G41" s="33">
        <f t="shared" si="0"/>
        <v>82.22727272727272</v>
      </c>
      <c r="H41" s="20">
        <f t="shared" si="1"/>
        <v>16</v>
      </c>
    </row>
    <row r="42" spans="1:8" ht="20.100000000000001" customHeight="1" x14ac:dyDescent="0.25">
      <c r="A42" s="13">
        <v>39</v>
      </c>
      <c r="B42" s="140"/>
      <c r="C42" s="141">
        <v>14</v>
      </c>
      <c r="D42" s="141" t="s">
        <v>23</v>
      </c>
      <c r="E42" s="33">
        <f>'9B Sem 1'!Q42</f>
        <v>89.909090909090907</v>
      </c>
      <c r="F42" s="33">
        <f>'9B Sem 2'!Q42</f>
        <v>92.454545454545453</v>
      </c>
      <c r="G42" s="33">
        <f t="shared" si="0"/>
        <v>91.181818181818187</v>
      </c>
      <c r="H42" s="20">
        <f t="shared" si="1"/>
        <v>6</v>
      </c>
    </row>
    <row r="43" spans="1:8" ht="20.100000000000001" customHeight="1" x14ac:dyDescent="0.25">
      <c r="A43" s="16">
        <v>40</v>
      </c>
      <c r="B43" s="140"/>
      <c r="C43" s="141">
        <v>15</v>
      </c>
      <c r="D43" s="141" t="s">
        <v>23</v>
      </c>
      <c r="E43" s="33">
        <f>'9B Sem 1'!Q43</f>
        <v>61</v>
      </c>
      <c r="F43" s="33">
        <f>'9B Sem 2'!Q43</f>
        <v>63.454545454545453</v>
      </c>
      <c r="G43" s="33">
        <f t="shared" si="0"/>
        <v>62.227272727272727</v>
      </c>
      <c r="H43" s="20">
        <f t="shared" si="1"/>
        <v>46</v>
      </c>
    </row>
    <row r="44" spans="1:8" ht="20.100000000000001" customHeight="1" x14ac:dyDescent="0.25">
      <c r="A44" s="13">
        <v>41</v>
      </c>
      <c r="B44" s="140"/>
      <c r="C44" s="141">
        <v>14</v>
      </c>
      <c r="D44" s="141" t="s">
        <v>23</v>
      </c>
      <c r="E44" s="33">
        <f>'9B Sem 1'!Q44</f>
        <v>59.272727272727273</v>
      </c>
      <c r="F44" s="33">
        <f>'9B Sem 2'!Q44</f>
        <v>64.63636363636364</v>
      </c>
      <c r="G44" s="33">
        <f t="shared" si="0"/>
        <v>61.954545454545453</v>
      </c>
      <c r="H44" s="20">
        <f t="shared" si="1"/>
        <v>47</v>
      </c>
    </row>
    <row r="45" spans="1:8" ht="20.100000000000001" customHeight="1" x14ac:dyDescent="0.25">
      <c r="A45" s="13">
        <v>42</v>
      </c>
      <c r="B45" s="140"/>
      <c r="C45" s="141">
        <v>15</v>
      </c>
      <c r="D45" s="141" t="s">
        <v>23</v>
      </c>
      <c r="E45" s="33">
        <f>'9B Sem 1'!Q45</f>
        <v>57.18181818181818</v>
      </c>
      <c r="F45" s="33">
        <f>'9B Sem 2'!Q45</f>
        <v>56.090909090909093</v>
      </c>
      <c r="G45" s="33">
        <f t="shared" si="0"/>
        <v>56.63636363636364</v>
      </c>
      <c r="H45" s="20">
        <f t="shared" si="1"/>
        <v>49</v>
      </c>
    </row>
    <row r="46" spans="1:8" ht="20.100000000000001" customHeight="1" x14ac:dyDescent="0.25">
      <c r="A46" s="13">
        <v>43</v>
      </c>
      <c r="B46" s="140"/>
      <c r="C46" s="141">
        <v>14</v>
      </c>
      <c r="D46" s="141" t="s">
        <v>23</v>
      </c>
      <c r="E46" s="33">
        <f>'9B Sem 1'!Q46</f>
        <v>74.090909090909093</v>
      </c>
      <c r="F46" s="33">
        <f>'9B Sem 2'!Q46</f>
        <v>77.181818181818187</v>
      </c>
      <c r="G46" s="33">
        <f t="shared" si="0"/>
        <v>75.63636363636364</v>
      </c>
      <c r="H46" s="20">
        <f t="shared" si="1"/>
        <v>31</v>
      </c>
    </row>
    <row r="47" spans="1:8" ht="20.100000000000001" customHeight="1" x14ac:dyDescent="0.25">
      <c r="A47" s="16">
        <v>44</v>
      </c>
      <c r="B47" s="140"/>
      <c r="C47" s="141">
        <v>15</v>
      </c>
      <c r="D47" s="141" t="s">
        <v>23</v>
      </c>
      <c r="E47" s="33">
        <f>'9B Sem 1'!Q47</f>
        <v>87.63636363636364</v>
      </c>
      <c r="F47" s="33">
        <f>'9B Sem 2'!Q47</f>
        <v>90.090909090909093</v>
      </c>
      <c r="G47" s="33">
        <f t="shared" si="0"/>
        <v>88.863636363636374</v>
      </c>
      <c r="H47" s="20">
        <f t="shared" si="1"/>
        <v>9</v>
      </c>
    </row>
    <row r="48" spans="1:8" ht="20.100000000000001" customHeight="1" x14ac:dyDescent="0.25">
      <c r="A48" s="13">
        <v>45</v>
      </c>
      <c r="B48" s="140"/>
      <c r="C48" s="141">
        <v>15</v>
      </c>
      <c r="D48" s="141" t="s">
        <v>20</v>
      </c>
      <c r="E48" s="33">
        <f>'9B Sem 1'!Q48</f>
        <v>78.545454545454547</v>
      </c>
      <c r="F48" s="33">
        <f>'9B Sem 2'!Q48</f>
        <v>80.272727272727266</v>
      </c>
      <c r="G48" s="33">
        <f t="shared" si="0"/>
        <v>79.409090909090907</v>
      </c>
      <c r="H48" s="20">
        <f t="shared" si="1"/>
        <v>21</v>
      </c>
    </row>
    <row r="49" spans="1:8" ht="20.100000000000001" customHeight="1" x14ac:dyDescent="0.25">
      <c r="A49" s="16">
        <v>46</v>
      </c>
      <c r="B49" s="140"/>
      <c r="C49" s="141">
        <v>14</v>
      </c>
      <c r="D49" s="141" t="s">
        <v>20</v>
      </c>
      <c r="E49" s="33">
        <f>'9B Sem 1'!Q49</f>
        <v>66.36363636363636</v>
      </c>
      <c r="F49" s="33">
        <f>'9B Sem 2'!Q49</f>
        <v>70.818181818181813</v>
      </c>
      <c r="G49" s="33">
        <f t="shared" si="0"/>
        <v>68.590909090909093</v>
      </c>
      <c r="H49" s="20">
        <f t="shared" si="1"/>
        <v>41</v>
      </c>
    </row>
    <row r="50" spans="1:8" ht="20.100000000000001" customHeight="1" x14ac:dyDescent="0.25">
      <c r="A50" s="16">
        <v>47</v>
      </c>
      <c r="B50" s="140"/>
      <c r="C50" s="141">
        <v>14</v>
      </c>
      <c r="D50" s="141" t="s">
        <v>23</v>
      </c>
      <c r="E50" s="33">
        <f>'9B Sem 1'!Q50</f>
        <v>77.181818181818187</v>
      </c>
      <c r="F50" s="33">
        <f>'9B Sem 2'!Q50</f>
        <v>76</v>
      </c>
      <c r="G50" s="33">
        <f t="shared" si="0"/>
        <v>76.590909090909093</v>
      </c>
      <c r="H50" s="20">
        <f t="shared" si="1"/>
        <v>27</v>
      </c>
    </row>
    <row r="51" spans="1:8" ht="20.100000000000001" customHeight="1" x14ac:dyDescent="0.25">
      <c r="A51" s="16">
        <v>48</v>
      </c>
      <c r="B51" s="140"/>
      <c r="C51" s="141">
        <v>15</v>
      </c>
      <c r="D51" s="141" t="s">
        <v>23</v>
      </c>
      <c r="E51" s="33">
        <f>'9B Sem 1'!Q51</f>
        <v>53.909090909090907</v>
      </c>
      <c r="F51" s="33">
        <f>'9B Sem 2'!Q51</f>
        <v>56.81818181818182</v>
      </c>
      <c r="G51" s="33">
        <f t="shared" si="0"/>
        <v>55.36363636363636</v>
      </c>
      <c r="H51" s="20">
        <f t="shared" si="1"/>
        <v>51</v>
      </c>
    </row>
    <row r="52" spans="1:8" ht="20.100000000000001" customHeight="1" x14ac:dyDescent="0.25">
      <c r="A52" s="13">
        <v>49</v>
      </c>
      <c r="B52" s="140"/>
      <c r="C52" s="141">
        <v>14</v>
      </c>
      <c r="D52" s="141" t="s">
        <v>23</v>
      </c>
      <c r="E52" s="33">
        <f>'9B Sem 1'!Q52</f>
        <v>98.909090909090907</v>
      </c>
      <c r="F52" s="33">
        <f>'9B Sem 2'!Q52</f>
        <v>99.090909090909093</v>
      </c>
      <c r="G52" s="33">
        <f t="shared" si="0"/>
        <v>99</v>
      </c>
      <c r="H52" s="20">
        <f t="shared" si="1"/>
        <v>1</v>
      </c>
    </row>
    <row r="53" spans="1:8" ht="20.100000000000001" customHeight="1" x14ac:dyDescent="0.25">
      <c r="A53" s="13">
        <v>50</v>
      </c>
      <c r="B53" s="140"/>
      <c r="C53" s="141">
        <v>15</v>
      </c>
      <c r="D53" s="141" t="s">
        <v>20</v>
      </c>
      <c r="E53" s="33">
        <f>'9B Sem 1'!Q53</f>
        <v>89.545454545454547</v>
      </c>
      <c r="F53" s="33">
        <f>'9B Sem 2'!Q53</f>
        <v>89.818181818181813</v>
      </c>
      <c r="G53" s="33">
        <f t="shared" si="0"/>
        <v>89.681818181818187</v>
      </c>
      <c r="H53" s="20">
        <f t="shared" si="1"/>
        <v>8</v>
      </c>
    </row>
    <row r="54" spans="1:8" ht="19.5" customHeight="1" x14ac:dyDescent="0.25">
      <c r="A54" s="13">
        <v>51</v>
      </c>
      <c r="B54" s="140"/>
      <c r="C54" s="141">
        <v>15</v>
      </c>
      <c r="D54" s="141" t="s">
        <v>20</v>
      </c>
      <c r="E54" s="33">
        <f>'9B Sem 1'!Q54</f>
        <v>94.545454545454547</v>
      </c>
      <c r="F54" s="33">
        <f>'9B Sem 2'!Q54</f>
        <v>94.727272727272734</v>
      </c>
      <c r="G54" s="33">
        <f t="shared" si="0"/>
        <v>94.63636363636364</v>
      </c>
      <c r="H54" s="20">
        <f t="shared" si="1"/>
        <v>2</v>
      </c>
    </row>
    <row r="55" spans="1:8" ht="19.5" customHeight="1" x14ac:dyDescent="0.25">
      <c r="A55" s="107">
        <v>52</v>
      </c>
      <c r="B55" s="140"/>
      <c r="C55" s="141">
        <v>14</v>
      </c>
      <c r="D55" s="141" t="s">
        <v>20</v>
      </c>
      <c r="E55" s="33">
        <f>'9B Sem 1'!Q55</f>
        <v>73.818181818181813</v>
      </c>
      <c r="F55" s="33">
        <f>'9B Sem 2'!Q55</f>
        <v>74</v>
      </c>
      <c r="G55" s="33">
        <f t="shared" si="0"/>
        <v>73.909090909090907</v>
      </c>
      <c r="H55" s="20">
        <f t="shared" si="1"/>
        <v>33</v>
      </c>
    </row>
  </sheetData>
  <mergeCells count="2">
    <mergeCell ref="A1:H1"/>
    <mergeCell ref="A2:H2"/>
  </mergeCells>
  <pageMargins left="0.7" right="0.7" top="0.75" bottom="0.75" header="0.3" footer="0.3"/>
  <pageSetup scale="97" fitToHeight="0"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57"/>
  <sheetViews>
    <sheetView workbookViewId="0">
      <selection activeCell="B6" sqref="B6:B155"/>
    </sheetView>
  </sheetViews>
  <sheetFormatPr defaultRowHeight="15" x14ac:dyDescent="0.25"/>
  <cols>
    <col min="1" max="1" width="4" customWidth="1"/>
    <col min="2" max="2" width="37" customWidth="1"/>
    <col min="3" max="4" width="4.140625" style="10" customWidth="1"/>
    <col min="6" max="6" width="7" customWidth="1"/>
    <col min="7" max="7" width="6.28515625" customWidth="1"/>
    <col min="8" max="8" width="8.28515625" customWidth="1"/>
    <col min="9" max="9" width="8" customWidth="1"/>
    <col min="10" max="12" width="6.85546875" customWidth="1"/>
    <col min="13" max="13" width="6.7109375" customWidth="1"/>
    <col min="14" max="14" width="7.5703125" customWidth="1"/>
    <col min="15" max="15" width="7.28515625" customWidth="1"/>
    <col min="16" max="16" width="6.42578125" customWidth="1"/>
    <col min="17" max="17" width="7.140625" customWidth="1"/>
    <col min="18" max="18" width="6.140625" customWidth="1"/>
    <col min="19" max="19" width="7.85546875" customWidth="1"/>
    <col min="20" max="21" width="5.7109375" style="37" customWidth="1"/>
    <col min="22" max="22" width="4.7109375" customWidth="1"/>
    <col min="23" max="23" width="30.85546875" customWidth="1"/>
    <col min="24" max="24" width="3.85546875" customWidth="1"/>
    <col min="25" max="25" width="3.7109375" customWidth="1"/>
  </cols>
  <sheetData>
    <row r="1" spans="1:24" ht="20.25" x14ac:dyDescent="0.25">
      <c r="A1" s="272" t="s">
        <v>44</v>
      </c>
      <c r="B1" s="273"/>
      <c r="C1" s="273"/>
      <c r="D1" s="273"/>
      <c r="E1" s="273"/>
      <c r="F1" s="273"/>
      <c r="G1" s="273"/>
      <c r="H1" s="273"/>
      <c r="I1" s="273"/>
      <c r="J1" s="273"/>
      <c r="K1" s="273"/>
      <c r="L1" s="273"/>
      <c r="M1" s="273"/>
      <c r="N1" s="273"/>
      <c r="O1" s="273"/>
      <c r="P1" s="273"/>
      <c r="Q1" s="273"/>
      <c r="R1" s="273"/>
      <c r="S1" s="273"/>
      <c r="T1" s="273"/>
      <c r="U1" s="274"/>
    </row>
    <row r="2" spans="1:24" ht="18.75" customHeight="1" x14ac:dyDescent="0.25">
      <c r="A2" s="1"/>
      <c r="B2" s="2"/>
      <c r="C2" s="2"/>
      <c r="D2" s="2"/>
      <c r="E2" s="2"/>
      <c r="F2" s="2"/>
      <c r="G2" s="2"/>
      <c r="H2" s="2"/>
      <c r="I2" s="2"/>
      <c r="J2" s="2"/>
      <c r="K2" s="2"/>
      <c r="L2" s="2"/>
      <c r="M2" s="2"/>
      <c r="N2" s="2"/>
      <c r="O2" s="2"/>
      <c r="P2" s="2"/>
      <c r="Q2" s="2"/>
      <c r="R2" s="2"/>
      <c r="S2" s="2"/>
      <c r="T2" s="35"/>
      <c r="U2" s="36"/>
    </row>
    <row r="3" spans="1:24" x14ac:dyDescent="0.25">
      <c r="A3" s="275" t="s">
        <v>43</v>
      </c>
      <c r="B3" s="275"/>
      <c r="C3" s="275"/>
      <c r="D3" s="275"/>
      <c r="E3" s="275"/>
      <c r="F3" s="275"/>
      <c r="G3" s="275"/>
      <c r="H3" s="275"/>
      <c r="I3" s="275"/>
      <c r="J3" s="275"/>
      <c r="K3" s="275"/>
      <c r="L3" s="275"/>
      <c r="M3" s="275"/>
      <c r="N3" s="275"/>
      <c r="O3" s="275"/>
      <c r="P3" s="275"/>
      <c r="Q3" s="275"/>
      <c r="R3" s="275"/>
      <c r="S3" s="275"/>
      <c r="T3" s="275"/>
      <c r="U3" s="275"/>
      <c r="V3" s="3"/>
      <c r="W3" s="3"/>
      <c r="X3" s="3"/>
    </row>
    <row r="4" spans="1:24" ht="15.75" thickBot="1" x14ac:dyDescent="0.3">
      <c r="A4" s="4"/>
      <c r="B4" s="4"/>
      <c r="C4" s="4"/>
      <c r="D4" s="4"/>
      <c r="E4" s="4"/>
      <c r="F4" s="4"/>
      <c r="G4" s="4"/>
      <c r="H4" s="4"/>
      <c r="I4" s="4"/>
      <c r="J4" s="4"/>
      <c r="K4" s="4"/>
      <c r="L4" s="4"/>
      <c r="M4" s="4"/>
      <c r="N4" s="4"/>
      <c r="O4" s="4"/>
      <c r="P4" s="4"/>
      <c r="Q4" s="4"/>
      <c r="R4" s="4"/>
      <c r="S4" s="4"/>
      <c r="T4" s="4"/>
      <c r="U4" s="4"/>
      <c r="V4" s="3"/>
      <c r="W4" s="3"/>
      <c r="X4" s="3"/>
    </row>
    <row r="5" spans="1:24" ht="46.5" customHeight="1" thickBot="1" x14ac:dyDescent="0.3">
      <c r="A5" s="76" t="s">
        <v>28</v>
      </c>
      <c r="B5" s="76" t="s">
        <v>1</v>
      </c>
      <c r="C5" s="80" t="s">
        <v>2</v>
      </c>
      <c r="D5" s="80" t="s">
        <v>3</v>
      </c>
      <c r="E5" s="66" t="s">
        <v>25</v>
      </c>
      <c r="F5" s="66" t="s">
        <v>4</v>
      </c>
      <c r="G5" s="66" t="s">
        <v>5</v>
      </c>
      <c r="H5" s="66" t="s">
        <v>6</v>
      </c>
      <c r="I5" s="66" t="s">
        <v>7</v>
      </c>
      <c r="J5" s="66" t="s">
        <v>8</v>
      </c>
      <c r="K5" s="66" t="s">
        <v>9</v>
      </c>
      <c r="L5" s="67" t="s">
        <v>10</v>
      </c>
      <c r="M5" s="66" t="s">
        <v>11</v>
      </c>
      <c r="N5" s="68" t="s">
        <v>12</v>
      </c>
      <c r="O5" s="68" t="s">
        <v>13</v>
      </c>
      <c r="P5" s="66" t="s">
        <v>14</v>
      </c>
      <c r="Q5" s="68" t="s">
        <v>15</v>
      </c>
      <c r="R5" s="66" t="s">
        <v>16</v>
      </c>
      <c r="S5" s="66" t="s">
        <v>17</v>
      </c>
      <c r="T5" s="66" t="s">
        <v>18</v>
      </c>
      <c r="U5" s="81" t="s">
        <v>19</v>
      </c>
    </row>
    <row r="6" spans="1:24" ht="17.25" customHeight="1" x14ac:dyDescent="0.25">
      <c r="A6" s="298">
        <v>1</v>
      </c>
      <c r="B6" s="300"/>
      <c r="C6" s="307">
        <v>15</v>
      </c>
      <c r="D6" s="307" t="s">
        <v>20</v>
      </c>
      <c r="E6" s="83" t="s">
        <v>21</v>
      </c>
      <c r="F6" s="75">
        <f>'10A Sem 1'!E4</f>
        <v>74</v>
      </c>
      <c r="G6" s="75">
        <f>'10A Sem 1'!F4</f>
        <v>50</v>
      </c>
      <c r="H6" s="75">
        <f>'10A Sem 1'!G4</f>
        <v>51</v>
      </c>
      <c r="I6" s="75">
        <f>'10A Sem 1'!H4</f>
        <v>58</v>
      </c>
      <c r="J6" s="75">
        <f>'10A Sem 1'!I4</f>
        <v>44</v>
      </c>
      <c r="K6" s="75">
        <f>'10A Sem 1'!J4</f>
        <v>45</v>
      </c>
      <c r="L6" s="75">
        <f>'10A Sem 1'!K4</f>
        <v>53</v>
      </c>
      <c r="M6" s="75">
        <f>'10A Sem 1'!L4</f>
        <v>58</v>
      </c>
      <c r="N6" s="75">
        <f>'10A Sem 1'!M4</f>
        <v>63</v>
      </c>
      <c r="O6" s="75">
        <f>'10A Sem 1'!N4</f>
        <v>72</v>
      </c>
      <c r="P6" s="75">
        <f>'10A Sem 1'!O4</f>
        <v>83</v>
      </c>
      <c r="Q6" s="75">
        <f>'10A Sem 1'!P4</f>
        <v>651</v>
      </c>
      <c r="R6" s="75">
        <f>'10A Sem 1'!Q4</f>
        <v>59.18181818181818</v>
      </c>
      <c r="S6" s="189">
        <f>'10A Sem 1'!R4</f>
        <v>47</v>
      </c>
      <c r="T6" s="79">
        <f>'10A Sem 1'!S4</f>
        <v>0</v>
      </c>
      <c r="U6" s="79">
        <f>'10A Sem 1'!T4</f>
        <v>0</v>
      </c>
    </row>
    <row r="7" spans="1:24" ht="17.25" customHeight="1" x14ac:dyDescent="0.25">
      <c r="A7" s="299"/>
      <c r="B7" s="293"/>
      <c r="C7" s="294">
        <v>15</v>
      </c>
      <c r="D7" s="294" t="s">
        <v>20</v>
      </c>
      <c r="E7" s="84" t="s">
        <v>22</v>
      </c>
      <c r="F7" s="38">
        <f>'10A Sem 2'!E4</f>
        <v>77</v>
      </c>
      <c r="G7" s="38">
        <f>'10A Sem 2'!F4</f>
        <v>56</v>
      </c>
      <c r="H7" s="38">
        <f>'10A Sem 2'!G4</f>
        <v>44</v>
      </c>
      <c r="I7" s="38">
        <f>'10A Sem 2'!H4</f>
        <v>50</v>
      </c>
      <c r="J7" s="38">
        <f>'10A Sem 2'!I4</f>
        <v>48</v>
      </c>
      <c r="K7" s="38">
        <f>'10A Sem 2'!J4</f>
        <v>51</v>
      </c>
      <c r="L7" s="38">
        <f>'10A Sem 2'!K4</f>
        <v>56</v>
      </c>
      <c r="M7" s="38">
        <f>'10A Sem 2'!L4</f>
        <v>55</v>
      </c>
      <c r="N7" s="38">
        <f>'10A Sem 2'!M4</f>
        <v>67</v>
      </c>
      <c r="O7" s="38">
        <f>'10A Sem 2'!N4</f>
        <v>73</v>
      </c>
      <c r="P7" s="38">
        <f>'10A Sem 2'!O4</f>
        <v>90</v>
      </c>
      <c r="Q7" s="30">
        <f>'10A Sem 2'!P4</f>
        <v>667</v>
      </c>
      <c r="R7" s="30">
        <f>'10A Sem 2'!Q4</f>
        <v>60.636363636363633</v>
      </c>
      <c r="S7" s="190">
        <f>'10A Sem 2'!R4</f>
        <v>46</v>
      </c>
      <c r="T7" s="44">
        <f>'10A Sem 2'!S4</f>
        <v>0</v>
      </c>
      <c r="U7" s="44">
        <f>'10A Sem 2'!T4</f>
        <v>0</v>
      </c>
    </row>
    <row r="8" spans="1:24" ht="17.25" customHeight="1" x14ac:dyDescent="0.25">
      <c r="A8" s="299"/>
      <c r="B8" s="293"/>
      <c r="C8" s="294">
        <v>15</v>
      </c>
      <c r="D8" s="294" t="s">
        <v>20</v>
      </c>
      <c r="E8" s="84" t="s">
        <v>16</v>
      </c>
      <c r="F8" s="30">
        <f>AVERAGE(F6:F7)</f>
        <v>75.5</v>
      </c>
      <c r="G8" s="30">
        <f t="shared" ref="G8:R8" si="0">AVERAGE(G6:G7)</f>
        <v>53</v>
      </c>
      <c r="H8" s="30">
        <f t="shared" si="0"/>
        <v>47.5</v>
      </c>
      <c r="I8" s="30">
        <f t="shared" si="0"/>
        <v>54</v>
      </c>
      <c r="J8" s="30">
        <f t="shared" si="0"/>
        <v>46</v>
      </c>
      <c r="K8" s="30">
        <f t="shared" si="0"/>
        <v>48</v>
      </c>
      <c r="L8" s="30">
        <f t="shared" si="0"/>
        <v>54.5</v>
      </c>
      <c r="M8" s="30">
        <f t="shared" si="0"/>
        <v>56.5</v>
      </c>
      <c r="N8" s="30">
        <f t="shared" si="0"/>
        <v>65</v>
      </c>
      <c r="O8" s="30">
        <f t="shared" si="0"/>
        <v>72.5</v>
      </c>
      <c r="P8" s="30">
        <f t="shared" si="0"/>
        <v>86.5</v>
      </c>
      <c r="Q8" s="30">
        <f t="shared" si="0"/>
        <v>659</v>
      </c>
      <c r="R8" s="30">
        <f t="shared" si="0"/>
        <v>59.909090909090907</v>
      </c>
      <c r="S8" s="190">
        <f>'10A Sem avr'!$H$4</f>
        <v>47</v>
      </c>
      <c r="T8" s="44">
        <f>AVERAGE(T6:T7)</f>
        <v>0</v>
      </c>
      <c r="U8" s="44">
        <f>AVERAGE(U6:U7)</f>
        <v>0</v>
      </c>
    </row>
    <row r="9" spans="1:24" ht="17.25" customHeight="1" x14ac:dyDescent="0.25">
      <c r="A9" s="295">
        <v>2</v>
      </c>
      <c r="B9" s="293"/>
      <c r="C9" s="294">
        <v>15</v>
      </c>
      <c r="D9" s="294" t="s">
        <v>20</v>
      </c>
      <c r="E9" s="84" t="s">
        <v>21</v>
      </c>
      <c r="F9" s="30">
        <f>'10A Sem 1'!E5</f>
        <v>94</v>
      </c>
      <c r="G9" s="30">
        <f>'10A Sem 1'!F5</f>
        <v>92</v>
      </c>
      <c r="H9" s="30">
        <f>'10A Sem 1'!G5</f>
        <v>95</v>
      </c>
      <c r="I9" s="30">
        <f>'10A Sem 1'!H5</f>
        <v>97</v>
      </c>
      <c r="J9" s="30">
        <f>'10A Sem 1'!I5</f>
        <v>95</v>
      </c>
      <c r="K9" s="30">
        <f>'10A Sem 1'!J5</f>
        <v>97</v>
      </c>
      <c r="L9" s="30">
        <f>'10A Sem 1'!K5</f>
        <v>98</v>
      </c>
      <c r="M9" s="30">
        <f>'10A Sem 1'!L5</f>
        <v>96</v>
      </c>
      <c r="N9" s="30">
        <f>'10A Sem 1'!M5</f>
        <v>95</v>
      </c>
      <c r="O9" s="30">
        <f>'10A Sem 1'!N5</f>
        <v>98</v>
      </c>
      <c r="P9" s="30">
        <f>'10A Sem 1'!O5</f>
        <v>99</v>
      </c>
      <c r="Q9" s="30">
        <f>'10A Sem 1'!P5</f>
        <v>1056</v>
      </c>
      <c r="R9" s="30">
        <f>'10A Sem 1'!Q5</f>
        <v>96</v>
      </c>
      <c r="S9" s="190">
        <f>'10A Sem 1'!R5</f>
        <v>1</v>
      </c>
      <c r="T9" s="44">
        <f>'10A Sem 1'!S5</f>
        <v>0</v>
      </c>
      <c r="U9" s="44">
        <f>'10A Sem 1'!T5</f>
        <v>0</v>
      </c>
    </row>
    <row r="10" spans="1:24" ht="17.25" customHeight="1" x14ac:dyDescent="0.25">
      <c r="A10" s="295"/>
      <c r="B10" s="293"/>
      <c r="C10" s="294">
        <v>15</v>
      </c>
      <c r="D10" s="294" t="s">
        <v>20</v>
      </c>
      <c r="E10" s="84" t="s">
        <v>22</v>
      </c>
      <c r="F10" s="30">
        <f>'10A Sem 2'!E5</f>
        <v>89</v>
      </c>
      <c r="G10" s="30">
        <f>'10A Sem 2'!F5</f>
        <v>95</v>
      </c>
      <c r="H10" s="30">
        <f>'10A Sem 2'!G5</f>
        <v>95</v>
      </c>
      <c r="I10" s="30">
        <f>'10A Sem 2'!H5</f>
        <v>93</v>
      </c>
      <c r="J10" s="30">
        <f>'10A Sem 2'!I5</f>
        <v>87</v>
      </c>
      <c r="K10" s="30">
        <f>'10A Sem 2'!J5</f>
        <v>94</v>
      </c>
      <c r="L10" s="30">
        <f>'10A Sem 2'!K5</f>
        <v>96</v>
      </c>
      <c r="M10" s="30">
        <f>'10A Sem 2'!L5</f>
        <v>95</v>
      </c>
      <c r="N10" s="30">
        <f>'10A Sem 2'!M5</f>
        <v>100</v>
      </c>
      <c r="O10" s="30">
        <f>'10A Sem 2'!N5</f>
        <v>99</v>
      </c>
      <c r="P10" s="30">
        <f>'10A Sem 2'!O5</f>
        <v>100</v>
      </c>
      <c r="Q10" s="30">
        <f>'10A Sem 2'!P5</f>
        <v>1043</v>
      </c>
      <c r="R10" s="30">
        <f>'10A Sem 2'!Q5</f>
        <v>94.818181818181813</v>
      </c>
      <c r="S10" s="190">
        <f>'10A Sem 2'!R5</f>
        <v>2</v>
      </c>
      <c r="T10" s="44">
        <f>'10A Sem 2'!S5</f>
        <v>0</v>
      </c>
      <c r="U10" s="44">
        <f>'10A Sem 2'!T5</f>
        <v>0</v>
      </c>
    </row>
    <row r="11" spans="1:24" ht="17.25" customHeight="1" x14ac:dyDescent="0.25">
      <c r="A11" s="295"/>
      <c r="B11" s="293"/>
      <c r="C11" s="294">
        <v>15</v>
      </c>
      <c r="D11" s="294" t="s">
        <v>20</v>
      </c>
      <c r="E11" s="84" t="s">
        <v>16</v>
      </c>
      <c r="F11" s="30">
        <f>AVERAGE(F9:F10)</f>
        <v>91.5</v>
      </c>
      <c r="G11" s="30">
        <f t="shared" ref="G11:R11" si="1">AVERAGE(G9:G10)</f>
        <v>93.5</v>
      </c>
      <c r="H11" s="30">
        <f t="shared" si="1"/>
        <v>95</v>
      </c>
      <c r="I11" s="30">
        <f t="shared" si="1"/>
        <v>95</v>
      </c>
      <c r="J11" s="30">
        <f t="shared" si="1"/>
        <v>91</v>
      </c>
      <c r="K11" s="30">
        <f t="shared" si="1"/>
        <v>95.5</v>
      </c>
      <c r="L11" s="30">
        <f t="shared" si="1"/>
        <v>97</v>
      </c>
      <c r="M11" s="30">
        <f t="shared" si="1"/>
        <v>95.5</v>
      </c>
      <c r="N11" s="30">
        <f t="shared" si="1"/>
        <v>97.5</v>
      </c>
      <c r="O11" s="30">
        <f t="shared" si="1"/>
        <v>98.5</v>
      </c>
      <c r="P11" s="30">
        <f t="shared" si="1"/>
        <v>99.5</v>
      </c>
      <c r="Q11" s="30">
        <f t="shared" si="1"/>
        <v>1049.5</v>
      </c>
      <c r="R11" s="30">
        <f t="shared" si="1"/>
        <v>95.409090909090907</v>
      </c>
      <c r="S11" s="190">
        <f>'10A Sem avr'!$H$5</f>
        <v>1</v>
      </c>
      <c r="T11" s="44">
        <f>AVERAGE(T9:T10)</f>
        <v>0</v>
      </c>
      <c r="U11" s="44">
        <f>AVERAGE(U9:U10)</f>
        <v>0</v>
      </c>
    </row>
    <row r="12" spans="1:24" ht="17.25" customHeight="1" x14ac:dyDescent="0.25">
      <c r="A12" s="292">
        <v>3</v>
      </c>
      <c r="B12" s="296"/>
      <c r="C12" s="294">
        <v>17</v>
      </c>
      <c r="D12" s="294" t="s">
        <v>20</v>
      </c>
      <c r="E12" s="84" t="s">
        <v>21</v>
      </c>
      <c r="F12" s="30">
        <f>'10A Sem 1'!E6</f>
        <v>79</v>
      </c>
      <c r="G12" s="30">
        <f>'10A Sem 1'!F6</f>
        <v>87</v>
      </c>
      <c r="H12" s="30">
        <f>'10A Sem 1'!G6</f>
        <v>88</v>
      </c>
      <c r="I12" s="30">
        <f>'10A Sem 1'!H6</f>
        <v>81</v>
      </c>
      <c r="J12" s="30">
        <f>'10A Sem 1'!I6</f>
        <v>84</v>
      </c>
      <c r="K12" s="30">
        <f>'10A Sem 1'!J6</f>
        <v>86</v>
      </c>
      <c r="L12" s="30">
        <f>'10A Sem 1'!K6</f>
        <v>75</v>
      </c>
      <c r="M12" s="30">
        <f>'10A Sem 1'!L6</f>
        <v>70</v>
      </c>
      <c r="N12" s="30">
        <f>'10A Sem 1'!M6</f>
        <v>71</v>
      </c>
      <c r="O12" s="30">
        <f>'10A Sem 1'!N6</f>
        <v>75</v>
      </c>
      <c r="P12" s="30">
        <f>'10A Sem 1'!O6</f>
        <v>83</v>
      </c>
      <c r="Q12" s="30">
        <f>'10A Sem 1'!P6</f>
        <v>879</v>
      </c>
      <c r="R12" s="30">
        <f>'10A Sem 1'!Q6</f>
        <v>79.909090909090907</v>
      </c>
      <c r="S12" s="190">
        <f>'10A Sem 1'!R6</f>
        <v>18</v>
      </c>
      <c r="T12" s="44">
        <f>'10A Sem 1'!S6</f>
        <v>0</v>
      </c>
      <c r="U12" s="44">
        <f>'10A Sem 1'!T6</f>
        <v>0</v>
      </c>
    </row>
    <row r="13" spans="1:24" ht="17.25" customHeight="1" x14ac:dyDescent="0.25">
      <c r="A13" s="292"/>
      <c r="B13" s="296"/>
      <c r="C13" s="294">
        <v>17</v>
      </c>
      <c r="D13" s="294" t="s">
        <v>20</v>
      </c>
      <c r="E13" s="84" t="s">
        <v>22</v>
      </c>
      <c r="F13" s="30">
        <f>'10A Sem 2'!E6</f>
        <v>72</v>
      </c>
      <c r="G13" s="30">
        <f>'10A Sem 2'!F6</f>
        <v>90</v>
      </c>
      <c r="H13" s="30">
        <f>'10A Sem 2'!G6</f>
        <v>90</v>
      </c>
      <c r="I13" s="30">
        <f>'10A Sem 2'!H6</f>
        <v>74</v>
      </c>
      <c r="J13" s="30">
        <f>'10A Sem 2'!I6</f>
        <v>72</v>
      </c>
      <c r="K13" s="30">
        <f>'10A Sem 2'!J6</f>
        <v>81</v>
      </c>
      <c r="L13" s="30">
        <f>'10A Sem 2'!K6</f>
        <v>84</v>
      </c>
      <c r="M13" s="30">
        <f>'10A Sem 2'!L6</f>
        <v>68</v>
      </c>
      <c r="N13" s="30">
        <f>'10A Sem 2'!M6</f>
        <v>91</v>
      </c>
      <c r="O13" s="30">
        <f>'10A Sem 2'!N6</f>
        <v>79</v>
      </c>
      <c r="P13" s="30">
        <f>'10A Sem 2'!O6</f>
        <v>75</v>
      </c>
      <c r="Q13" s="30">
        <f>'10A Sem 2'!P6</f>
        <v>876</v>
      </c>
      <c r="R13" s="30">
        <f>'10A Sem 2'!Q6</f>
        <v>79.63636363636364</v>
      </c>
      <c r="S13" s="190">
        <f>'10A Sem 2'!R6</f>
        <v>19</v>
      </c>
      <c r="T13" s="44">
        <f>'10A Sem 2'!S6</f>
        <v>0</v>
      </c>
      <c r="U13" s="44">
        <f>'10A Sem 2'!T6</f>
        <v>0</v>
      </c>
    </row>
    <row r="14" spans="1:24" ht="17.25" customHeight="1" x14ac:dyDescent="0.25">
      <c r="A14" s="292"/>
      <c r="B14" s="296"/>
      <c r="C14" s="294">
        <v>17</v>
      </c>
      <c r="D14" s="294" t="s">
        <v>20</v>
      </c>
      <c r="E14" s="84" t="s">
        <v>16</v>
      </c>
      <c r="F14" s="30">
        <f>AVERAGE(F12:F13)</f>
        <v>75.5</v>
      </c>
      <c r="G14" s="30">
        <f t="shared" ref="G14:R14" si="2">AVERAGE(G12:G13)</f>
        <v>88.5</v>
      </c>
      <c r="H14" s="30">
        <f t="shared" si="2"/>
        <v>89</v>
      </c>
      <c r="I14" s="30">
        <f t="shared" si="2"/>
        <v>77.5</v>
      </c>
      <c r="J14" s="30">
        <f t="shared" si="2"/>
        <v>78</v>
      </c>
      <c r="K14" s="30">
        <f t="shared" si="2"/>
        <v>83.5</v>
      </c>
      <c r="L14" s="30">
        <f t="shared" si="2"/>
        <v>79.5</v>
      </c>
      <c r="M14" s="30">
        <f t="shared" si="2"/>
        <v>69</v>
      </c>
      <c r="N14" s="30">
        <f t="shared" si="2"/>
        <v>81</v>
      </c>
      <c r="O14" s="30">
        <f t="shared" si="2"/>
        <v>77</v>
      </c>
      <c r="P14" s="30">
        <f t="shared" si="2"/>
        <v>79</v>
      </c>
      <c r="Q14" s="30">
        <f t="shared" si="2"/>
        <v>877.5</v>
      </c>
      <c r="R14" s="30">
        <f t="shared" si="2"/>
        <v>79.77272727272728</v>
      </c>
      <c r="S14" s="190">
        <f>'10A Sem avr'!$H$6</f>
        <v>18</v>
      </c>
      <c r="T14" s="44">
        <f>AVERAGE(T12:T13)</f>
        <v>0</v>
      </c>
      <c r="U14" s="44">
        <f>AVERAGE(U12:U13)</f>
        <v>0</v>
      </c>
    </row>
    <row r="15" spans="1:24" ht="17.25" customHeight="1" x14ac:dyDescent="0.25">
      <c r="A15" s="295">
        <v>4</v>
      </c>
      <c r="B15" s="293"/>
      <c r="C15" s="294">
        <v>15</v>
      </c>
      <c r="D15" s="294" t="s">
        <v>20</v>
      </c>
      <c r="E15" s="84" t="s">
        <v>21</v>
      </c>
      <c r="F15" s="30">
        <f>'10A Sem 1'!E7</f>
        <v>88</v>
      </c>
      <c r="G15" s="30">
        <f>'10A Sem 1'!F7</f>
        <v>82</v>
      </c>
      <c r="H15" s="30">
        <f>'10A Sem 1'!G7</f>
        <v>75</v>
      </c>
      <c r="I15" s="30">
        <f>'10A Sem 1'!H7</f>
        <v>74</v>
      </c>
      <c r="J15" s="30">
        <f>'10A Sem 1'!I7</f>
        <v>68</v>
      </c>
      <c r="K15" s="30">
        <f>'10A Sem 1'!J7</f>
        <v>93</v>
      </c>
      <c r="L15" s="30">
        <f>'10A Sem 1'!K7</f>
        <v>79</v>
      </c>
      <c r="M15" s="30">
        <f>'10A Sem 1'!L7</f>
        <v>89</v>
      </c>
      <c r="N15" s="30">
        <f>'10A Sem 1'!M7</f>
        <v>81</v>
      </c>
      <c r="O15" s="30">
        <f>'10A Sem 1'!N7</f>
        <v>99</v>
      </c>
      <c r="P15" s="30">
        <f>'10A Sem 1'!O7</f>
        <v>98</v>
      </c>
      <c r="Q15" s="30">
        <f>'10A Sem 1'!P7</f>
        <v>926</v>
      </c>
      <c r="R15" s="30">
        <f>'10A Sem 1'!Q7</f>
        <v>84.181818181818187</v>
      </c>
      <c r="S15" s="190">
        <f>'10A Sem 1'!R7</f>
        <v>13</v>
      </c>
      <c r="T15" s="44">
        <f>'10A Sem 1'!S7</f>
        <v>0</v>
      </c>
      <c r="U15" s="44">
        <f>'10A Sem 1'!T7</f>
        <v>0</v>
      </c>
    </row>
    <row r="16" spans="1:24" ht="17.25" customHeight="1" x14ac:dyDescent="0.25">
      <c r="A16" s="295"/>
      <c r="B16" s="293"/>
      <c r="C16" s="294">
        <v>15</v>
      </c>
      <c r="D16" s="294" t="s">
        <v>20</v>
      </c>
      <c r="E16" s="84" t="s">
        <v>22</v>
      </c>
      <c r="F16" s="30">
        <f>'10A Sem 2'!E7</f>
        <v>78</v>
      </c>
      <c r="G16" s="30">
        <f>'10A Sem 2'!F7</f>
        <v>84</v>
      </c>
      <c r="H16" s="30">
        <f>'10A Sem 2'!G7</f>
        <v>61</v>
      </c>
      <c r="I16" s="30">
        <f>'10A Sem 2'!H7</f>
        <v>62</v>
      </c>
      <c r="J16" s="30">
        <f>'10A Sem 2'!I7</f>
        <v>69</v>
      </c>
      <c r="K16" s="30">
        <f>'10A Sem 2'!J7</f>
        <v>88</v>
      </c>
      <c r="L16" s="30">
        <f>'10A Sem 2'!K7</f>
        <v>85</v>
      </c>
      <c r="M16" s="30">
        <f>'10A Sem 2'!L7</f>
        <v>88</v>
      </c>
      <c r="N16" s="30">
        <f>'10A Sem 2'!M7</f>
        <v>90</v>
      </c>
      <c r="O16" s="30">
        <f>'10A Sem 2'!N7</f>
        <v>94</v>
      </c>
      <c r="P16" s="30">
        <f>'10A Sem 2'!O7</f>
        <v>92</v>
      </c>
      <c r="Q16" s="30">
        <f>'10A Sem 2'!P7</f>
        <v>891</v>
      </c>
      <c r="R16" s="30">
        <f>'10A Sem 2'!Q7</f>
        <v>81</v>
      </c>
      <c r="S16" s="190">
        <f>'10A Sem 2'!R7</f>
        <v>18</v>
      </c>
      <c r="T16" s="44">
        <f>'10A Sem 2'!S7</f>
        <v>0</v>
      </c>
      <c r="U16" s="44">
        <f>'10A Sem 2'!T7</f>
        <v>0</v>
      </c>
    </row>
    <row r="17" spans="1:21" ht="17.25" customHeight="1" x14ac:dyDescent="0.25">
      <c r="A17" s="295"/>
      <c r="B17" s="293"/>
      <c r="C17" s="294">
        <v>15</v>
      </c>
      <c r="D17" s="294" t="s">
        <v>20</v>
      </c>
      <c r="E17" s="84" t="s">
        <v>16</v>
      </c>
      <c r="F17" s="30">
        <f>AVERAGE(F15:F16)</f>
        <v>83</v>
      </c>
      <c r="G17" s="30">
        <f t="shared" ref="G17:R17" si="3">AVERAGE(G15:G16)</f>
        <v>83</v>
      </c>
      <c r="H17" s="30">
        <f t="shared" si="3"/>
        <v>68</v>
      </c>
      <c r="I17" s="30">
        <f t="shared" si="3"/>
        <v>68</v>
      </c>
      <c r="J17" s="30">
        <f t="shared" si="3"/>
        <v>68.5</v>
      </c>
      <c r="K17" s="30">
        <f t="shared" si="3"/>
        <v>90.5</v>
      </c>
      <c r="L17" s="30">
        <f t="shared" si="3"/>
        <v>82</v>
      </c>
      <c r="M17" s="30">
        <f t="shared" si="3"/>
        <v>88.5</v>
      </c>
      <c r="N17" s="30">
        <f t="shared" si="3"/>
        <v>85.5</v>
      </c>
      <c r="O17" s="30">
        <f t="shared" si="3"/>
        <v>96.5</v>
      </c>
      <c r="P17" s="30">
        <f t="shared" si="3"/>
        <v>95</v>
      </c>
      <c r="Q17" s="30">
        <f t="shared" si="3"/>
        <v>908.5</v>
      </c>
      <c r="R17" s="30">
        <f t="shared" si="3"/>
        <v>82.590909090909093</v>
      </c>
      <c r="S17" s="190">
        <f>'10A Sem avr'!$H$7</f>
        <v>15</v>
      </c>
      <c r="T17" s="44">
        <f>AVERAGE(T15:T16)</f>
        <v>0</v>
      </c>
      <c r="U17" s="44">
        <f>AVERAGE(U15:U16)</f>
        <v>0</v>
      </c>
    </row>
    <row r="18" spans="1:21" ht="17.25" customHeight="1" x14ac:dyDescent="0.25">
      <c r="A18" s="295">
        <v>5</v>
      </c>
      <c r="B18" s="296"/>
      <c r="C18" s="323">
        <v>16</v>
      </c>
      <c r="D18" s="323" t="s">
        <v>23</v>
      </c>
      <c r="E18" s="84" t="s">
        <v>21</v>
      </c>
      <c r="F18" s="30">
        <f>'10A Sem 1'!E8</f>
        <v>84</v>
      </c>
      <c r="G18" s="30">
        <f>'10A Sem 1'!F8</f>
        <v>60</v>
      </c>
      <c r="H18" s="30">
        <f>'10A Sem 1'!G8</f>
        <v>62</v>
      </c>
      <c r="I18" s="30">
        <f>'10A Sem 1'!H8</f>
        <v>62</v>
      </c>
      <c r="J18" s="30">
        <f>'10A Sem 1'!I8</f>
        <v>52</v>
      </c>
      <c r="K18" s="30">
        <f>'10A Sem 1'!J8</f>
        <v>53</v>
      </c>
      <c r="L18" s="30">
        <f>'10A Sem 1'!K8</f>
        <v>66</v>
      </c>
      <c r="M18" s="30">
        <f>'10A Sem 1'!L8</f>
        <v>63</v>
      </c>
      <c r="N18" s="30">
        <f>'10A Sem 1'!M8</f>
        <v>64</v>
      </c>
      <c r="O18" s="30">
        <f>'10A Sem 1'!N8</f>
        <v>82</v>
      </c>
      <c r="P18" s="30">
        <f>'10A Sem 1'!O8</f>
        <v>80</v>
      </c>
      <c r="Q18" s="30">
        <f>'10A Sem 1'!P8</f>
        <v>728</v>
      </c>
      <c r="R18" s="30">
        <f>'10A Sem 1'!Q8</f>
        <v>66.181818181818187</v>
      </c>
      <c r="S18" s="190">
        <f>'10A Sem 1'!R8</f>
        <v>34</v>
      </c>
      <c r="T18" s="44">
        <f>'10A Sem 1'!S8</f>
        <v>0</v>
      </c>
      <c r="U18" s="44">
        <f>'10A Sem 1'!T8</f>
        <v>0</v>
      </c>
    </row>
    <row r="19" spans="1:21" ht="17.25" customHeight="1" x14ac:dyDescent="0.25">
      <c r="A19" s="295"/>
      <c r="B19" s="296"/>
      <c r="C19" s="324">
        <v>16</v>
      </c>
      <c r="D19" s="324" t="s">
        <v>23</v>
      </c>
      <c r="E19" s="84" t="s">
        <v>22</v>
      </c>
      <c r="F19" s="30">
        <f>'10A Sem 2'!E8</f>
        <v>83</v>
      </c>
      <c r="G19" s="30">
        <f>'10A Sem 2'!F8</f>
        <v>69</v>
      </c>
      <c r="H19" s="30">
        <f>'10A Sem 2'!G8</f>
        <v>46</v>
      </c>
      <c r="I19" s="30">
        <f>'10A Sem 2'!H8</f>
        <v>60</v>
      </c>
      <c r="J19" s="30">
        <f>'10A Sem 2'!I8</f>
        <v>70</v>
      </c>
      <c r="K19" s="30">
        <f>'10A Sem 2'!J8</f>
        <v>72</v>
      </c>
      <c r="L19" s="30">
        <f>'10A Sem 2'!K8</f>
        <v>78</v>
      </c>
      <c r="M19" s="30">
        <f>'10A Sem 2'!L8</f>
        <v>72</v>
      </c>
      <c r="N19" s="30">
        <f>'10A Sem 2'!M8</f>
        <v>84</v>
      </c>
      <c r="O19" s="30">
        <f>'10A Sem 2'!N8</f>
        <v>81</v>
      </c>
      <c r="P19" s="30">
        <f>'10A Sem 2'!O8</f>
        <v>95</v>
      </c>
      <c r="Q19" s="30">
        <f>'10A Sem 2'!P8</f>
        <v>810</v>
      </c>
      <c r="R19" s="30">
        <f>'10A Sem 2'!Q8</f>
        <v>73.63636363636364</v>
      </c>
      <c r="S19" s="190">
        <f>'10A Sem 2'!R8</f>
        <v>26</v>
      </c>
      <c r="T19" s="44">
        <f>'10A Sem 2'!S8</f>
        <v>0</v>
      </c>
      <c r="U19" s="44">
        <f>'10A Sem 2'!T8</f>
        <v>0</v>
      </c>
    </row>
    <row r="20" spans="1:21" ht="17.25" customHeight="1" x14ac:dyDescent="0.25">
      <c r="A20" s="295"/>
      <c r="B20" s="296"/>
      <c r="C20" s="325">
        <v>16</v>
      </c>
      <c r="D20" s="325" t="s">
        <v>23</v>
      </c>
      <c r="E20" s="84" t="s">
        <v>16</v>
      </c>
      <c r="F20" s="30">
        <f>AVERAGE(F18:F19)</f>
        <v>83.5</v>
      </c>
      <c r="G20" s="30">
        <f t="shared" ref="G20:R20" si="4">AVERAGE(G18:G19)</f>
        <v>64.5</v>
      </c>
      <c r="H20" s="30">
        <f t="shared" si="4"/>
        <v>54</v>
      </c>
      <c r="I20" s="30">
        <f t="shared" si="4"/>
        <v>61</v>
      </c>
      <c r="J20" s="30">
        <f t="shared" si="4"/>
        <v>61</v>
      </c>
      <c r="K20" s="30">
        <f t="shared" si="4"/>
        <v>62.5</v>
      </c>
      <c r="L20" s="30">
        <f t="shared" si="4"/>
        <v>72</v>
      </c>
      <c r="M20" s="30">
        <f t="shared" si="4"/>
        <v>67.5</v>
      </c>
      <c r="N20" s="30">
        <f t="shared" si="4"/>
        <v>74</v>
      </c>
      <c r="O20" s="30">
        <f t="shared" si="4"/>
        <v>81.5</v>
      </c>
      <c r="P20" s="30">
        <f t="shared" si="4"/>
        <v>87.5</v>
      </c>
      <c r="Q20" s="30">
        <f t="shared" si="4"/>
        <v>769</v>
      </c>
      <c r="R20" s="30">
        <f t="shared" si="4"/>
        <v>69.909090909090907</v>
      </c>
      <c r="S20" s="190">
        <f>'10A Sem avr'!$H$8</f>
        <v>31</v>
      </c>
      <c r="T20" s="44">
        <f>AVERAGE(T18:T19)</f>
        <v>0</v>
      </c>
      <c r="U20" s="44">
        <f>AVERAGE(U18:U19)</f>
        <v>0</v>
      </c>
    </row>
    <row r="21" spans="1:21" ht="17.25" customHeight="1" x14ac:dyDescent="0.25">
      <c r="A21" s="292">
        <v>6</v>
      </c>
      <c r="B21" s="293"/>
      <c r="C21" s="294">
        <v>16</v>
      </c>
      <c r="D21" s="294" t="s">
        <v>23</v>
      </c>
      <c r="E21" s="84" t="s">
        <v>21</v>
      </c>
      <c r="F21" s="30">
        <f>'10A Sem 1'!E9</f>
        <v>80</v>
      </c>
      <c r="G21" s="30">
        <f>'10A Sem 1'!F9</f>
        <v>50</v>
      </c>
      <c r="H21" s="30">
        <f>'10A Sem 1'!G9</f>
        <v>65</v>
      </c>
      <c r="I21" s="30">
        <f>'10A Sem 1'!H9</f>
        <v>59</v>
      </c>
      <c r="J21" s="30">
        <f>'10A Sem 1'!I9</f>
        <v>51</v>
      </c>
      <c r="K21" s="30">
        <f>'10A Sem 1'!J9</f>
        <v>56</v>
      </c>
      <c r="L21" s="30">
        <f>'10A Sem 1'!K9</f>
        <v>62</v>
      </c>
      <c r="M21" s="30">
        <f>'10A Sem 1'!L9</f>
        <v>50</v>
      </c>
      <c r="N21" s="30">
        <f>'10A Sem 1'!M9</f>
        <v>61</v>
      </c>
      <c r="O21" s="30">
        <f>'10A Sem 1'!N9</f>
        <v>76</v>
      </c>
      <c r="P21" s="30">
        <f>'10A Sem 1'!O9</f>
        <v>88</v>
      </c>
      <c r="Q21" s="30">
        <f>'10A Sem 1'!P9</f>
        <v>698</v>
      </c>
      <c r="R21" s="30">
        <f>'10A Sem 1'!Q9</f>
        <v>63.454545454545453</v>
      </c>
      <c r="S21" s="190">
        <f>'10A Sem 1'!R9</f>
        <v>40</v>
      </c>
      <c r="T21" s="44">
        <f>'10A Sem 1'!S9</f>
        <v>0</v>
      </c>
      <c r="U21" s="44">
        <f>'10A Sem 1'!T9</f>
        <v>0</v>
      </c>
    </row>
    <row r="22" spans="1:21" ht="17.25" customHeight="1" x14ac:dyDescent="0.25">
      <c r="A22" s="292"/>
      <c r="B22" s="293"/>
      <c r="C22" s="294">
        <v>16</v>
      </c>
      <c r="D22" s="294" t="s">
        <v>23</v>
      </c>
      <c r="E22" s="84" t="s">
        <v>22</v>
      </c>
      <c r="F22" s="30">
        <f>'10A Sem 2'!E9</f>
        <v>72</v>
      </c>
      <c r="G22" s="30">
        <f>'10A Sem 2'!F9</f>
        <v>52</v>
      </c>
      <c r="H22" s="30">
        <f>'10A Sem 2'!G9</f>
        <v>53</v>
      </c>
      <c r="I22" s="30">
        <f>'10A Sem 2'!H9</f>
        <v>44</v>
      </c>
      <c r="J22" s="30">
        <f>'10A Sem 2'!I9</f>
        <v>43</v>
      </c>
      <c r="K22" s="30">
        <f>'10A Sem 2'!J9</f>
        <v>73</v>
      </c>
      <c r="L22" s="30">
        <f>'10A Sem 2'!K9</f>
        <v>69</v>
      </c>
      <c r="M22" s="30">
        <f>'10A Sem 2'!L9</f>
        <v>66</v>
      </c>
      <c r="N22" s="30">
        <f>'10A Sem 2'!M9</f>
        <v>68</v>
      </c>
      <c r="O22" s="30">
        <f>'10A Sem 2'!N9</f>
        <v>79</v>
      </c>
      <c r="P22" s="30">
        <f>'10A Sem 2'!O9</f>
        <v>87</v>
      </c>
      <c r="Q22" s="30">
        <f>'10A Sem 2'!P9</f>
        <v>706</v>
      </c>
      <c r="R22" s="30">
        <f>'10A Sem 2'!Q9</f>
        <v>64.181818181818187</v>
      </c>
      <c r="S22" s="190">
        <f>'10A Sem 2'!R9</f>
        <v>40</v>
      </c>
      <c r="T22" s="44">
        <f>'10A Sem 2'!S9</f>
        <v>0</v>
      </c>
      <c r="U22" s="44">
        <f>'10A Sem 2'!T9</f>
        <v>0</v>
      </c>
    </row>
    <row r="23" spans="1:21" ht="17.25" customHeight="1" x14ac:dyDescent="0.25">
      <c r="A23" s="292"/>
      <c r="B23" s="293"/>
      <c r="C23" s="294">
        <v>16</v>
      </c>
      <c r="D23" s="294" t="s">
        <v>23</v>
      </c>
      <c r="E23" s="84" t="s">
        <v>16</v>
      </c>
      <c r="F23" s="30">
        <f>AVERAGE(F21:F22)</f>
        <v>76</v>
      </c>
      <c r="G23" s="30">
        <f t="shared" ref="G23:R23" si="5">AVERAGE(G21:G22)</f>
        <v>51</v>
      </c>
      <c r="H23" s="30">
        <f t="shared" si="5"/>
        <v>59</v>
      </c>
      <c r="I23" s="30">
        <f t="shared" si="5"/>
        <v>51.5</v>
      </c>
      <c r="J23" s="30">
        <f t="shared" si="5"/>
        <v>47</v>
      </c>
      <c r="K23" s="30">
        <f t="shared" si="5"/>
        <v>64.5</v>
      </c>
      <c r="L23" s="30">
        <f t="shared" si="5"/>
        <v>65.5</v>
      </c>
      <c r="M23" s="30">
        <f t="shared" si="5"/>
        <v>58</v>
      </c>
      <c r="N23" s="30">
        <f t="shared" si="5"/>
        <v>64.5</v>
      </c>
      <c r="O23" s="30">
        <f t="shared" si="5"/>
        <v>77.5</v>
      </c>
      <c r="P23" s="30">
        <f t="shared" si="5"/>
        <v>87.5</v>
      </c>
      <c r="Q23" s="30">
        <f t="shared" si="5"/>
        <v>702</v>
      </c>
      <c r="R23" s="30">
        <f t="shared" si="5"/>
        <v>63.81818181818182</v>
      </c>
      <c r="S23" s="190">
        <f>'10A Sem avr'!$H$9</f>
        <v>41</v>
      </c>
      <c r="T23" s="44">
        <f>AVERAGE(T21:T22)</f>
        <v>0</v>
      </c>
      <c r="U23" s="44">
        <f>AVERAGE(U21:U22)</f>
        <v>0</v>
      </c>
    </row>
    <row r="24" spans="1:21" ht="17.25" customHeight="1" x14ac:dyDescent="0.25">
      <c r="A24" s="295">
        <v>7</v>
      </c>
      <c r="B24" s="296"/>
      <c r="C24" s="294">
        <v>16</v>
      </c>
      <c r="D24" s="294" t="s">
        <v>20</v>
      </c>
      <c r="E24" s="84" t="s">
        <v>21</v>
      </c>
      <c r="F24" s="30">
        <f>'10A Sem 1'!E10</f>
        <v>67</v>
      </c>
      <c r="G24" s="30">
        <f>'10A Sem 1'!F10</f>
        <v>76</v>
      </c>
      <c r="H24" s="30">
        <f>'10A Sem 1'!G10</f>
        <v>56</v>
      </c>
      <c r="I24" s="30">
        <f>'10A Sem 1'!H10</f>
        <v>55</v>
      </c>
      <c r="J24" s="30">
        <f>'10A Sem 1'!I10</f>
        <v>45</v>
      </c>
      <c r="K24" s="30">
        <f>'10A Sem 1'!J10</f>
        <v>47</v>
      </c>
      <c r="L24" s="30">
        <f>'10A Sem 1'!K10</f>
        <v>52</v>
      </c>
      <c r="M24" s="30">
        <f>'10A Sem 1'!L10</f>
        <v>57</v>
      </c>
      <c r="N24" s="30">
        <f>'10A Sem 1'!M10</f>
        <v>56</v>
      </c>
      <c r="O24" s="30">
        <f>'10A Sem 1'!N10</f>
        <v>78</v>
      </c>
      <c r="P24" s="30">
        <f>'10A Sem 1'!O10</f>
        <v>82</v>
      </c>
      <c r="Q24" s="30">
        <f>'10A Sem 1'!P10</f>
        <v>671</v>
      </c>
      <c r="R24" s="30">
        <f>'10A Sem 1'!Q10</f>
        <v>61</v>
      </c>
      <c r="S24" s="190">
        <f>'10A Sem 1'!R10</f>
        <v>43</v>
      </c>
      <c r="T24" s="44">
        <f>'10A Sem 1'!S10</f>
        <v>0</v>
      </c>
      <c r="U24" s="44">
        <f>'10A Sem 1'!T10</f>
        <v>0</v>
      </c>
    </row>
    <row r="25" spans="1:21" ht="17.25" customHeight="1" x14ac:dyDescent="0.25">
      <c r="A25" s="295"/>
      <c r="B25" s="296"/>
      <c r="C25" s="294">
        <v>16</v>
      </c>
      <c r="D25" s="294" t="s">
        <v>20</v>
      </c>
      <c r="E25" s="84" t="s">
        <v>22</v>
      </c>
      <c r="F25" s="30">
        <f>'10A Sem 2'!E10</f>
        <v>78</v>
      </c>
      <c r="G25" s="30">
        <f>'10A Sem 2'!F10</f>
        <v>76</v>
      </c>
      <c r="H25" s="30">
        <f>'10A Sem 2'!G10</f>
        <v>39</v>
      </c>
      <c r="I25" s="30">
        <f>'10A Sem 2'!H10</f>
        <v>39</v>
      </c>
      <c r="J25" s="30">
        <f>'10A Sem 2'!I10</f>
        <v>40</v>
      </c>
      <c r="K25" s="30">
        <f>'10A Sem 2'!J10</f>
        <v>43</v>
      </c>
      <c r="L25" s="30">
        <f>'10A Sem 2'!K10</f>
        <v>55</v>
      </c>
      <c r="M25" s="30">
        <f>'10A Sem 2'!L10</f>
        <v>51</v>
      </c>
      <c r="N25" s="30">
        <f>'10A Sem 2'!M10</f>
        <v>76</v>
      </c>
      <c r="O25" s="30">
        <f>'10A Sem 2'!N10</f>
        <v>79</v>
      </c>
      <c r="P25" s="30">
        <f>'10A Sem 2'!O10</f>
        <v>83</v>
      </c>
      <c r="Q25" s="30">
        <f>'10A Sem 2'!P10</f>
        <v>659</v>
      </c>
      <c r="R25" s="30">
        <f>'10A Sem 2'!Q10</f>
        <v>59.909090909090907</v>
      </c>
      <c r="S25" s="190">
        <f>'10A Sem 2'!R10</f>
        <v>48</v>
      </c>
      <c r="T25" s="44">
        <f>'10A Sem 2'!S10</f>
        <v>0</v>
      </c>
      <c r="U25" s="44">
        <f>'10A Sem 2'!T10</f>
        <v>0</v>
      </c>
    </row>
    <row r="26" spans="1:21" ht="17.25" customHeight="1" x14ac:dyDescent="0.25">
      <c r="A26" s="295"/>
      <c r="B26" s="296"/>
      <c r="C26" s="294">
        <v>16</v>
      </c>
      <c r="D26" s="294" t="s">
        <v>20</v>
      </c>
      <c r="E26" s="84" t="s">
        <v>16</v>
      </c>
      <c r="F26" s="30">
        <f>AVERAGE(F24:F25)</f>
        <v>72.5</v>
      </c>
      <c r="G26" s="30">
        <f t="shared" ref="G26:R26" si="6">AVERAGE(G24:G25)</f>
        <v>76</v>
      </c>
      <c r="H26" s="30">
        <f t="shared" si="6"/>
        <v>47.5</v>
      </c>
      <c r="I26" s="30">
        <f t="shared" si="6"/>
        <v>47</v>
      </c>
      <c r="J26" s="30">
        <f t="shared" si="6"/>
        <v>42.5</v>
      </c>
      <c r="K26" s="30">
        <f t="shared" si="6"/>
        <v>45</v>
      </c>
      <c r="L26" s="30">
        <f t="shared" si="6"/>
        <v>53.5</v>
      </c>
      <c r="M26" s="30">
        <f t="shared" si="6"/>
        <v>54</v>
      </c>
      <c r="N26" s="30">
        <f t="shared" si="6"/>
        <v>66</v>
      </c>
      <c r="O26" s="30">
        <f t="shared" si="6"/>
        <v>78.5</v>
      </c>
      <c r="P26" s="30">
        <f t="shared" si="6"/>
        <v>82.5</v>
      </c>
      <c r="Q26" s="30">
        <f t="shared" si="6"/>
        <v>665</v>
      </c>
      <c r="R26" s="30">
        <f t="shared" si="6"/>
        <v>60.454545454545453</v>
      </c>
      <c r="S26" s="190">
        <f>'10A Sem avr'!$H$10</f>
        <v>46</v>
      </c>
      <c r="T26" s="44">
        <f>AVERAGE(T24:T25)</f>
        <v>0</v>
      </c>
      <c r="U26" s="44">
        <f>AVERAGE(U24:U25)</f>
        <v>0</v>
      </c>
    </row>
    <row r="27" spans="1:21" ht="17.25" customHeight="1" x14ac:dyDescent="0.25">
      <c r="A27" s="295">
        <v>8</v>
      </c>
      <c r="B27" s="296"/>
      <c r="C27" s="294">
        <v>16</v>
      </c>
      <c r="D27" s="294" t="s">
        <v>23</v>
      </c>
      <c r="E27" s="84" t="s">
        <v>21</v>
      </c>
      <c r="F27" s="30">
        <f>'10A Sem 1'!E11</f>
        <v>85</v>
      </c>
      <c r="G27" s="30">
        <f>'10A Sem 1'!F11</f>
        <v>90</v>
      </c>
      <c r="H27" s="30">
        <f>'10A Sem 1'!G11</f>
        <v>68</v>
      </c>
      <c r="I27" s="30">
        <f>'10A Sem 1'!H11</f>
        <v>75</v>
      </c>
      <c r="J27" s="30">
        <f>'10A Sem 1'!I11</f>
        <v>65</v>
      </c>
      <c r="K27" s="30">
        <f>'10A Sem 1'!J11</f>
        <v>90</v>
      </c>
      <c r="L27" s="30">
        <f>'10A Sem 1'!K11</f>
        <v>80</v>
      </c>
      <c r="M27" s="30">
        <f>'10A Sem 1'!L11</f>
        <v>83</v>
      </c>
      <c r="N27" s="30">
        <f>'10A Sem 1'!M11</f>
        <v>84</v>
      </c>
      <c r="O27" s="30">
        <f>'10A Sem 1'!N11</f>
        <v>98</v>
      </c>
      <c r="P27" s="30">
        <f>'10A Sem 1'!O11</f>
        <v>91</v>
      </c>
      <c r="Q27" s="30">
        <f>'10A Sem 1'!P11</f>
        <v>909</v>
      </c>
      <c r="R27" s="30">
        <f>'10A Sem 1'!Q11</f>
        <v>82.63636363636364</v>
      </c>
      <c r="S27" s="190">
        <f>'10A Sem 1'!R11</f>
        <v>14</v>
      </c>
      <c r="T27" s="44">
        <f>'10A Sem 1'!S11</f>
        <v>0</v>
      </c>
      <c r="U27" s="44">
        <f>'10A Sem 1'!T11</f>
        <v>0</v>
      </c>
    </row>
    <row r="28" spans="1:21" ht="17.25" customHeight="1" x14ac:dyDescent="0.25">
      <c r="A28" s="295"/>
      <c r="B28" s="296"/>
      <c r="C28" s="294">
        <v>16</v>
      </c>
      <c r="D28" s="294" t="s">
        <v>23</v>
      </c>
      <c r="E28" s="84" t="s">
        <v>22</v>
      </c>
      <c r="F28" s="30">
        <f>'10A Sem 2'!E11</f>
        <v>79</v>
      </c>
      <c r="G28" s="30">
        <f>'10A Sem 2'!F11</f>
        <v>91</v>
      </c>
      <c r="H28" s="30">
        <f>'10A Sem 2'!G11</f>
        <v>81</v>
      </c>
      <c r="I28" s="30">
        <f>'10A Sem 2'!H11</f>
        <v>69</v>
      </c>
      <c r="J28" s="30">
        <f>'10A Sem 2'!I11</f>
        <v>76</v>
      </c>
      <c r="K28" s="30">
        <f>'10A Sem 2'!J11</f>
        <v>95</v>
      </c>
      <c r="L28" s="30">
        <f>'10A Sem 2'!K11</f>
        <v>91</v>
      </c>
      <c r="M28" s="30">
        <f>'10A Sem 2'!L11</f>
        <v>96</v>
      </c>
      <c r="N28" s="30">
        <f>'10A Sem 2'!M11</f>
        <v>95</v>
      </c>
      <c r="O28" s="30">
        <f>'10A Sem 2'!N11</f>
        <v>96</v>
      </c>
      <c r="P28" s="30">
        <f>'10A Sem 2'!O11</f>
        <v>99</v>
      </c>
      <c r="Q28" s="30">
        <f>'10A Sem 2'!P11</f>
        <v>968</v>
      </c>
      <c r="R28" s="30">
        <f>'10A Sem 2'!Q11</f>
        <v>88</v>
      </c>
      <c r="S28" s="190">
        <f>'10A Sem 2'!R11</f>
        <v>11</v>
      </c>
      <c r="T28" s="44">
        <f>'10A Sem 2'!S11</f>
        <v>0</v>
      </c>
      <c r="U28" s="44">
        <f>'10A Sem 2'!T11</f>
        <v>0</v>
      </c>
    </row>
    <row r="29" spans="1:21" ht="17.25" customHeight="1" x14ac:dyDescent="0.25">
      <c r="A29" s="295"/>
      <c r="B29" s="296"/>
      <c r="C29" s="294">
        <v>16</v>
      </c>
      <c r="D29" s="294" t="s">
        <v>23</v>
      </c>
      <c r="E29" s="84" t="s">
        <v>76</v>
      </c>
      <c r="F29" s="30">
        <f>AVERAGE(F27:F28)</f>
        <v>82</v>
      </c>
      <c r="G29" s="30">
        <f t="shared" ref="G29:R29" si="7">AVERAGE(G27:G28)</f>
        <v>90.5</v>
      </c>
      <c r="H29" s="30">
        <f t="shared" si="7"/>
        <v>74.5</v>
      </c>
      <c r="I29" s="30">
        <f t="shared" si="7"/>
        <v>72</v>
      </c>
      <c r="J29" s="30">
        <f t="shared" si="7"/>
        <v>70.5</v>
      </c>
      <c r="K29" s="30">
        <f t="shared" si="7"/>
        <v>92.5</v>
      </c>
      <c r="L29" s="30">
        <f t="shared" si="7"/>
        <v>85.5</v>
      </c>
      <c r="M29" s="30">
        <f t="shared" si="7"/>
        <v>89.5</v>
      </c>
      <c r="N29" s="30">
        <f t="shared" si="7"/>
        <v>89.5</v>
      </c>
      <c r="O29" s="30">
        <f t="shared" si="7"/>
        <v>97</v>
      </c>
      <c r="P29" s="30">
        <f t="shared" si="7"/>
        <v>95</v>
      </c>
      <c r="Q29" s="30">
        <f t="shared" si="7"/>
        <v>938.5</v>
      </c>
      <c r="R29" s="30">
        <f t="shared" si="7"/>
        <v>85.318181818181813</v>
      </c>
      <c r="S29" s="190">
        <f>'10A Sem avr'!$H$11</f>
        <v>14</v>
      </c>
      <c r="T29" s="44">
        <f>AVERAGE(T27:T28)</f>
        <v>0</v>
      </c>
      <c r="U29" s="44">
        <f>AVERAGE(U27:U28)</f>
        <v>0</v>
      </c>
    </row>
    <row r="30" spans="1:21" ht="17.25" customHeight="1" x14ac:dyDescent="0.25">
      <c r="A30" s="292">
        <v>9</v>
      </c>
      <c r="B30" s="293"/>
      <c r="C30" s="294">
        <v>15</v>
      </c>
      <c r="D30" s="294" t="s">
        <v>23</v>
      </c>
      <c r="E30" s="84" t="s">
        <v>21</v>
      </c>
      <c r="F30" s="30">
        <f>'10A Sem 1'!E12</f>
        <v>66</v>
      </c>
      <c r="G30" s="30">
        <f>'10A Sem 1'!F12</f>
        <v>57</v>
      </c>
      <c r="H30" s="30">
        <f>'10A Sem 1'!G12</f>
        <v>54</v>
      </c>
      <c r="I30" s="30">
        <f>'10A Sem 1'!H12</f>
        <v>60</v>
      </c>
      <c r="J30" s="30">
        <f>'10A Sem 1'!I12</f>
        <v>52</v>
      </c>
      <c r="K30" s="30">
        <f>'10A Sem 1'!J12</f>
        <v>53</v>
      </c>
      <c r="L30" s="30">
        <f>'10A Sem 1'!K12</f>
        <v>56</v>
      </c>
      <c r="M30" s="30">
        <f>'10A Sem 1'!L12</f>
        <v>52</v>
      </c>
      <c r="N30" s="30">
        <f>'10A Sem 1'!M12</f>
        <v>53</v>
      </c>
      <c r="O30" s="30">
        <f>'10A Sem 1'!N12</f>
        <v>75</v>
      </c>
      <c r="P30" s="30">
        <f>'10A Sem 1'!O12</f>
        <v>78</v>
      </c>
      <c r="Q30" s="30">
        <f>'10A Sem 1'!P12</f>
        <v>656</v>
      </c>
      <c r="R30" s="30">
        <f>'10A Sem 1'!Q12</f>
        <v>59.636363636363633</v>
      </c>
      <c r="S30" s="190">
        <f>'10A Sem 1'!R12</f>
        <v>46</v>
      </c>
      <c r="T30" s="44">
        <f>'10A Sem 1'!S12</f>
        <v>0</v>
      </c>
      <c r="U30" s="44">
        <f>'10A Sem 1'!T12</f>
        <v>0</v>
      </c>
    </row>
    <row r="31" spans="1:21" ht="17.25" customHeight="1" x14ac:dyDescent="0.25">
      <c r="A31" s="292"/>
      <c r="B31" s="293"/>
      <c r="C31" s="294">
        <v>15</v>
      </c>
      <c r="D31" s="294" t="s">
        <v>23</v>
      </c>
      <c r="E31" s="84" t="s">
        <v>22</v>
      </c>
      <c r="F31" s="30">
        <f>'10A Sem 2'!E12</f>
        <v>64</v>
      </c>
      <c r="G31" s="30">
        <f>'10A Sem 2'!F12</f>
        <v>54</v>
      </c>
      <c r="H31" s="30">
        <f>'10A Sem 2'!G12</f>
        <v>49</v>
      </c>
      <c r="I31" s="30">
        <f>'10A Sem 2'!H12</f>
        <v>55</v>
      </c>
      <c r="J31" s="30">
        <f>'10A Sem 2'!I12</f>
        <v>55</v>
      </c>
      <c r="K31" s="30">
        <f>'10A Sem 2'!J12</f>
        <v>60</v>
      </c>
      <c r="L31" s="30">
        <f>'10A Sem 2'!K12</f>
        <v>55</v>
      </c>
      <c r="M31" s="30">
        <f>'10A Sem 2'!L12</f>
        <v>64</v>
      </c>
      <c r="N31" s="30">
        <f>'10A Sem 2'!M12</f>
        <v>60</v>
      </c>
      <c r="O31" s="30">
        <f>'10A Sem 2'!N12</f>
        <v>82</v>
      </c>
      <c r="P31" s="30">
        <f>'10A Sem 2'!O12</f>
        <v>94</v>
      </c>
      <c r="Q31" s="30">
        <f>'10A Sem 2'!P12</f>
        <v>692</v>
      </c>
      <c r="R31" s="30">
        <f>'10A Sem 2'!Q12</f>
        <v>62.909090909090907</v>
      </c>
      <c r="S31" s="190">
        <f>'10A Sem 2'!R12</f>
        <v>44</v>
      </c>
      <c r="T31" s="44">
        <f>'10A Sem 2'!S12</f>
        <v>0</v>
      </c>
      <c r="U31" s="44">
        <f>'10A Sem 2'!T12</f>
        <v>0</v>
      </c>
    </row>
    <row r="32" spans="1:21" ht="17.25" customHeight="1" x14ac:dyDescent="0.25">
      <c r="A32" s="292"/>
      <c r="B32" s="293"/>
      <c r="C32" s="294">
        <v>15</v>
      </c>
      <c r="D32" s="294" t="s">
        <v>23</v>
      </c>
      <c r="E32" s="84" t="s">
        <v>16</v>
      </c>
      <c r="F32" s="30">
        <f>AVERAGE(F30:F31)</f>
        <v>65</v>
      </c>
      <c r="G32" s="30">
        <f t="shared" ref="G32:R32" si="8">AVERAGE(G30:G31)</f>
        <v>55.5</v>
      </c>
      <c r="H32" s="30">
        <f t="shared" si="8"/>
        <v>51.5</v>
      </c>
      <c r="I32" s="30">
        <f t="shared" si="8"/>
        <v>57.5</v>
      </c>
      <c r="J32" s="30">
        <f t="shared" si="8"/>
        <v>53.5</v>
      </c>
      <c r="K32" s="30">
        <f t="shared" si="8"/>
        <v>56.5</v>
      </c>
      <c r="L32" s="30">
        <f t="shared" si="8"/>
        <v>55.5</v>
      </c>
      <c r="M32" s="30">
        <f t="shared" si="8"/>
        <v>58</v>
      </c>
      <c r="N32" s="30">
        <f t="shared" si="8"/>
        <v>56.5</v>
      </c>
      <c r="O32" s="30">
        <f t="shared" si="8"/>
        <v>78.5</v>
      </c>
      <c r="P32" s="30">
        <f t="shared" si="8"/>
        <v>86</v>
      </c>
      <c r="Q32" s="30">
        <f t="shared" si="8"/>
        <v>674</v>
      </c>
      <c r="R32" s="30">
        <f t="shared" si="8"/>
        <v>61.272727272727266</v>
      </c>
      <c r="S32" s="190">
        <f>'10A Sem avr'!$H$12</f>
        <v>44</v>
      </c>
      <c r="T32" s="44">
        <f>AVERAGE(T30:T31)</f>
        <v>0</v>
      </c>
      <c r="U32" s="44">
        <f>AVERAGE(U30:U31)</f>
        <v>0</v>
      </c>
    </row>
    <row r="33" spans="1:21" ht="17.25" customHeight="1" x14ac:dyDescent="0.25">
      <c r="A33" s="295">
        <v>10</v>
      </c>
      <c r="B33" s="293"/>
      <c r="C33" s="294">
        <v>15</v>
      </c>
      <c r="D33" s="294" t="s">
        <v>23</v>
      </c>
      <c r="E33" s="84" t="s">
        <v>21</v>
      </c>
      <c r="F33" s="30">
        <f>'10A Sem 1'!E13</f>
        <v>90</v>
      </c>
      <c r="G33" s="30">
        <f>'10A Sem 1'!F13</f>
        <v>87</v>
      </c>
      <c r="H33" s="30">
        <f>'10A Sem 1'!G13</f>
        <v>85</v>
      </c>
      <c r="I33" s="30">
        <f>'10A Sem 1'!H13</f>
        <v>88</v>
      </c>
      <c r="J33" s="30">
        <f>'10A Sem 1'!I13</f>
        <v>87</v>
      </c>
      <c r="K33" s="30">
        <f>'10A Sem 1'!J13</f>
        <v>92</v>
      </c>
      <c r="L33" s="30">
        <f>'10A Sem 1'!K13</f>
        <v>90</v>
      </c>
      <c r="M33" s="30">
        <f>'10A Sem 1'!L13</f>
        <v>83</v>
      </c>
      <c r="N33" s="30">
        <f>'10A Sem 1'!M13</f>
        <v>87</v>
      </c>
      <c r="O33" s="30">
        <f>'10A Sem 1'!N13</f>
        <v>98</v>
      </c>
      <c r="P33" s="30">
        <f>'10A Sem 1'!O13</f>
        <v>98</v>
      </c>
      <c r="Q33" s="30">
        <f>'10A Sem 1'!P13</f>
        <v>985</v>
      </c>
      <c r="R33" s="30">
        <f>'10A Sem 1'!Q13</f>
        <v>89.545454545454547</v>
      </c>
      <c r="S33" s="190">
        <f>'10A Sem 1'!R13</f>
        <v>6</v>
      </c>
      <c r="T33" s="44">
        <f>'10A Sem 1'!S13</f>
        <v>0</v>
      </c>
      <c r="U33" s="44">
        <f>'10A Sem 1'!T13</f>
        <v>0</v>
      </c>
    </row>
    <row r="34" spans="1:21" ht="17.25" customHeight="1" x14ac:dyDescent="0.25">
      <c r="A34" s="295"/>
      <c r="B34" s="293"/>
      <c r="C34" s="294">
        <v>15</v>
      </c>
      <c r="D34" s="294" t="s">
        <v>23</v>
      </c>
      <c r="E34" s="84" t="s">
        <v>22</v>
      </c>
      <c r="F34" s="30">
        <f>'10A Sem 2'!E13</f>
        <v>90</v>
      </c>
      <c r="G34" s="30">
        <f>'10A Sem 2'!F13</f>
        <v>86</v>
      </c>
      <c r="H34" s="30">
        <f>'10A Sem 2'!G13</f>
        <v>87</v>
      </c>
      <c r="I34" s="30">
        <f>'10A Sem 2'!H13</f>
        <v>91</v>
      </c>
      <c r="J34" s="30">
        <f>'10A Sem 2'!I13</f>
        <v>87</v>
      </c>
      <c r="K34" s="30">
        <f>'10A Sem 2'!J13</f>
        <v>95</v>
      </c>
      <c r="L34" s="30">
        <f>'10A Sem 2'!K13</f>
        <v>93</v>
      </c>
      <c r="M34" s="30">
        <f>'10A Sem 2'!L13</f>
        <v>91</v>
      </c>
      <c r="N34" s="30">
        <f>'10A Sem 2'!M13</f>
        <v>96</v>
      </c>
      <c r="O34" s="30">
        <f>'10A Sem 2'!N13</f>
        <v>97</v>
      </c>
      <c r="P34" s="30">
        <f>'10A Sem 2'!O13</f>
        <v>97</v>
      </c>
      <c r="Q34" s="30">
        <f>'10A Sem 2'!P13</f>
        <v>1010</v>
      </c>
      <c r="R34" s="30">
        <f>'10A Sem 2'!Q13</f>
        <v>91.818181818181813</v>
      </c>
      <c r="S34" s="190">
        <f>'10A Sem 2'!R13</f>
        <v>5</v>
      </c>
      <c r="T34" s="44">
        <f>'10A Sem 2'!S13</f>
        <v>0</v>
      </c>
      <c r="U34" s="44">
        <f>'10A Sem 2'!T13</f>
        <v>0</v>
      </c>
    </row>
    <row r="35" spans="1:21" ht="17.25" customHeight="1" x14ac:dyDescent="0.25">
      <c r="A35" s="295"/>
      <c r="B35" s="293"/>
      <c r="C35" s="294">
        <v>15</v>
      </c>
      <c r="D35" s="294" t="s">
        <v>23</v>
      </c>
      <c r="E35" s="84" t="s">
        <v>16</v>
      </c>
      <c r="F35" s="30">
        <f>AVERAGE(F33:F34)</f>
        <v>90</v>
      </c>
      <c r="G35" s="30">
        <f t="shared" ref="G35:R35" si="9">AVERAGE(G33:G34)</f>
        <v>86.5</v>
      </c>
      <c r="H35" s="30">
        <f t="shared" si="9"/>
        <v>86</v>
      </c>
      <c r="I35" s="30">
        <f t="shared" si="9"/>
        <v>89.5</v>
      </c>
      <c r="J35" s="30">
        <f t="shared" si="9"/>
        <v>87</v>
      </c>
      <c r="K35" s="30">
        <f t="shared" si="9"/>
        <v>93.5</v>
      </c>
      <c r="L35" s="30">
        <f t="shared" si="9"/>
        <v>91.5</v>
      </c>
      <c r="M35" s="30">
        <f t="shared" si="9"/>
        <v>87</v>
      </c>
      <c r="N35" s="30">
        <f t="shared" si="9"/>
        <v>91.5</v>
      </c>
      <c r="O35" s="30">
        <f t="shared" si="9"/>
        <v>97.5</v>
      </c>
      <c r="P35" s="30">
        <f t="shared" si="9"/>
        <v>97.5</v>
      </c>
      <c r="Q35" s="30">
        <f t="shared" si="9"/>
        <v>997.5</v>
      </c>
      <c r="R35" s="30">
        <f t="shared" si="9"/>
        <v>90.681818181818187</v>
      </c>
      <c r="S35" s="190">
        <f>'10A Sem avr'!$H$13</f>
        <v>6</v>
      </c>
      <c r="T35" s="44">
        <f>AVERAGE(T33:T34)</f>
        <v>0</v>
      </c>
      <c r="U35" s="44">
        <f>AVERAGE(U33:U34)</f>
        <v>0</v>
      </c>
    </row>
    <row r="36" spans="1:21" ht="17.25" customHeight="1" x14ac:dyDescent="0.25">
      <c r="A36" s="292">
        <v>11</v>
      </c>
      <c r="B36" s="296"/>
      <c r="C36" s="294">
        <v>16</v>
      </c>
      <c r="D36" s="294" t="s">
        <v>23</v>
      </c>
      <c r="E36" s="84" t="s">
        <v>21</v>
      </c>
      <c r="F36" s="30">
        <f>'10A Sem 1'!E14</f>
        <v>0</v>
      </c>
      <c r="G36" s="30">
        <f>'10A Sem 1'!F14</f>
        <v>0</v>
      </c>
      <c r="H36" s="30">
        <f>'10A Sem 1'!G14</f>
        <v>0</v>
      </c>
      <c r="I36" s="30">
        <f>'10A Sem 1'!H14</f>
        <v>0</v>
      </c>
      <c r="J36" s="30">
        <f>'10A Sem 1'!I14</f>
        <v>0</v>
      </c>
      <c r="K36" s="30">
        <f>'10A Sem 1'!J14</f>
        <v>0</v>
      </c>
      <c r="L36" s="30">
        <f>'10A Sem 1'!K14</f>
        <v>0</v>
      </c>
      <c r="M36" s="30">
        <f>'10A Sem 1'!L14</f>
        <v>0</v>
      </c>
      <c r="N36" s="30">
        <f>'10A Sem 1'!M14</f>
        <v>0</v>
      </c>
      <c r="O36" s="30">
        <f>'10A Sem 1'!N14</f>
        <v>0</v>
      </c>
      <c r="P36" s="30">
        <f>'10A Sem 1'!O14</f>
        <v>0</v>
      </c>
      <c r="Q36" s="30">
        <f>'10A Sem 1'!P14</f>
        <v>0</v>
      </c>
      <c r="R36" s="30">
        <f>'10A Sem 1'!Q14</f>
        <v>0</v>
      </c>
      <c r="S36" s="190">
        <f>'10A Sem 1'!R14</f>
        <v>0</v>
      </c>
      <c r="T36" s="44">
        <f>'10A Sem 1'!S14</f>
        <v>0</v>
      </c>
      <c r="U36" s="44">
        <f>'10A Sem 1'!T14</f>
        <v>0</v>
      </c>
    </row>
    <row r="37" spans="1:21" ht="17.25" customHeight="1" x14ac:dyDescent="0.25">
      <c r="A37" s="292"/>
      <c r="B37" s="296"/>
      <c r="C37" s="294">
        <v>16</v>
      </c>
      <c r="D37" s="294" t="s">
        <v>23</v>
      </c>
      <c r="E37" s="84" t="s">
        <v>22</v>
      </c>
      <c r="F37" s="30">
        <f>'10A Sem 2'!E14</f>
        <v>0</v>
      </c>
      <c r="G37" s="30">
        <f>'10A Sem 2'!F14</f>
        <v>0</v>
      </c>
      <c r="H37" s="30">
        <f>'10A Sem 2'!G14</f>
        <v>0</v>
      </c>
      <c r="I37" s="30">
        <f>'10A Sem 2'!H14</f>
        <v>0</v>
      </c>
      <c r="J37" s="30">
        <f>'10A Sem 2'!I14</f>
        <v>0</v>
      </c>
      <c r="K37" s="30">
        <f>'10A Sem 2'!J14</f>
        <v>0</v>
      </c>
      <c r="L37" s="30">
        <f>'10A Sem 2'!K14</f>
        <v>0</v>
      </c>
      <c r="M37" s="30">
        <f>'10A Sem 2'!L14</f>
        <v>0</v>
      </c>
      <c r="N37" s="30">
        <f>'10A Sem 2'!M14</f>
        <v>0</v>
      </c>
      <c r="O37" s="30">
        <f>'10A Sem 2'!N14</f>
        <v>0</v>
      </c>
      <c r="P37" s="30">
        <f>'10A Sem 2'!O14</f>
        <v>0</v>
      </c>
      <c r="Q37" s="30">
        <f>'10A Sem 2'!P14</f>
        <v>0</v>
      </c>
      <c r="R37" s="30">
        <f>'10A Sem 2'!Q14</f>
        <v>0</v>
      </c>
      <c r="S37" s="190">
        <f>'10A Sem 2'!R14</f>
        <v>0</v>
      </c>
      <c r="T37" s="44">
        <f>'10A Sem 2'!S14</f>
        <v>0</v>
      </c>
      <c r="U37" s="44">
        <f>'10A Sem 2'!T14</f>
        <v>0</v>
      </c>
    </row>
    <row r="38" spans="1:21" ht="17.25" customHeight="1" x14ac:dyDescent="0.25">
      <c r="A38" s="292"/>
      <c r="B38" s="296"/>
      <c r="C38" s="294">
        <v>16</v>
      </c>
      <c r="D38" s="294" t="s">
        <v>23</v>
      </c>
      <c r="E38" s="84" t="s">
        <v>16</v>
      </c>
      <c r="F38" s="30">
        <f>AVERAGE(F36:F37)</f>
        <v>0</v>
      </c>
      <c r="G38" s="30">
        <f t="shared" ref="G38:R38" si="10">AVERAGE(G36:G37)</f>
        <v>0</v>
      </c>
      <c r="H38" s="30">
        <f t="shared" si="10"/>
        <v>0</v>
      </c>
      <c r="I38" s="30">
        <f t="shared" si="10"/>
        <v>0</v>
      </c>
      <c r="J38" s="30">
        <f t="shared" si="10"/>
        <v>0</v>
      </c>
      <c r="K38" s="30">
        <f t="shared" si="10"/>
        <v>0</v>
      </c>
      <c r="L38" s="30">
        <f t="shared" si="10"/>
        <v>0</v>
      </c>
      <c r="M38" s="30">
        <f t="shared" si="10"/>
        <v>0</v>
      </c>
      <c r="N38" s="30">
        <f t="shared" si="10"/>
        <v>0</v>
      </c>
      <c r="O38" s="30">
        <f t="shared" si="10"/>
        <v>0</v>
      </c>
      <c r="P38" s="30">
        <f t="shared" si="10"/>
        <v>0</v>
      </c>
      <c r="Q38" s="30">
        <f t="shared" si="10"/>
        <v>0</v>
      </c>
      <c r="R38" s="30">
        <f t="shared" si="10"/>
        <v>0</v>
      </c>
      <c r="S38" s="190">
        <f>'10A Sem avr'!$H$14</f>
        <v>50</v>
      </c>
      <c r="T38" s="44">
        <f>AVERAGE(T36:T37)</f>
        <v>0</v>
      </c>
      <c r="U38" s="44">
        <f>AVERAGE(U36:U37)</f>
        <v>0</v>
      </c>
    </row>
    <row r="39" spans="1:21" ht="17.25" customHeight="1" x14ac:dyDescent="0.25">
      <c r="A39" s="292">
        <v>12</v>
      </c>
      <c r="B39" s="293"/>
      <c r="C39" s="294">
        <v>15</v>
      </c>
      <c r="D39" s="294" t="s">
        <v>23</v>
      </c>
      <c r="E39" s="84" t="s">
        <v>21</v>
      </c>
      <c r="F39" s="30">
        <f>'10A Sem 1'!E15</f>
        <v>71</v>
      </c>
      <c r="G39" s="30">
        <f>'10A Sem 1'!F15</f>
        <v>57</v>
      </c>
      <c r="H39" s="30">
        <f>'10A Sem 1'!G15</f>
        <v>54</v>
      </c>
      <c r="I39" s="30">
        <f>'10A Sem 1'!H15</f>
        <v>57</v>
      </c>
      <c r="J39" s="30">
        <f>'10A Sem 1'!I15</f>
        <v>50</v>
      </c>
      <c r="K39" s="30">
        <f>'10A Sem 1'!J15</f>
        <v>51</v>
      </c>
      <c r="L39" s="30">
        <f>'10A Sem 1'!K15</f>
        <v>50</v>
      </c>
      <c r="M39" s="30">
        <f>'10A Sem 1'!L15</f>
        <v>50</v>
      </c>
      <c r="N39" s="30">
        <f>'10A Sem 1'!M15</f>
        <v>66</v>
      </c>
      <c r="O39" s="30">
        <f>'10A Sem 1'!N15</f>
        <v>79</v>
      </c>
      <c r="P39" s="30">
        <f>'10A Sem 1'!O15</f>
        <v>84</v>
      </c>
      <c r="Q39" s="30">
        <f>'10A Sem 1'!P15</f>
        <v>669</v>
      </c>
      <c r="R39" s="30">
        <f>'10A Sem 1'!Q15</f>
        <v>60.81818181818182</v>
      </c>
      <c r="S39" s="190">
        <f>'10A Sem 1'!R15</f>
        <v>44</v>
      </c>
      <c r="T39" s="44">
        <f>'10A Sem 1'!S15</f>
        <v>0</v>
      </c>
      <c r="U39" s="44">
        <f>'10A Sem 1'!T15</f>
        <v>0</v>
      </c>
    </row>
    <row r="40" spans="1:21" ht="17.25" customHeight="1" x14ac:dyDescent="0.25">
      <c r="A40" s="292"/>
      <c r="B40" s="293"/>
      <c r="C40" s="294">
        <v>15</v>
      </c>
      <c r="D40" s="294" t="s">
        <v>23</v>
      </c>
      <c r="E40" s="84" t="s">
        <v>22</v>
      </c>
      <c r="F40" s="30">
        <f>'10A Sem 2'!E15</f>
        <v>71</v>
      </c>
      <c r="G40" s="30">
        <f>'10A Sem 2'!F15</f>
        <v>64</v>
      </c>
      <c r="H40" s="30">
        <f>'10A Sem 2'!G15</f>
        <v>46</v>
      </c>
      <c r="I40" s="30">
        <f>'10A Sem 2'!H15</f>
        <v>50</v>
      </c>
      <c r="J40" s="30">
        <f>'10A Sem 2'!I15</f>
        <v>51</v>
      </c>
      <c r="K40" s="30">
        <f>'10A Sem 2'!J15</f>
        <v>62</v>
      </c>
      <c r="L40" s="30">
        <f>'10A Sem 2'!K15</f>
        <v>60</v>
      </c>
      <c r="M40" s="30">
        <f>'10A Sem 2'!L15</f>
        <v>62</v>
      </c>
      <c r="N40" s="30">
        <f>'10A Sem 2'!M15</f>
        <v>77</v>
      </c>
      <c r="O40" s="30">
        <f>'10A Sem 2'!N15</f>
        <v>82</v>
      </c>
      <c r="P40" s="30">
        <f>'10A Sem 2'!O15</f>
        <v>88</v>
      </c>
      <c r="Q40" s="30">
        <f>'10A Sem 2'!P15</f>
        <v>713</v>
      </c>
      <c r="R40" s="30">
        <f>'10A Sem 2'!Q15</f>
        <v>64.818181818181813</v>
      </c>
      <c r="S40" s="190">
        <f>'10A Sem 2'!R15</f>
        <v>39</v>
      </c>
      <c r="T40" s="44">
        <f>'10A Sem 2'!S15</f>
        <v>0</v>
      </c>
      <c r="U40" s="44">
        <f>'10A Sem 2'!T15</f>
        <v>0</v>
      </c>
    </row>
    <row r="41" spans="1:21" ht="17.25" customHeight="1" x14ac:dyDescent="0.25">
      <c r="A41" s="292"/>
      <c r="B41" s="293"/>
      <c r="C41" s="294">
        <v>15</v>
      </c>
      <c r="D41" s="294" t="s">
        <v>23</v>
      </c>
      <c r="E41" s="84" t="s">
        <v>16</v>
      </c>
      <c r="F41" s="30">
        <f>AVERAGE(F39:F40)</f>
        <v>71</v>
      </c>
      <c r="G41" s="30">
        <f t="shared" ref="G41:R41" si="11">AVERAGE(G39:G40)</f>
        <v>60.5</v>
      </c>
      <c r="H41" s="30">
        <f t="shared" si="11"/>
        <v>50</v>
      </c>
      <c r="I41" s="30">
        <f t="shared" si="11"/>
        <v>53.5</v>
      </c>
      <c r="J41" s="30">
        <f t="shared" si="11"/>
        <v>50.5</v>
      </c>
      <c r="K41" s="30">
        <f t="shared" si="11"/>
        <v>56.5</v>
      </c>
      <c r="L41" s="30">
        <f t="shared" si="11"/>
        <v>55</v>
      </c>
      <c r="M41" s="30">
        <f t="shared" si="11"/>
        <v>56</v>
      </c>
      <c r="N41" s="30">
        <f t="shared" si="11"/>
        <v>71.5</v>
      </c>
      <c r="O41" s="30">
        <f t="shared" si="11"/>
        <v>80.5</v>
      </c>
      <c r="P41" s="30">
        <f t="shared" si="11"/>
        <v>86</v>
      </c>
      <c r="Q41" s="30">
        <f t="shared" si="11"/>
        <v>691</v>
      </c>
      <c r="R41" s="30">
        <f t="shared" si="11"/>
        <v>62.818181818181813</v>
      </c>
      <c r="S41" s="190">
        <f>'10A Sem avr'!$H$15</f>
        <v>43</v>
      </c>
      <c r="T41" s="44">
        <f>AVERAGE(T39:T40)</f>
        <v>0</v>
      </c>
      <c r="U41" s="44">
        <f>AVERAGE(U39:U40)</f>
        <v>0</v>
      </c>
    </row>
    <row r="42" spans="1:21" ht="17.25" customHeight="1" x14ac:dyDescent="0.25">
      <c r="A42" s="292">
        <v>13</v>
      </c>
      <c r="B42" s="295"/>
      <c r="C42" s="297">
        <v>15</v>
      </c>
      <c r="D42" s="297" t="s">
        <v>23</v>
      </c>
      <c r="E42" s="84" t="s">
        <v>21</v>
      </c>
      <c r="F42" s="30">
        <f>'10A Sem 1'!E16</f>
        <v>71</v>
      </c>
      <c r="G42" s="30">
        <f>'10A Sem 1'!F16</f>
        <v>61</v>
      </c>
      <c r="H42" s="30">
        <f>'10A Sem 1'!G16</f>
        <v>52</v>
      </c>
      <c r="I42" s="30">
        <f>'10A Sem 1'!H16</f>
        <v>57</v>
      </c>
      <c r="J42" s="30">
        <f>'10A Sem 1'!I16</f>
        <v>52</v>
      </c>
      <c r="K42" s="30">
        <f>'10A Sem 1'!J16</f>
        <v>60</v>
      </c>
      <c r="L42" s="30">
        <f>'10A Sem 1'!K16</f>
        <v>59</v>
      </c>
      <c r="M42" s="30">
        <f>'10A Sem 1'!L16</f>
        <v>70</v>
      </c>
      <c r="N42" s="30">
        <f>'10A Sem 1'!M16</f>
        <v>72</v>
      </c>
      <c r="O42" s="30">
        <f>'10A Sem 1'!N16</f>
        <v>80</v>
      </c>
      <c r="P42" s="30">
        <f>'10A Sem 1'!O16</f>
        <v>77</v>
      </c>
      <c r="Q42" s="30">
        <f>'10A Sem 1'!P16</f>
        <v>711</v>
      </c>
      <c r="R42" s="30">
        <f>'10A Sem 1'!Q16</f>
        <v>64.63636363636364</v>
      </c>
      <c r="S42" s="190">
        <f>'10A Sem 1'!R16</f>
        <v>39</v>
      </c>
      <c r="T42" s="44">
        <f>'10A Sem 1'!S16</f>
        <v>0</v>
      </c>
      <c r="U42" s="44">
        <f>'10A Sem 1'!T16</f>
        <v>0</v>
      </c>
    </row>
    <row r="43" spans="1:21" ht="17.25" customHeight="1" x14ac:dyDescent="0.25">
      <c r="A43" s="292"/>
      <c r="B43" s="295"/>
      <c r="C43" s="297">
        <v>15</v>
      </c>
      <c r="D43" s="297" t="s">
        <v>23</v>
      </c>
      <c r="E43" s="84" t="s">
        <v>22</v>
      </c>
      <c r="F43" s="30">
        <f>'10A Sem 2'!E16</f>
        <v>57</v>
      </c>
      <c r="G43" s="30">
        <f>'10A Sem 2'!F16</f>
        <v>71</v>
      </c>
      <c r="H43" s="30">
        <f>'10A Sem 2'!G16</f>
        <v>48</v>
      </c>
      <c r="I43" s="30">
        <f>'10A Sem 2'!H16</f>
        <v>50</v>
      </c>
      <c r="J43" s="30">
        <f>'10A Sem 2'!I16</f>
        <v>52</v>
      </c>
      <c r="K43" s="30">
        <f>'10A Sem 2'!J16</f>
        <v>71</v>
      </c>
      <c r="L43" s="30">
        <f>'10A Sem 2'!K16</f>
        <v>80</v>
      </c>
      <c r="M43" s="30">
        <f>'10A Sem 2'!L16</f>
        <v>74</v>
      </c>
      <c r="N43" s="30">
        <f>'10A Sem 2'!M16</f>
        <v>85</v>
      </c>
      <c r="O43" s="30">
        <f>'10A Sem 2'!N16</f>
        <v>73</v>
      </c>
      <c r="P43" s="30">
        <f>'10A Sem 2'!O16</f>
        <v>80</v>
      </c>
      <c r="Q43" s="30">
        <f>'10A Sem 2'!P16</f>
        <v>741</v>
      </c>
      <c r="R43" s="30">
        <f>'10A Sem 2'!Q16</f>
        <v>67.36363636363636</v>
      </c>
      <c r="S43" s="190">
        <f>'10A Sem 2'!R16</f>
        <v>33</v>
      </c>
      <c r="T43" s="44">
        <f>'10A Sem 2'!S16</f>
        <v>0</v>
      </c>
      <c r="U43" s="44">
        <f>'10A Sem 2'!T16</f>
        <v>0</v>
      </c>
    </row>
    <row r="44" spans="1:21" ht="17.25" customHeight="1" x14ac:dyDescent="0.25">
      <c r="A44" s="292"/>
      <c r="B44" s="295"/>
      <c r="C44" s="297">
        <v>15</v>
      </c>
      <c r="D44" s="297" t="s">
        <v>23</v>
      </c>
      <c r="E44" s="84" t="s">
        <v>16</v>
      </c>
      <c r="F44" s="30">
        <f>AVERAGE(F42:F43)</f>
        <v>64</v>
      </c>
      <c r="G44" s="30">
        <f t="shared" ref="G44:R44" si="12">AVERAGE(G42:G43)</f>
        <v>66</v>
      </c>
      <c r="H44" s="30">
        <f t="shared" si="12"/>
        <v>50</v>
      </c>
      <c r="I44" s="30">
        <f t="shared" si="12"/>
        <v>53.5</v>
      </c>
      <c r="J44" s="30">
        <f t="shared" si="12"/>
        <v>52</v>
      </c>
      <c r="K44" s="30">
        <f t="shared" si="12"/>
        <v>65.5</v>
      </c>
      <c r="L44" s="30">
        <f t="shared" si="12"/>
        <v>69.5</v>
      </c>
      <c r="M44" s="30">
        <f t="shared" si="12"/>
        <v>72</v>
      </c>
      <c r="N44" s="30">
        <f t="shared" si="12"/>
        <v>78.5</v>
      </c>
      <c r="O44" s="30">
        <f t="shared" si="12"/>
        <v>76.5</v>
      </c>
      <c r="P44" s="30">
        <f t="shared" si="12"/>
        <v>78.5</v>
      </c>
      <c r="Q44" s="30">
        <f t="shared" si="12"/>
        <v>726</v>
      </c>
      <c r="R44" s="30">
        <f t="shared" si="12"/>
        <v>66</v>
      </c>
      <c r="S44" s="190">
        <f>'10A Sem avr'!$H$16</f>
        <v>34</v>
      </c>
      <c r="T44" s="44">
        <f>AVERAGE(T42:T43)</f>
        <v>0</v>
      </c>
      <c r="U44" s="44">
        <f>AVERAGE(U42:U43)</f>
        <v>0</v>
      </c>
    </row>
    <row r="45" spans="1:21" ht="17.25" customHeight="1" x14ac:dyDescent="0.25">
      <c r="A45" s="295">
        <v>14</v>
      </c>
      <c r="B45" s="296"/>
      <c r="C45" s="294">
        <v>17</v>
      </c>
      <c r="D45" s="294" t="s">
        <v>23</v>
      </c>
      <c r="E45" s="84" t="s">
        <v>21</v>
      </c>
      <c r="F45" s="30">
        <f>'10A Sem 1'!E17</f>
        <v>87</v>
      </c>
      <c r="G45" s="30">
        <f>'10A Sem 1'!F17</f>
        <v>70</v>
      </c>
      <c r="H45" s="30">
        <f>'10A Sem 1'!G17</f>
        <v>68</v>
      </c>
      <c r="I45" s="30">
        <f>'10A Sem 1'!H17</f>
        <v>75</v>
      </c>
      <c r="J45" s="30">
        <f>'10A Sem 1'!I17</f>
        <v>52</v>
      </c>
      <c r="K45" s="30">
        <f>'10A Sem 1'!J17</f>
        <v>70</v>
      </c>
      <c r="L45" s="30">
        <f>'10A Sem 1'!K17</f>
        <v>77</v>
      </c>
      <c r="M45" s="30">
        <f>'10A Sem 1'!L17</f>
        <v>63</v>
      </c>
      <c r="N45" s="30">
        <f>'10A Sem 1'!M17</f>
        <v>91</v>
      </c>
      <c r="O45" s="30">
        <f>'10A Sem 1'!N17</f>
        <v>85</v>
      </c>
      <c r="P45" s="30">
        <f>'10A Sem 1'!O17</f>
        <v>100</v>
      </c>
      <c r="Q45" s="30">
        <f>'10A Sem 1'!P17</f>
        <v>838</v>
      </c>
      <c r="R45" s="30">
        <f>'10A Sem 1'!Q17</f>
        <v>76.181818181818187</v>
      </c>
      <c r="S45" s="190">
        <f>'10A Sem 1'!R17</f>
        <v>23</v>
      </c>
      <c r="T45" s="44">
        <f>'10A Sem 1'!S17</f>
        <v>0</v>
      </c>
      <c r="U45" s="44">
        <f>'10A Sem 1'!T17</f>
        <v>0</v>
      </c>
    </row>
    <row r="46" spans="1:21" ht="17.25" customHeight="1" x14ac:dyDescent="0.25">
      <c r="A46" s="295"/>
      <c r="B46" s="296"/>
      <c r="C46" s="294">
        <v>17</v>
      </c>
      <c r="D46" s="294" t="s">
        <v>23</v>
      </c>
      <c r="E46" s="84" t="s">
        <v>22</v>
      </c>
      <c r="F46" s="30">
        <f>'10A Sem 2'!E17</f>
        <v>75</v>
      </c>
      <c r="G46" s="30">
        <f>'10A Sem 2'!F17</f>
        <v>73</v>
      </c>
      <c r="H46" s="30">
        <f>'10A Sem 2'!G17</f>
        <v>59</v>
      </c>
      <c r="I46" s="30">
        <f>'10A Sem 2'!H17</f>
        <v>59</v>
      </c>
      <c r="J46" s="30">
        <f>'10A Sem 2'!I17</f>
        <v>61</v>
      </c>
      <c r="K46" s="30">
        <f>'10A Sem 2'!J17</f>
        <v>84</v>
      </c>
      <c r="L46" s="30">
        <f>'10A Sem 2'!K17</f>
        <v>93</v>
      </c>
      <c r="M46" s="30">
        <f>'10A Sem 2'!L17</f>
        <v>76</v>
      </c>
      <c r="N46" s="30">
        <f>'10A Sem 2'!M17</f>
        <v>95</v>
      </c>
      <c r="O46" s="30">
        <f>'10A Sem 2'!N17</f>
        <v>88</v>
      </c>
      <c r="P46" s="30">
        <f>'10A Sem 2'!O17</f>
        <v>100</v>
      </c>
      <c r="Q46" s="30">
        <f>'10A Sem 2'!P17</f>
        <v>863</v>
      </c>
      <c r="R46" s="30">
        <f>'10A Sem 2'!Q17</f>
        <v>78.454545454545453</v>
      </c>
      <c r="S46" s="190">
        <f>'10A Sem 2'!R17</f>
        <v>21</v>
      </c>
      <c r="T46" s="44">
        <f>'10A Sem 2'!S17</f>
        <v>0</v>
      </c>
      <c r="U46" s="44">
        <f>'10A Sem 2'!T17</f>
        <v>0</v>
      </c>
    </row>
    <row r="47" spans="1:21" ht="17.25" customHeight="1" x14ac:dyDescent="0.25">
      <c r="A47" s="295"/>
      <c r="B47" s="296"/>
      <c r="C47" s="294">
        <v>17</v>
      </c>
      <c r="D47" s="294" t="s">
        <v>23</v>
      </c>
      <c r="E47" s="84" t="s">
        <v>16</v>
      </c>
      <c r="F47" s="30">
        <f>AVERAGE(F45:F46)</f>
        <v>81</v>
      </c>
      <c r="G47" s="30">
        <f t="shared" ref="G47:R47" si="13">AVERAGE(G45:G46)</f>
        <v>71.5</v>
      </c>
      <c r="H47" s="30">
        <f t="shared" si="13"/>
        <v>63.5</v>
      </c>
      <c r="I47" s="30">
        <f t="shared" si="13"/>
        <v>67</v>
      </c>
      <c r="J47" s="30">
        <f t="shared" si="13"/>
        <v>56.5</v>
      </c>
      <c r="K47" s="30">
        <f t="shared" si="13"/>
        <v>77</v>
      </c>
      <c r="L47" s="30">
        <f t="shared" si="13"/>
        <v>85</v>
      </c>
      <c r="M47" s="30">
        <f t="shared" si="13"/>
        <v>69.5</v>
      </c>
      <c r="N47" s="30">
        <f t="shared" si="13"/>
        <v>93</v>
      </c>
      <c r="O47" s="30">
        <f t="shared" si="13"/>
        <v>86.5</v>
      </c>
      <c r="P47" s="30">
        <f t="shared" si="13"/>
        <v>100</v>
      </c>
      <c r="Q47" s="30">
        <f t="shared" si="13"/>
        <v>850.5</v>
      </c>
      <c r="R47" s="30">
        <f t="shared" si="13"/>
        <v>77.318181818181813</v>
      </c>
      <c r="S47" s="190">
        <f>'10A Sem avr'!$H$17</f>
        <v>23</v>
      </c>
      <c r="T47" s="44">
        <f>AVERAGE(T45:T46)</f>
        <v>0</v>
      </c>
      <c r="U47" s="44">
        <f>AVERAGE(U45:U46)</f>
        <v>0</v>
      </c>
    </row>
    <row r="48" spans="1:21" ht="17.25" customHeight="1" x14ac:dyDescent="0.25">
      <c r="A48" s="292">
        <v>15</v>
      </c>
      <c r="B48" s="293"/>
      <c r="C48" s="294">
        <v>15</v>
      </c>
      <c r="D48" s="294" t="s">
        <v>23</v>
      </c>
      <c r="E48" s="84" t="s">
        <v>21</v>
      </c>
      <c r="F48" s="30">
        <f>'10A Sem 1'!E18</f>
        <v>85</v>
      </c>
      <c r="G48" s="30">
        <f>'10A Sem 1'!F18</f>
        <v>64</v>
      </c>
      <c r="H48" s="31">
        <f>'10A Sem 1'!G18</f>
        <v>74</v>
      </c>
      <c r="I48" s="30">
        <f>'10A Sem 1'!H18</f>
        <v>65</v>
      </c>
      <c r="J48" s="30">
        <f>'10A Sem 1'!I18</f>
        <v>57</v>
      </c>
      <c r="K48" s="30">
        <f>'10A Sem 1'!J18</f>
        <v>64</v>
      </c>
      <c r="L48" s="30">
        <f>'10A Sem 1'!K18</f>
        <v>71</v>
      </c>
      <c r="M48" s="30">
        <f>'10A Sem 1'!L18</f>
        <v>63</v>
      </c>
      <c r="N48" s="30">
        <f>'10A Sem 1'!M18</f>
        <v>74</v>
      </c>
      <c r="O48" s="30">
        <f>'10A Sem 1'!N18</f>
        <v>80</v>
      </c>
      <c r="P48" s="30">
        <f>'10A Sem 1'!O18</f>
        <v>89</v>
      </c>
      <c r="Q48" s="30">
        <f>'10A Sem 1'!P18</f>
        <v>786</v>
      </c>
      <c r="R48" s="30">
        <f>'10A Sem 1'!Q18</f>
        <v>71.454545454545453</v>
      </c>
      <c r="S48" s="190">
        <f>'10A Sem 1'!R18</f>
        <v>29</v>
      </c>
      <c r="T48" s="44">
        <f>'10A Sem 1'!S18</f>
        <v>0</v>
      </c>
      <c r="U48" s="44">
        <f>'10A Sem 1'!T18</f>
        <v>0</v>
      </c>
    </row>
    <row r="49" spans="1:26" ht="17.25" customHeight="1" x14ac:dyDescent="0.25">
      <c r="A49" s="292"/>
      <c r="B49" s="293"/>
      <c r="C49" s="294">
        <v>15</v>
      </c>
      <c r="D49" s="294" t="s">
        <v>23</v>
      </c>
      <c r="E49" s="84" t="s">
        <v>22</v>
      </c>
      <c r="F49" s="30">
        <f>'10A Sem 2'!E18</f>
        <v>83</v>
      </c>
      <c r="G49" s="30">
        <f>'10A Sem 2'!F18</f>
        <v>58</v>
      </c>
      <c r="H49" s="31">
        <f>'10A Sem 2'!G18</f>
        <v>65</v>
      </c>
      <c r="I49" s="30">
        <f>'10A Sem 2'!H18</f>
        <v>59</v>
      </c>
      <c r="J49" s="30">
        <f>'10A Sem 2'!I18</f>
        <v>61</v>
      </c>
      <c r="K49" s="30">
        <f>'10A Sem 2'!J18</f>
        <v>58</v>
      </c>
      <c r="L49" s="30">
        <f>'10A Sem 2'!K18</f>
        <v>74</v>
      </c>
      <c r="M49" s="30">
        <f>'10A Sem 2'!L18</f>
        <v>70</v>
      </c>
      <c r="N49" s="30">
        <f>'10A Sem 2'!M18</f>
        <v>85</v>
      </c>
      <c r="O49" s="30">
        <f>'10A Sem 2'!N18</f>
        <v>93</v>
      </c>
      <c r="P49" s="30">
        <f>'10A Sem 2'!O18</f>
        <v>93</v>
      </c>
      <c r="Q49" s="30">
        <f>'10A Sem 2'!P18</f>
        <v>799</v>
      </c>
      <c r="R49" s="30">
        <f>'10A Sem 2'!Q18</f>
        <v>72.63636363636364</v>
      </c>
      <c r="S49" s="190">
        <f>'10A Sem 2'!R18</f>
        <v>28</v>
      </c>
      <c r="T49" s="44">
        <f>'10A Sem 2'!S18</f>
        <v>0</v>
      </c>
      <c r="U49" s="44">
        <f>'10A Sem 2'!T18</f>
        <v>0</v>
      </c>
      <c r="V49" s="6"/>
      <c r="W49" s="6"/>
      <c r="X49" s="6"/>
      <c r="Y49" s="6"/>
      <c r="Z49" s="6"/>
    </row>
    <row r="50" spans="1:26" ht="17.25" customHeight="1" x14ac:dyDescent="0.25">
      <c r="A50" s="292"/>
      <c r="B50" s="293"/>
      <c r="C50" s="294">
        <v>15</v>
      </c>
      <c r="D50" s="294" t="s">
        <v>23</v>
      </c>
      <c r="E50" s="84" t="s">
        <v>16</v>
      </c>
      <c r="F50" s="30">
        <f>AVERAGE(F48:F49)</f>
        <v>84</v>
      </c>
      <c r="G50" s="30">
        <f t="shared" ref="G50:R50" si="14">AVERAGE(G48:G49)</f>
        <v>61</v>
      </c>
      <c r="H50" s="30">
        <f t="shared" si="14"/>
        <v>69.5</v>
      </c>
      <c r="I50" s="30">
        <f t="shared" si="14"/>
        <v>62</v>
      </c>
      <c r="J50" s="30">
        <f t="shared" si="14"/>
        <v>59</v>
      </c>
      <c r="K50" s="30">
        <f t="shared" si="14"/>
        <v>61</v>
      </c>
      <c r="L50" s="30">
        <f t="shared" si="14"/>
        <v>72.5</v>
      </c>
      <c r="M50" s="30">
        <f t="shared" si="14"/>
        <v>66.5</v>
      </c>
      <c r="N50" s="30">
        <f t="shared" si="14"/>
        <v>79.5</v>
      </c>
      <c r="O50" s="30">
        <f t="shared" si="14"/>
        <v>86.5</v>
      </c>
      <c r="P50" s="30">
        <f t="shared" si="14"/>
        <v>91</v>
      </c>
      <c r="Q50" s="30">
        <f t="shared" si="14"/>
        <v>792.5</v>
      </c>
      <c r="R50" s="30">
        <f t="shared" si="14"/>
        <v>72.045454545454547</v>
      </c>
      <c r="S50" s="190">
        <f>'10A Sem avr'!$H$18</f>
        <v>28</v>
      </c>
      <c r="T50" s="44">
        <f>AVERAGE(T48:T49)</f>
        <v>0</v>
      </c>
      <c r="U50" s="44">
        <f>AVERAGE(U48:U49)</f>
        <v>0</v>
      </c>
      <c r="V50" s="6"/>
      <c r="W50" s="6"/>
      <c r="X50" s="6"/>
      <c r="Y50" s="6"/>
      <c r="Z50" s="6"/>
    </row>
    <row r="51" spans="1:26" ht="17.25" customHeight="1" x14ac:dyDescent="0.25">
      <c r="A51" s="295">
        <v>16</v>
      </c>
      <c r="B51" s="293"/>
      <c r="C51" s="294">
        <v>16</v>
      </c>
      <c r="D51" s="294" t="s">
        <v>32</v>
      </c>
      <c r="E51" s="84" t="s">
        <v>21</v>
      </c>
      <c r="F51" s="30">
        <f>'10A Sem 1'!E19</f>
        <v>78</v>
      </c>
      <c r="G51" s="30">
        <f>'10A Sem 1'!F19</f>
        <v>46</v>
      </c>
      <c r="H51" s="30">
        <f>'10A Sem 1'!G19</f>
        <v>55</v>
      </c>
      <c r="I51" s="30">
        <f>'10A Sem 1'!H19</f>
        <v>64</v>
      </c>
      <c r="J51" s="30">
        <f>'10A Sem 1'!I19</f>
        <v>50</v>
      </c>
      <c r="K51" s="30">
        <f>'10A Sem 1'!J19</f>
        <v>59</v>
      </c>
      <c r="L51" s="30">
        <f>'10A Sem 1'!K19</f>
        <v>68</v>
      </c>
      <c r="M51" s="30">
        <f>'10A Sem 1'!L19</f>
        <v>60</v>
      </c>
      <c r="N51" s="30">
        <f>'10A Sem 1'!M19</f>
        <v>66</v>
      </c>
      <c r="O51" s="30">
        <f>'10A Sem 1'!N19</f>
        <v>86</v>
      </c>
      <c r="P51" s="30">
        <f>'10A Sem 1'!O19</f>
        <v>90</v>
      </c>
      <c r="Q51" s="30">
        <f>'10A Sem 1'!P19</f>
        <v>722</v>
      </c>
      <c r="R51" s="30">
        <f>'10A Sem 1'!Q19</f>
        <v>65.63636363636364</v>
      </c>
      <c r="S51" s="190">
        <f>'10A Sem 1'!R19</f>
        <v>37</v>
      </c>
      <c r="T51" s="44">
        <f>'10A Sem 1'!S19</f>
        <v>0</v>
      </c>
      <c r="U51" s="44">
        <f>'10A Sem 1'!T19</f>
        <v>0</v>
      </c>
      <c r="V51" s="6"/>
      <c r="W51" s="6"/>
      <c r="X51" s="6"/>
      <c r="Y51" s="6"/>
      <c r="Z51" s="6"/>
    </row>
    <row r="52" spans="1:26" ht="17.25" customHeight="1" x14ac:dyDescent="0.25">
      <c r="A52" s="295"/>
      <c r="B52" s="293"/>
      <c r="C52" s="294">
        <v>16</v>
      </c>
      <c r="D52" s="294" t="s">
        <v>32</v>
      </c>
      <c r="E52" s="84" t="s">
        <v>22</v>
      </c>
      <c r="F52" s="30">
        <f>'10A Sem 2'!E19</f>
        <v>75</v>
      </c>
      <c r="G52" s="30">
        <f>'10A Sem 2'!F19</f>
        <v>54</v>
      </c>
      <c r="H52" s="30">
        <f>'10A Sem 2'!G19</f>
        <v>60</v>
      </c>
      <c r="I52" s="30">
        <f>'10A Sem 2'!H19</f>
        <v>62</v>
      </c>
      <c r="J52" s="30">
        <f>'10A Sem 2'!I19</f>
        <v>64</v>
      </c>
      <c r="K52" s="30">
        <f>'10A Sem 2'!J19</f>
        <v>66</v>
      </c>
      <c r="L52" s="30">
        <f>'10A Sem 2'!K19</f>
        <v>67</v>
      </c>
      <c r="M52" s="30">
        <f>'10A Sem 2'!L19</f>
        <v>69</v>
      </c>
      <c r="N52" s="30">
        <f>'10A Sem 2'!M19</f>
        <v>78</v>
      </c>
      <c r="O52" s="30">
        <f>'10A Sem 2'!N19</f>
        <v>93</v>
      </c>
      <c r="P52" s="30">
        <f>'10A Sem 2'!O19</f>
        <v>93</v>
      </c>
      <c r="Q52" s="30">
        <f>'10A Sem 2'!P19</f>
        <v>781</v>
      </c>
      <c r="R52" s="30">
        <f>'10A Sem 2'!Q19</f>
        <v>71</v>
      </c>
      <c r="S52" s="190">
        <f>'10A Sem 2'!R19</f>
        <v>31</v>
      </c>
      <c r="T52" s="44">
        <f>'10A Sem 2'!S19</f>
        <v>0</v>
      </c>
      <c r="U52" s="44">
        <f>'10A Sem 2'!T19</f>
        <v>0</v>
      </c>
      <c r="V52" s="6"/>
      <c r="W52" s="6"/>
      <c r="X52" s="6"/>
      <c r="Y52" s="6"/>
      <c r="Z52" s="6"/>
    </row>
    <row r="53" spans="1:26" ht="17.25" customHeight="1" x14ac:dyDescent="0.25">
      <c r="A53" s="295"/>
      <c r="B53" s="293"/>
      <c r="C53" s="294">
        <v>16</v>
      </c>
      <c r="D53" s="294" t="s">
        <v>32</v>
      </c>
      <c r="E53" s="84" t="s">
        <v>16</v>
      </c>
      <c r="F53" s="30">
        <f>AVERAGE(F51:F52)</f>
        <v>76.5</v>
      </c>
      <c r="G53" s="30">
        <f t="shared" ref="G53:R53" si="15">AVERAGE(G51:G52)</f>
        <v>50</v>
      </c>
      <c r="H53" s="30">
        <f t="shared" si="15"/>
        <v>57.5</v>
      </c>
      <c r="I53" s="30">
        <f t="shared" si="15"/>
        <v>63</v>
      </c>
      <c r="J53" s="30">
        <f t="shared" si="15"/>
        <v>57</v>
      </c>
      <c r="K53" s="30">
        <f t="shared" si="15"/>
        <v>62.5</v>
      </c>
      <c r="L53" s="30">
        <f t="shared" si="15"/>
        <v>67.5</v>
      </c>
      <c r="M53" s="30">
        <f t="shared" si="15"/>
        <v>64.5</v>
      </c>
      <c r="N53" s="30">
        <f t="shared" si="15"/>
        <v>72</v>
      </c>
      <c r="O53" s="30">
        <f t="shared" si="15"/>
        <v>89.5</v>
      </c>
      <c r="P53" s="30">
        <f t="shared" si="15"/>
        <v>91.5</v>
      </c>
      <c r="Q53" s="30">
        <f t="shared" si="15"/>
        <v>751.5</v>
      </c>
      <c r="R53" s="30">
        <f t="shared" si="15"/>
        <v>68.318181818181813</v>
      </c>
      <c r="S53" s="190">
        <f>'10A Sem avr'!$H$19</f>
        <v>33</v>
      </c>
      <c r="T53" s="44">
        <f>AVERAGE(T51:T52)</f>
        <v>0</v>
      </c>
      <c r="U53" s="44">
        <f>AVERAGE(U51:U52)</f>
        <v>0</v>
      </c>
      <c r="V53" s="6"/>
      <c r="W53" s="6"/>
      <c r="X53" s="6"/>
      <c r="Y53" s="6"/>
      <c r="Z53" s="6"/>
    </row>
    <row r="54" spans="1:26" ht="17.25" customHeight="1" x14ac:dyDescent="0.25">
      <c r="A54" s="295">
        <v>17</v>
      </c>
      <c r="B54" s="293"/>
      <c r="C54" s="294">
        <v>16</v>
      </c>
      <c r="D54" s="294" t="s">
        <v>23</v>
      </c>
      <c r="E54" s="84" t="s">
        <v>21</v>
      </c>
      <c r="F54" s="30">
        <f>'10A Sem 1'!E20</f>
        <v>78</v>
      </c>
      <c r="G54" s="30">
        <f>'10A Sem 1'!F20</f>
        <v>60</v>
      </c>
      <c r="H54" s="30">
        <f>'10A Sem 1'!G20</f>
        <v>93</v>
      </c>
      <c r="I54" s="30">
        <f>'10A Sem 1'!H20</f>
        <v>94</v>
      </c>
      <c r="J54" s="30">
        <f>'10A Sem 1'!I20</f>
        <v>95</v>
      </c>
      <c r="K54" s="30">
        <f>'10A Sem 1'!J20</f>
        <v>98</v>
      </c>
      <c r="L54" s="30">
        <f>'10A Sem 1'!K20</f>
        <v>95</v>
      </c>
      <c r="M54" s="30">
        <f>'10A Sem 1'!L20</f>
        <v>75</v>
      </c>
      <c r="N54" s="30">
        <f>'10A Sem 1'!M20</f>
        <v>85</v>
      </c>
      <c r="O54" s="30">
        <f>'10A Sem 1'!N20</f>
        <v>99</v>
      </c>
      <c r="P54" s="30">
        <f>'10A Sem 1'!O20</f>
        <v>100</v>
      </c>
      <c r="Q54" s="30">
        <f>'10A Sem 1'!P20</f>
        <v>972</v>
      </c>
      <c r="R54" s="30">
        <f>'10A Sem 1'!Q20</f>
        <v>88.36363636363636</v>
      </c>
      <c r="S54" s="190">
        <f>'10A Sem 1'!R20</f>
        <v>9</v>
      </c>
      <c r="T54" s="44">
        <f>'10A Sem 1'!S20</f>
        <v>0</v>
      </c>
      <c r="U54" s="44">
        <f>'10A Sem 1'!T20</f>
        <v>0</v>
      </c>
      <c r="V54" s="6"/>
      <c r="W54" s="6"/>
      <c r="X54" s="6"/>
      <c r="Y54" s="6"/>
      <c r="Z54" s="6"/>
    </row>
    <row r="55" spans="1:26" ht="17.25" customHeight="1" x14ac:dyDescent="0.25">
      <c r="A55" s="295"/>
      <c r="B55" s="293"/>
      <c r="C55" s="294">
        <v>16</v>
      </c>
      <c r="D55" s="294" t="s">
        <v>23</v>
      </c>
      <c r="E55" s="84" t="s">
        <v>22</v>
      </c>
      <c r="F55" s="30">
        <f>'10A Sem 2'!E20</f>
        <v>77</v>
      </c>
      <c r="G55" s="30">
        <f>'10A Sem 2'!F20</f>
        <v>66</v>
      </c>
      <c r="H55" s="30">
        <f>'10A Sem 2'!G20</f>
        <v>94</v>
      </c>
      <c r="I55" s="30">
        <f>'10A Sem 2'!H20</f>
        <v>89</v>
      </c>
      <c r="J55" s="30">
        <f>'10A Sem 2'!I20</f>
        <v>88</v>
      </c>
      <c r="K55" s="30">
        <f>'10A Sem 2'!J20</f>
        <v>97</v>
      </c>
      <c r="L55" s="30">
        <f>'10A Sem 2'!K20</f>
        <v>98</v>
      </c>
      <c r="M55" s="30">
        <f>'10A Sem 2'!L20</f>
        <v>79</v>
      </c>
      <c r="N55" s="30">
        <f>'10A Sem 2'!M20</f>
        <v>90</v>
      </c>
      <c r="O55" s="30">
        <f>'10A Sem 2'!N20</f>
        <v>95</v>
      </c>
      <c r="P55" s="30">
        <f>'10A Sem 2'!O20</f>
        <v>98</v>
      </c>
      <c r="Q55" s="30">
        <f>'10A Sem 2'!P20</f>
        <v>971</v>
      </c>
      <c r="R55" s="30">
        <f>'10A Sem 2'!Q20</f>
        <v>88.272727272727266</v>
      </c>
      <c r="S55" s="190">
        <f>'10A Sem 2'!R20</f>
        <v>10</v>
      </c>
      <c r="T55" s="44">
        <f>'10A Sem 2'!S20</f>
        <v>0</v>
      </c>
      <c r="U55" s="44">
        <f>'10A Sem 2'!T20</f>
        <v>0</v>
      </c>
      <c r="V55" s="6"/>
      <c r="W55" s="6"/>
      <c r="X55" s="6"/>
      <c r="Y55" s="6"/>
      <c r="Z55" s="6"/>
    </row>
    <row r="56" spans="1:26" ht="17.25" customHeight="1" x14ac:dyDescent="0.25">
      <c r="A56" s="295"/>
      <c r="B56" s="293"/>
      <c r="C56" s="294">
        <v>16</v>
      </c>
      <c r="D56" s="294" t="s">
        <v>23</v>
      </c>
      <c r="E56" s="84" t="s">
        <v>16</v>
      </c>
      <c r="F56" s="30">
        <f>AVERAGE(F54:F55)</f>
        <v>77.5</v>
      </c>
      <c r="G56" s="30">
        <f t="shared" ref="G56:R56" si="16">AVERAGE(G54:G55)</f>
        <v>63</v>
      </c>
      <c r="H56" s="30">
        <f t="shared" si="16"/>
        <v>93.5</v>
      </c>
      <c r="I56" s="30">
        <f t="shared" si="16"/>
        <v>91.5</v>
      </c>
      <c r="J56" s="30">
        <f t="shared" si="16"/>
        <v>91.5</v>
      </c>
      <c r="K56" s="30">
        <f t="shared" si="16"/>
        <v>97.5</v>
      </c>
      <c r="L56" s="30">
        <f t="shared" si="16"/>
        <v>96.5</v>
      </c>
      <c r="M56" s="30">
        <f t="shared" si="16"/>
        <v>77</v>
      </c>
      <c r="N56" s="30">
        <f t="shared" si="16"/>
        <v>87.5</v>
      </c>
      <c r="O56" s="30">
        <f t="shared" si="16"/>
        <v>97</v>
      </c>
      <c r="P56" s="30">
        <f t="shared" si="16"/>
        <v>99</v>
      </c>
      <c r="Q56" s="30">
        <f t="shared" si="16"/>
        <v>971.5</v>
      </c>
      <c r="R56" s="30">
        <f t="shared" si="16"/>
        <v>88.318181818181813</v>
      </c>
      <c r="S56" s="190">
        <f>'10A Sem avr'!$H$20</f>
        <v>9</v>
      </c>
      <c r="T56" s="44">
        <f>AVERAGE(T54:T55)</f>
        <v>0</v>
      </c>
      <c r="U56" s="44">
        <f>AVERAGE(U54:U55)</f>
        <v>0</v>
      </c>
      <c r="V56" s="6"/>
      <c r="W56" s="6"/>
      <c r="X56" s="6"/>
      <c r="Y56" s="6"/>
      <c r="Z56" s="6"/>
    </row>
    <row r="57" spans="1:26" ht="17.25" customHeight="1" x14ac:dyDescent="0.25">
      <c r="A57" s="295">
        <v>18</v>
      </c>
      <c r="B57" s="293"/>
      <c r="C57" s="294">
        <v>16</v>
      </c>
      <c r="D57" s="294" t="s">
        <v>23</v>
      </c>
      <c r="E57" s="84" t="s">
        <v>21</v>
      </c>
      <c r="F57" s="30">
        <f>'10A Sem 1'!E21</f>
        <v>66</v>
      </c>
      <c r="G57" s="30">
        <f>'10A Sem 1'!F21</f>
        <v>58</v>
      </c>
      <c r="H57" s="31">
        <f>'10A Sem 1'!G21</f>
        <v>39</v>
      </c>
      <c r="I57" s="30">
        <f>'10A Sem 1'!H21</f>
        <v>49</v>
      </c>
      <c r="J57" s="30">
        <f>'10A Sem 1'!I21</f>
        <v>38</v>
      </c>
      <c r="K57" s="30">
        <f>'10A Sem 1'!J21</f>
        <v>45</v>
      </c>
      <c r="L57" s="30">
        <f>'10A Sem 1'!K21</f>
        <v>48</v>
      </c>
      <c r="M57" s="30">
        <f>'10A Sem 1'!L21</f>
        <v>71</v>
      </c>
      <c r="N57" s="30">
        <f>'10A Sem 1'!M21</f>
        <v>58</v>
      </c>
      <c r="O57" s="30">
        <f>'10A Sem 1'!N21</f>
        <v>61</v>
      </c>
      <c r="P57" s="30">
        <f>'10A Sem 1'!O21</f>
        <v>76</v>
      </c>
      <c r="Q57" s="30">
        <f>'10A Sem 1'!P21</f>
        <v>609</v>
      </c>
      <c r="R57" s="30">
        <f>'10A Sem 1'!Q21</f>
        <v>55.363636363636367</v>
      </c>
      <c r="S57" s="190">
        <f>'10A Sem 1'!R21</f>
        <v>49</v>
      </c>
      <c r="T57" s="44">
        <f>'10A Sem 1'!S21</f>
        <v>0</v>
      </c>
      <c r="U57" s="44">
        <f>'10A Sem 1'!T21</f>
        <v>0</v>
      </c>
      <c r="V57" s="6"/>
      <c r="W57" s="6"/>
      <c r="X57" s="6"/>
      <c r="Y57" s="6"/>
      <c r="Z57" s="6"/>
    </row>
    <row r="58" spans="1:26" ht="18.75" customHeight="1" x14ac:dyDescent="0.25">
      <c r="A58" s="295"/>
      <c r="B58" s="293"/>
      <c r="C58" s="294">
        <v>16</v>
      </c>
      <c r="D58" s="294" t="s">
        <v>23</v>
      </c>
      <c r="E58" s="84" t="s">
        <v>22</v>
      </c>
      <c r="F58" s="30">
        <f>'10A Sem 2'!E21</f>
        <v>73</v>
      </c>
      <c r="G58" s="30">
        <f>'10A Sem 2'!F21</f>
        <v>65</v>
      </c>
      <c r="H58" s="31">
        <f>'10A Sem 2'!G21</f>
        <v>34</v>
      </c>
      <c r="I58" s="30">
        <f>'10A Sem 2'!H21</f>
        <v>44</v>
      </c>
      <c r="J58" s="30">
        <f>'10A Sem 2'!I21</f>
        <v>40</v>
      </c>
      <c r="K58" s="30">
        <f>'10A Sem 2'!J21</f>
        <v>57</v>
      </c>
      <c r="L58" s="30">
        <f>'10A Sem 2'!K21</f>
        <v>57</v>
      </c>
      <c r="M58" s="30">
        <f>'10A Sem 2'!L21</f>
        <v>62</v>
      </c>
      <c r="N58" s="30">
        <f>'10A Sem 2'!M21</f>
        <v>63</v>
      </c>
      <c r="O58" s="30">
        <f>'10A Sem 2'!N21</f>
        <v>81</v>
      </c>
      <c r="P58" s="30">
        <f>'10A Sem 2'!O21</f>
        <v>84</v>
      </c>
      <c r="Q58" s="30">
        <f>'10A Sem 2'!P21</f>
        <v>660</v>
      </c>
      <c r="R58" s="30">
        <f>'10A Sem 2'!Q21</f>
        <v>60</v>
      </c>
      <c r="S58" s="190">
        <f>'10A Sem 2'!R21</f>
        <v>47</v>
      </c>
      <c r="T58" s="44">
        <f>'10A Sem 2'!S21</f>
        <v>0</v>
      </c>
      <c r="U58" s="44">
        <f>'10A Sem 2'!T21</f>
        <v>0</v>
      </c>
      <c r="V58" s="6"/>
      <c r="W58" s="6"/>
      <c r="X58" s="6"/>
      <c r="Y58" s="6"/>
      <c r="Z58" s="6"/>
    </row>
    <row r="59" spans="1:26" ht="18.75" customHeight="1" x14ac:dyDescent="0.25">
      <c r="A59" s="295"/>
      <c r="B59" s="293"/>
      <c r="C59" s="294">
        <v>16</v>
      </c>
      <c r="D59" s="294" t="s">
        <v>23</v>
      </c>
      <c r="E59" s="84" t="s">
        <v>16</v>
      </c>
      <c r="F59" s="30">
        <f>AVERAGE(F57:F58)</f>
        <v>69.5</v>
      </c>
      <c r="G59" s="30">
        <f t="shared" ref="G59:R59" si="17">AVERAGE(G57:G58)</f>
        <v>61.5</v>
      </c>
      <c r="H59" s="30">
        <f t="shared" si="17"/>
        <v>36.5</v>
      </c>
      <c r="I59" s="30">
        <f t="shared" si="17"/>
        <v>46.5</v>
      </c>
      <c r="J59" s="30">
        <f t="shared" si="17"/>
        <v>39</v>
      </c>
      <c r="K59" s="30">
        <f t="shared" si="17"/>
        <v>51</v>
      </c>
      <c r="L59" s="30">
        <f t="shared" si="17"/>
        <v>52.5</v>
      </c>
      <c r="M59" s="30">
        <f t="shared" si="17"/>
        <v>66.5</v>
      </c>
      <c r="N59" s="30">
        <f t="shared" si="17"/>
        <v>60.5</v>
      </c>
      <c r="O59" s="30">
        <f t="shared" si="17"/>
        <v>71</v>
      </c>
      <c r="P59" s="30">
        <f t="shared" si="17"/>
        <v>80</v>
      </c>
      <c r="Q59" s="30">
        <f t="shared" si="17"/>
        <v>634.5</v>
      </c>
      <c r="R59" s="30">
        <f t="shared" si="17"/>
        <v>57.681818181818187</v>
      </c>
      <c r="S59" s="190">
        <f>'10A Sem avr'!$H$21</f>
        <v>48</v>
      </c>
      <c r="T59" s="44">
        <f>AVERAGE(T57:T58)</f>
        <v>0</v>
      </c>
      <c r="U59" s="44">
        <f>AVERAGE(U57:U58)</f>
        <v>0</v>
      </c>
      <c r="V59" s="6"/>
      <c r="W59" s="6"/>
      <c r="X59" s="6"/>
      <c r="Y59" s="6"/>
      <c r="Z59" s="6"/>
    </row>
    <row r="60" spans="1:26" ht="18.75" customHeight="1" x14ac:dyDescent="0.25">
      <c r="A60" s="292">
        <v>19</v>
      </c>
      <c r="B60" s="322"/>
      <c r="C60" s="294">
        <v>17</v>
      </c>
      <c r="D60" s="294" t="s">
        <v>20</v>
      </c>
      <c r="E60" s="84" t="s">
        <v>21</v>
      </c>
      <c r="F60" s="30">
        <f>'10A Sem 1'!E22</f>
        <v>70</v>
      </c>
      <c r="G60" s="30">
        <f>'10A Sem 1'!F22</f>
        <v>55</v>
      </c>
      <c r="H60" s="30">
        <f>'10A Sem 1'!G22</f>
        <v>63</v>
      </c>
      <c r="I60" s="30">
        <f>'10A Sem 1'!H22</f>
        <v>64</v>
      </c>
      <c r="J60" s="30">
        <f>'10A Sem 1'!I22</f>
        <v>60</v>
      </c>
      <c r="K60" s="30">
        <f>'10A Sem 1'!J22</f>
        <v>53</v>
      </c>
      <c r="L60" s="30">
        <f>'10A Sem 1'!K22</f>
        <v>58</v>
      </c>
      <c r="M60" s="30">
        <f>'10A Sem 1'!L22</f>
        <v>68</v>
      </c>
      <c r="N60" s="30">
        <f>'10A Sem 1'!M22</f>
        <v>66</v>
      </c>
      <c r="O60" s="30">
        <f>'10A Sem 1'!N22</f>
        <v>76</v>
      </c>
      <c r="P60" s="30">
        <f>'10A Sem 1'!O22</f>
        <v>90</v>
      </c>
      <c r="Q60" s="30">
        <f>'10A Sem 1'!P22</f>
        <v>723</v>
      </c>
      <c r="R60" s="30">
        <f>'10A Sem 1'!Q22</f>
        <v>65.727272727272734</v>
      </c>
      <c r="S60" s="190">
        <f>'10A Sem 1'!R22</f>
        <v>36</v>
      </c>
      <c r="T60" s="44">
        <f>'10A Sem 1'!S22</f>
        <v>0</v>
      </c>
      <c r="U60" s="44">
        <f>'10A Sem 1'!T22</f>
        <v>0</v>
      </c>
      <c r="V60" s="6"/>
      <c r="W60" s="6"/>
      <c r="X60" s="6"/>
      <c r="Y60" s="6"/>
      <c r="Z60" s="6"/>
    </row>
    <row r="61" spans="1:26" ht="18.75" customHeight="1" x14ac:dyDescent="0.25">
      <c r="A61" s="292"/>
      <c r="B61" s="322"/>
      <c r="C61" s="294">
        <v>17</v>
      </c>
      <c r="D61" s="294" t="s">
        <v>20</v>
      </c>
      <c r="E61" s="84" t="s">
        <v>22</v>
      </c>
      <c r="F61" s="30">
        <f>'10A Sem 2'!E22</f>
        <v>71</v>
      </c>
      <c r="G61" s="30">
        <f>'10A Sem 2'!F22</f>
        <v>67</v>
      </c>
      <c r="H61" s="30">
        <f>'10A Sem 2'!G22</f>
        <v>47</v>
      </c>
      <c r="I61" s="30">
        <f>'10A Sem 2'!H22</f>
        <v>54</v>
      </c>
      <c r="J61" s="30">
        <f>'10A Sem 2'!I22</f>
        <v>52</v>
      </c>
      <c r="K61" s="30">
        <f>'10A Sem 2'!J22</f>
        <v>61</v>
      </c>
      <c r="L61" s="30">
        <f>'10A Sem 2'!K22</f>
        <v>54</v>
      </c>
      <c r="M61" s="30">
        <f>'10A Sem 2'!L22</f>
        <v>60</v>
      </c>
      <c r="N61" s="30">
        <f>'10A Sem 2'!M22</f>
        <v>71</v>
      </c>
      <c r="O61" s="30">
        <f>'10A Sem 2'!N22</f>
        <v>73</v>
      </c>
      <c r="P61" s="30">
        <f>'10A Sem 2'!O22</f>
        <v>88</v>
      </c>
      <c r="Q61" s="30">
        <f>'10A Sem 2'!P22</f>
        <v>698</v>
      </c>
      <c r="R61" s="30">
        <f>'10A Sem 2'!Q22</f>
        <v>63.454545454545453</v>
      </c>
      <c r="S61" s="190">
        <f>'10A Sem 2'!R22</f>
        <v>41</v>
      </c>
      <c r="T61" s="44">
        <f>'10A Sem 2'!S22</f>
        <v>0</v>
      </c>
      <c r="U61" s="44">
        <f>'10A Sem 2'!T22</f>
        <v>0</v>
      </c>
      <c r="V61" s="6"/>
      <c r="W61" s="6"/>
      <c r="X61" s="6"/>
      <c r="Y61" s="6"/>
      <c r="Z61" s="6"/>
    </row>
    <row r="62" spans="1:26" ht="18.75" customHeight="1" x14ac:dyDescent="0.25">
      <c r="A62" s="292"/>
      <c r="B62" s="322"/>
      <c r="C62" s="294">
        <v>17</v>
      </c>
      <c r="D62" s="294" t="s">
        <v>20</v>
      </c>
      <c r="E62" s="84" t="s">
        <v>16</v>
      </c>
      <c r="F62" s="30">
        <f>AVERAGE(F60:F61)</f>
        <v>70.5</v>
      </c>
      <c r="G62" s="30">
        <f t="shared" ref="G62:R62" si="18">AVERAGE(G60:G61)</f>
        <v>61</v>
      </c>
      <c r="H62" s="30">
        <f t="shared" si="18"/>
        <v>55</v>
      </c>
      <c r="I62" s="30">
        <f t="shared" si="18"/>
        <v>59</v>
      </c>
      <c r="J62" s="30">
        <f t="shared" si="18"/>
        <v>56</v>
      </c>
      <c r="K62" s="30">
        <f t="shared" si="18"/>
        <v>57</v>
      </c>
      <c r="L62" s="30">
        <f t="shared" si="18"/>
        <v>56</v>
      </c>
      <c r="M62" s="30">
        <f t="shared" si="18"/>
        <v>64</v>
      </c>
      <c r="N62" s="30">
        <f t="shared" si="18"/>
        <v>68.5</v>
      </c>
      <c r="O62" s="30">
        <f t="shared" si="18"/>
        <v>74.5</v>
      </c>
      <c r="P62" s="30">
        <f t="shared" si="18"/>
        <v>89</v>
      </c>
      <c r="Q62" s="30">
        <f t="shared" si="18"/>
        <v>710.5</v>
      </c>
      <c r="R62" s="30">
        <f t="shared" si="18"/>
        <v>64.590909090909093</v>
      </c>
      <c r="S62" s="190">
        <f>'10A Sem avr'!$H$22</f>
        <v>39</v>
      </c>
      <c r="T62" s="44">
        <f>AVERAGE(T60:T61)</f>
        <v>0</v>
      </c>
      <c r="U62" s="44">
        <f>AVERAGE(U60:U61)</f>
        <v>0</v>
      </c>
      <c r="V62" s="6"/>
      <c r="W62" s="6"/>
      <c r="X62" s="6"/>
      <c r="Y62" s="6"/>
      <c r="Z62" s="6"/>
    </row>
    <row r="63" spans="1:26" ht="18.75" customHeight="1" x14ac:dyDescent="0.25">
      <c r="A63" s="292">
        <v>20</v>
      </c>
      <c r="B63" s="293"/>
      <c r="C63" s="294">
        <v>15</v>
      </c>
      <c r="D63" s="294" t="s">
        <v>20</v>
      </c>
      <c r="E63" s="84" t="s">
        <v>21</v>
      </c>
      <c r="F63" s="30">
        <f>'10A Sem 1'!E23</f>
        <v>90</v>
      </c>
      <c r="G63" s="30">
        <f>'10A Sem 1'!F23</f>
        <v>75</v>
      </c>
      <c r="H63" s="30">
        <f>'10A Sem 1'!G23</f>
        <v>87</v>
      </c>
      <c r="I63" s="30">
        <f>'10A Sem 1'!H23</f>
        <v>82</v>
      </c>
      <c r="J63" s="30">
        <f>'10A Sem 1'!I23</f>
        <v>82</v>
      </c>
      <c r="K63" s="30">
        <f>'10A Sem 1'!J23</f>
        <v>86</v>
      </c>
      <c r="L63" s="30">
        <f>'10A Sem 1'!K23</f>
        <v>87</v>
      </c>
      <c r="M63" s="30">
        <f>'10A Sem 1'!L23</f>
        <v>87</v>
      </c>
      <c r="N63" s="30">
        <f>'10A Sem 1'!M23</f>
        <v>87</v>
      </c>
      <c r="O63" s="30">
        <f>'10A Sem 1'!N23</f>
        <v>96</v>
      </c>
      <c r="P63" s="30">
        <f>'10A Sem 1'!O23</f>
        <v>96</v>
      </c>
      <c r="Q63" s="30">
        <f>'10A Sem 1'!P23</f>
        <v>955</v>
      </c>
      <c r="R63" s="30">
        <f>'10A Sem 1'!Q23</f>
        <v>86.818181818181813</v>
      </c>
      <c r="S63" s="190">
        <f>'10A Sem 1'!R23</f>
        <v>11</v>
      </c>
      <c r="T63" s="44">
        <f>'10A Sem 1'!S23</f>
        <v>0</v>
      </c>
      <c r="U63" s="44">
        <f>'10A Sem 1'!T23</f>
        <v>0</v>
      </c>
      <c r="V63" s="6"/>
      <c r="W63" s="6"/>
      <c r="X63" s="6"/>
      <c r="Y63" s="6"/>
      <c r="Z63" s="6"/>
    </row>
    <row r="64" spans="1:26" ht="18.75" customHeight="1" x14ac:dyDescent="0.25">
      <c r="A64" s="292"/>
      <c r="B64" s="293"/>
      <c r="C64" s="294">
        <v>15</v>
      </c>
      <c r="D64" s="294" t="s">
        <v>20</v>
      </c>
      <c r="E64" s="84" t="s">
        <v>22</v>
      </c>
      <c r="F64" s="30">
        <f>'10A Sem 2'!E23</f>
        <v>85</v>
      </c>
      <c r="G64" s="30">
        <f>'10A Sem 2'!F23</f>
        <v>79</v>
      </c>
      <c r="H64" s="30">
        <f>'10A Sem 2'!G23</f>
        <v>81</v>
      </c>
      <c r="I64" s="30">
        <f>'10A Sem 2'!H23</f>
        <v>80</v>
      </c>
      <c r="J64" s="30">
        <f>'10A Sem 2'!I23</f>
        <v>79</v>
      </c>
      <c r="K64" s="30">
        <f>'10A Sem 2'!J23</f>
        <v>86</v>
      </c>
      <c r="L64" s="30">
        <f>'10A Sem 2'!K23</f>
        <v>87</v>
      </c>
      <c r="M64" s="30">
        <f>'10A Sem 2'!L23</f>
        <v>96</v>
      </c>
      <c r="N64" s="30">
        <f>'10A Sem 2'!M23</f>
        <v>96</v>
      </c>
      <c r="O64" s="30">
        <f>'10A Sem 2'!N23</f>
        <v>91</v>
      </c>
      <c r="P64" s="30">
        <f>'10A Sem 2'!O23</f>
        <v>95</v>
      </c>
      <c r="Q64" s="30">
        <f>'10A Sem 2'!P23</f>
        <v>955</v>
      </c>
      <c r="R64" s="30">
        <f>'10A Sem 2'!Q23</f>
        <v>86.818181818181813</v>
      </c>
      <c r="S64" s="190">
        <f>'10A Sem 2'!R23</f>
        <v>13</v>
      </c>
      <c r="T64" s="44">
        <f>'10A Sem 2'!S23</f>
        <v>0</v>
      </c>
      <c r="U64" s="44">
        <f>'10A Sem 2'!T23</f>
        <v>0</v>
      </c>
      <c r="V64" s="6"/>
      <c r="W64" s="6"/>
      <c r="X64" s="6"/>
      <c r="Y64" s="6"/>
      <c r="Z64" s="6"/>
    </row>
    <row r="65" spans="1:26" ht="18.75" customHeight="1" x14ac:dyDescent="0.25">
      <c r="A65" s="292"/>
      <c r="B65" s="293"/>
      <c r="C65" s="294">
        <v>15</v>
      </c>
      <c r="D65" s="294" t="s">
        <v>20</v>
      </c>
      <c r="E65" s="84" t="s">
        <v>16</v>
      </c>
      <c r="F65" s="30">
        <f>AVERAGE(F63:F64)</f>
        <v>87.5</v>
      </c>
      <c r="G65" s="30">
        <f t="shared" ref="G65:R65" si="19">AVERAGE(G63:G64)</f>
        <v>77</v>
      </c>
      <c r="H65" s="30">
        <f t="shared" si="19"/>
        <v>84</v>
      </c>
      <c r="I65" s="30">
        <f t="shared" si="19"/>
        <v>81</v>
      </c>
      <c r="J65" s="30">
        <f t="shared" si="19"/>
        <v>80.5</v>
      </c>
      <c r="K65" s="30">
        <f t="shared" si="19"/>
        <v>86</v>
      </c>
      <c r="L65" s="30">
        <f t="shared" si="19"/>
        <v>87</v>
      </c>
      <c r="M65" s="30">
        <f t="shared" si="19"/>
        <v>91.5</v>
      </c>
      <c r="N65" s="30">
        <f t="shared" si="19"/>
        <v>91.5</v>
      </c>
      <c r="O65" s="30">
        <f t="shared" si="19"/>
        <v>93.5</v>
      </c>
      <c r="P65" s="30">
        <f t="shared" si="19"/>
        <v>95.5</v>
      </c>
      <c r="Q65" s="30">
        <f t="shared" si="19"/>
        <v>955</v>
      </c>
      <c r="R65" s="30">
        <f t="shared" si="19"/>
        <v>86.818181818181813</v>
      </c>
      <c r="S65" s="190">
        <f>'10A Sem avr'!$H$23</f>
        <v>11</v>
      </c>
      <c r="T65" s="44">
        <f>AVERAGE(T63:T64)</f>
        <v>0</v>
      </c>
      <c r="U65" s="44">
        <f>AVERAGE(U63:U64)</f>
        <v>0</v>
      </c>
      <c r="V65" s="6"/>
      <c r="W65" s="6"/>
      <c r="X65" s="6"/>
      <c r="Y65" s="6"/>
      <c r="Z65" s="6"/>
    </row>
    <row r="66" spans="1:26" ht="18.75" customHeight="1" x14ac:dyDescent="0.25">
      <c r="A66" s="292">
        <v>21</v>
      </c>
      <c r="B66" s="293"/>
      <c r="C66" s="294">
        <v>16</v>
      </c>
      <c r="D66" s="294" t="s">
        <v>23</v>
      </c>
      <c r="E66" s="84" t="s">
        <v>21</v>
      </c>
      <c r="F66" s="30">
        <f>'10A Sem 1'!E24</f>
        <v>68</v>
      </c>
      <c r="G66" s="30">
        <f>'10A Sem 1'!F24</f>
        <v>60</v>
      </c>
      <c r="H66" s="30">
        <f>'10A Sem 1'!G24</f>
        <v>37</v>
      </c>
      <c r="I66" s="30">
        <f>'10A Sem 1'!H24</f>
        <v>52</v>
      </c>
      <c r="J66" s="30">
        <f>'10A Sem 1'!I24</f>
        <v>50</v>
      </c>
      <c r="K66" s="30">
        <f>'10A Sem 1'!J24</f>
        <v>46</v>
      </c>
      <c r="L66" s="30">
        <f>'10A Sem 1'!K24</f>
        <v>45</v>
      </c>
      <c r="M66" s="30">
        <f>'10A Sem 1'!L24</f>
        <v>60</v>
      </c>
      <c r="N66" s="30">
        <f>'10A Sem 1'!M24</f>
        <v>57</v>
      </c>
      <c r="O66" s="30">
        <f>'10A Sem 1'!N24</f>
        <v>65</v>
      </c>
      <c r="P66" s="30">
        <f>'10A Sem 1'!O24</f>
        <v>76</v>
      </c>
      <c r="Q66" s="30">
        <f>'10A Sem 1'!P24</f>
        <v>616</v>
      </c>
      <c r="R66" s="30">
        <f>'10A Sem 1'!Q24</f>
        <v>56</v>
      </c>
      <c r="S66" s="190">
        <f>'10A Sem 1'!R24</f>
        <v>48</v>
      </c>
      <c r="T66" s="44">
        <f>'10A Sem 1'!S24</f>
        <v>0</v>
      </c>
      <c r="U66" s="44">
        <f>'10A Sem 1'!T24</f>
        <v>0</v>
      </c>
      <c r="V66" s="6"/>
      <c r="W66" s="6"/>
      <c r="X66" s="6"/>
      <c r="Y66" s="6"/>
      <c r="Z66" s="6"/>
    </row>
    <row r="67" spans="1:26" ht="18.75" customHeight="1" x14ac:dyDescent="0.25">
      <c r="A67" s="292"/>
      <c r="B67" s="293"/>
      <c r="C67" s="294">
        <v>16</v>
      </c>
      <c r="D67" s="294" t="s">
        <v>23</v>
      </c>
      <c r="E67" s="84" t="s">
        <v>22</v>
      </c>
      <c r="F67" s="30">
        <f>'10A Sem 2'!E24</f>
        <v>0</v>
      </c>
      <c r="G67" s="30">
        <f>'10A Sem 2'!F24</f>
        <v>0</v>
      </c>
      <c r="H67" s="30">
        <f>'10A Sem 2'!G24</f>
        <v>0</v>
      </c>
      <c r="I67" s="30">
        <f>'10A Sem 2'!H24</f>
        <v>0</v>
      </c>
      <c r="J67" s="30">
        <f>'10A Sem 2'!I24</f>
        <v>0</v>
      </c>
      <c r="K67" s="30">
        <f>'10A Sem 2'!J24</f>
        <v>0</v>
      </c>
      <c r="L67" s="30">
        <f>'10A Sem 2'!K24</f>
        <v>0</v>
      </c>
      <c r="M67" s="30">
        <f>'10A Sem 2'!L24</f>
        <v>0</v>
      </c>
      <c r="N67" s="30">
        <f>'10A Sem 2'!M24</f>
        <v>0</v>
      </c>
      <c r="O67" s="30">
        <f>'10A Sem 2'!N24</f>
        <v>0</v>
      </c>
      <c r="P67" s="30">
        <f>'10A Sem 2'!O24</f>
        <v>0</v>
      </c>
      <c r="Q67" s="30">
        <f>'10A Sem 2'!P24</f>
        <v>0</v>
      </c>
      <c r="R67" s="30">
        <f>'10A Sem 2'!Q24</f>
        <v>0</v>
      </c>
      <c r="S67" s="190" t="e">
        <f>'10A Sem 2'!R24</f>
        <v>#N/A</v>
      </c>
      <c r="T67" s="44">
        <f>'10A Sem 2'!S24</f>
        <v>0</v>
      </c>
      <c r="U67" s="44">
        <f>'10A Sem 2'!T24</f>
        <v>0</v>
      </c>
      <c r="V67" s="6"/>
      <c r="W67" s="6"/>
      <c r="X67" s="6"/>
      <c r="Y67" s="6"/>
      <c r="Z67" s="6"/>
    </row>
    <row r="68" spans="1:26" ht="18.75" customHeight="1" x14ac:dyDescent="0.25">
      <c r="A68" s="292"/>
      <c r="B68" s="293"/>
      <c r="C68" s="294">
        <v>16</v>
      </c>
      <c r="D68" s="294" t="s">
        <v>23</v>
      </c>
      <c r="E68" s="84" t="s">
        <v>16</v>
      </c>
      <c r="F68" s="30">
        <f>AVERAGE(F66:F67)</f>
        <v>34</v>
      </c>
      <c r="G68" s="30">
        <f t="shared" ref="G68:R68" si="20">AVERAGE(G66:G67)</f>
        <v>30</v>
      </c>
      <c r="H68" s="30">
        <f t="shared" si="20"/>
        <v>18.5</v>
      </c>
      <c r="I68" s="30">
        <f t="shared" si="20"/>
        <v>26</v>
      </c>
      <c r="J68" s="30">
        <f t="shared" si="20"/>
        <v>25</v>
      </c>
      <c r="K68" s="30">
        <f t="shared" si="20"/>
        <v>23</v>
      </c>
      <c r="L68" s="30">
        <f t="shared" si="20"/>
        <v>22.5</v>
      </c>
      <c r="M68" s="30">
        <f t="shared" si="20"/>
        <v>30</v>
      </c>
      <c r="N68" s="30">
        <f t="shared" si="20"/>
        <v>28.5</v>
      </c>
      <c r="O68" s="30">
        <f t="shared" si="20"/>
        <v>32.5</v>
      </c>
      <c r="P68" s="30">
        <f t="shared" si="20"/>
        <v>38</v>
      </c>
      <c r="Q68" s="30">
        <f t="shared" si="20"/>
        <v>308</v>
      </c>
      <c r="R68" s="30">
        <f t="shared" si="20"/>
        <v>28</v>
      </c>
      <c r="S68" s="190">
        <f>'10A Sem avr'!$H$24</f>
        <v>49</v>
      </c>
      <c r="T68" s="44">
        <f>AVERAGE(T66:T67)</f>
        <v>0</v>
      </c>
      <c r="U68" s="44">
        <f>AVERAGE(U66:U67)</f>
        <v>0</v>
      </c>
      <c r="V68" s="6"/>
      <c r="W68" s="6"/>
      <c r="X68" s="6"/>
      <c r="Y68" s="6"/>
      <c r="Z68" s="6"/>
    </row>
    <row r="69" spans="1:26" ht="18.75" customHeight="1" x14ac:dyDescent="0.25">
      <c r="A69" s="295">
        <v>22</v>
      </c>
      <c r="B69" s="293"/>
      <c r="C69" s="294">
        <v>14</v>
      </c>
      <c r="D69" s="294" t="s">
        <v>23</v>
      </c>
      <c r="E69" s="84" t="s">
        <v>21</v>
      </c>
      <c r="F69" s="30">
        <f>'10A Sem 1'!E25</f>
        <v>79</v>
      </c>
      <c r="G69" s="30">
        <f>'10A Sem 1'!F25</f>
        <v>58</v>
      </c>
      <c r="H69" s="30">
        <f>'10A Sem 1'!G25</f>
        <v>51</v>
      </c>
      <c r="I69" s="30">
        <f>'10A Sem 1'!H25</f>
        <v>63</v>
      </c>
      <c r="J69" s="30">
        <f>'10A Sem 1'!I25</f>
        <v>50</v>
      </c>
      <c r="K69" s="30">
        <f>'10A Sem 1'!J25</f>
        <v>60</v>
      </c>
      <c r="L69" s="30">
        <f>'10A Sem 1'!K25</f>
        <v>64</v>
      </c>
      <c r="M69" s="30">
        <f>'10A Sem 1'!L25</f>
        <v>68</v>
      </c>
      <c r="N69" s="30">
        <f>'10A Sem 1'!M25</f>
        <v>65</v>
      </c>
      <c r="O69" s="30">
        <f>'10A Sem 1'!N25</f>
        <v>93</v>
      </c>
      <c r="P69" s="30">
        <f>'10A Sem 1'!O25</f>
        <v>89</v>
      </c>
      <c r="Q69" s="30">
        <f>'10A Sem 1'!P25</f>
        <v>740</v>
      </c>
      <c r="R69" s="30">
        <f>'10A Sem 1'!Q25</f>
        <v>67.272727272727266</v>
      </c>
      <c r="S69" s="190">
        <f>'10A Sem 1'!R25</f>
        <v>32</v>
      </c>
      <c r="T69" s="44">
        <f>'10A Sem 1'!S25</f>
        <v>0</v>
      </c>
      <c r="U69" s="44">
        <f>'10A Sem 1'!T25</f>
        <v>0</v>
      </c>
      <c r="V69" s="6"/>
      <c r="W69" s="6"/>
      <c r="X69" s="6"/>
      <c r="Y69" s="6"/>
      <c r="Z69" s="6"/>
    </row>
    <row r="70" spans="1:26" ht="18.75" customHeight="1" x14ac:dyDescent="0.25">
      <c r="A70" s="295"/>
      <c r="B70" s="293"/>
      <c r="C70" s="294">
        <v>14</v>
      </c>
      <c r="D70" s="294" t="s">
        <v>23</v>
      </c>
      <c r="E70" s="84" t="s">
        <v>22</v>
      </c>
      <c r="F70" s="30">
        <f>'10A Sem 2'!E25</f>
        <v>74</v>
      </c>
      <c r="G70" s="30">
        <f>'10A Sem 2'!F25</f>
        <v>65</v>
      </c>
      <c r="H70" s="30">
        <f>'10A Sem 2'!G25</f>
        <v>46</v>
      </c>
      <c r="I70" s="30">
        <f>'10A Sem 2'!H25</f>
        <v>53</v>
      </c>
      <c r="J70" s="30">
        <f>'10A Sem 2'!I25</f>
        <v>44</v>
      </c>
      <c r="K70" s="30">
        <f>'10A Sem 2'!J25</f>
        <v>62</v>
      </c>
      <c r="L70" s="30">
        <f>'10A Sem 2'!K25</f>
        <v>61</v>
      </c>
      <c r="M70" s="30">
        <f>'10A Sem 2'!L25</f>
        <v>69</v>
      </c>
      <c r="N70" s="30">
        <f>'10A Sem 2'!M25</f>
        <v>65</v>
      </c>
      <c r="O70" s="30">
        <f>'10A Sem 2'!N25</f>
        <v>73</v>
      </c>
      <c r="P70" s="30">
        <f>'10A Sem 2'!O25</f>
        <v>86</v>
      </c>
      <c r="Q70" s="30">
        <f>'10A Sem 2'!P25</f>
        <v>698</v>
      </c>
      <c r="R70" s="30">
        <f>'10A Sem 2'!Q25</f>
        <v>63.454545454545453</v>
      </c>
      <c r="S70" s="190">
        <f>'10A Sem 2'!R25</f>
        <v>41</v>
      </c>
      <c r="T70" s="44">
        <f>'10A Sem 2'!S25</f>
        <v>0</v>
      </c>
      <c r="U70" s="44">
        <f>'10A Sem 2'!T25</f>
        <v>0</v>
      </c>
      <c r="V70" s="6"/>
      <c r="W70" s="6"/>
      <c r="X70" s="6"/>
      <c r="Y70" s="6"/>
      <c r="Z70" s="6"/>
    </row>
    <row r="71" spans="1:26" ht="18.75" customHeight="1" x14ac:dyDescent="0.25">
      <c r="A71" s="295"/>
      <c r="B71" s="293"/>
      <c r="C71" s="294">
        <v>14</v>
      </c>
      <c r="D71" s="294" t="s">
        <v>23</v>
      </c>
      <c r="E71" s="84" t="s">
        <v>16</v>
      </c>
      <c r="F71" s="30">
        <f>AVERAGE(F69:F70)</f>
        <v>76.5</v>
      </c>
      <c r="G71" s="30">
        <f t="shared" ref="G71:R71" si="21">AVERAGE(G69:G70)</f>
        <v>61.5</v>
      </c>
      <c r="H71" s="30">
        <f t="shared" si="21"/>
        <v>48.5</v>
      </c>
      <c r="I71" s="30">
        <f t="shared" si="21"/>
        <v>58</v>
      </c>
      <c r="J71" s="30">
        <f t="shared" si="21"/>
        <v>47</v>
      </c>
      <c r="K71" s="30">
        <f t="shared" si="21"/>
        <v>61</v>
      </c>
      <c r="L71" s="30">
        <f t="shared" si="21"/>
        <v>62.5</v>
      </c>
      <c r="M71" s="30">
        <f t="shared" si="21"/>
        <v>68.5</v>
      </c>
      <c r="N71" s="30">
        <f t="shared" si="21"/>
        <v>65</v>
      </c>
      <c r="O71" s="30">
        <f t="shared" si="21"/>
        <v>83</v>
      </c>
      <c r="P71" s="30">
        <f t="shared" si="21"/>
        <v>87.5</v>
      </c>
      <c r="Q71" s="30">
        <f t="shared" si="21"/>
        <v>719</v>
      </c>
      <c r="R71" s="30">
        <f t="shared" si="21"/>
        <v>65.36363636363636</v>
      </c>
      <c r="S71" s="190">
        <f>'10A Sem avr'!$H$25</f>
        <v>37</v>
      </c>
      <c r="T71" s="44">
        <f>AVERAGE(T69:T70)</f>
        <v>0</v>
      </c>
      <c r="U71" s="44">
        <f>AVERAGE(U69:U70)</f>
        <v>0</v>
      </c>
      <c r="V71" s="6"/>
      <c r="W71" s="6"/>
      <c r="X71" s="6"/>
      <c r="Y71" s="6"/>
      <c r="Z71" s="6"/>
    </row>
    <row r="72" spans="1:26" ht="18.75" customHeight="1" x14ac:dyDescent="0.25">
      <c r="A72" s="295">
        <v>23</v>
      </c>
      <c r="B72" s="293"/>
      <c r="C72" s="294">
        <v>14</v>
      </c>
      <c r="D72" s="294" t="s">
        <v>20</v>
      </c>
      <c r="E72" s="84" t="s">
        <v>21</v>
      </c>
      <c r="F72" s="30">
        <f>'10A Sem 1'!E26</f>
        <v>95</v>
      </c>
      <c r="G72" s="30">
        <f>'10A Sem 1'!F26</f>
        <v>72</v>
      </c>
      <c r="H72" s="30">
        <f>'10A Sem 1'!G26</f>
        <v>95</v>
      </c>
      <c r="I72" s="30">
        <f>'10A Sem 1'!H26</f>
        <v>92</v>
      </c>
      <c r="J72" s="30">
        <f>'10A Sem 1'!I26</f>
        <v>89</v>
      </c>
      <c r="K72" s="30">
        <f>'10A Sem 1'!J26</f>
        <v>89</v>
      </c>
      <c r="L72" s="30">
        <f>'10A Sem 1'!K26</f>
        <v>85</v>
      </c>
      <c r="M72" s="30">
        <f>'10A Sem 1'!L26</f>
        <v>81</v>
      </c>
      <c r="N72" s="30">
        <f>'10A Sem 1'!M26</f>
        <v>88</v>
      </c>
      <c r="O72" s="30">
        <f>'10A Sem 1'!N26</f>
        <v>98</v>
      </c>
      <c r="P72" s="30">
        <f>'10A Sem 1'!O26</f>
        <v>91</v>
      </c>
      <c r="Q72" s="30">
        <f>'10A Sem 1'!P26</f>
        <v>975</v>
      </c>
      <c r="R72" s="30">
        <f>'10A Sem 1'!Q26</f>
        <v>88.63636363636364</v>
      </c>
      <c r="S72" s="190">
        <f>'10A Sem 1'!R26</f>
        <v>8</v>
      </c>
      <c r="T72" s="44">
        <f>'10A Sem 1'!S26</f>
        <v>0</v>
      </c>
      <c r="U72" s="44">
        <f>'10A Sem 1'!T26</f>
        <v>0</v>
      </c>
      <c r="V72" s="6"/>
      <c r="W72" s="6"/>
      <c r="X72" s="6"/>
      <c r="Y72" s="6"/>
      <c r="Z72" s="6"/>
    </row>
    <row r="73" spans="1:26" ht="18.75" customHeight="1" x14ac:dyDescent="0.25">
      <c r="A73" s="295"/>
      <c r="B73" s="293"/>
      <c r="C73" s="294">
        <v>14</v>
      </c>
      <c r="D73" s="294" t="s">
        <v>20</v>
      </c>
      <c r="E73" s="84" t="s">
        <v>22</v>
      </c>
      <c r="F73" s="30">
        <f>'10A Sem 2'!E26</f>
        <v>79</v>
      </c>
      <c r="G73" s="30">
        <f>'10A Sem 2'!F26</f>
        <v>85</v>
      </c>
      <c r="H73" s="30">
        <f>'10A Sem 2'!G26</f>
        <v>97</v>
      </c>
      <c r="I73" s="30">
        <f>'10A Sem 2'!H26</f>
        <v>90</v>
      </c>
      <c r="J73" s="30">
        <f>'10A Sem 2'!I26</f>
        <v>86</v>
      </c>
      <c r="K73" s="30">
        <f>'10A Sem 2'!J26</f>
        <v>93</v>
      </c>
      <c r="L73" s="30">
        <f>'10A Sem 2'!K26</f>
        <v>88</v>
      </c>
      <c r="M73" s="30">
        <f>'10A Sem 2'!L26</f>
        <v>89</v>
      </c>
      <c r="N73" s="30">
        <f>'10A Sem 2'!M26</f>
        <v>93</v>
      </c>
      <c r="O73" s="30">
        <f>'10A Sem 2'!N26</f>
        <v>96</v>
      </c>
      <c r="P73" s="30">
        <f>'10A Sem 2'!O26</f>
        <v>98</v>
      </c>
      <c r="Q73" s="30">
        <f>'10A Sem 2'!P26</f>
        <v>994</v>
      </c>
      <c r="R73" s="30">
        <f>'10A Sem 2'!Q26</f>
        <v>90.36363636363636</v>
      </c>
      <c r="S73" s="190">
        <f>'10A Sem 2'!R26</f>
        <v>7</v>
      </c>
      <c r="T73" s="44">
        <f>'10A Sem 2'!S26</f>
        <v>0</v>
      </c>
      <c r="U73" s="44">
        <f>'10A Sem 2'!T26</f>
        <v>0</v>
      </c>
      <c r="V73" s="6"/>
      <c r="W73" s="6"/>
      <c r="X73" s="6"/>
      <c r="Y73" s="6"/>
      <c r="Z73" s="6"/>
    </row>
    <row r="74" spans="1:26" ht="18.75" customHeight="1" x14ac:dyDescent="0.25">
      <c r="A74" s="295"/>
      <c r="B74" s="293"/>
      <c r="C74" s="294">
        <v>14</v>
      </c>
      <c r="D74" s="294" t="s">
        <v>20</v>
      </c>
      <c r="E74" s="84" t="s">
        <v>16</v>
      </c>
      <c r="F74" s="30">
        <f>AVERAGE(F72:F73)</f>
        <v>87</v>
      </c>
      <c r="G74" s="30">
        <f t="shared" ref="G74:R74" si="22">AVERAGE(G72:G73)</f>
        <v>78.5</v>
      </c>
      <c r="H74" s="30">
        <f t="shared" si="22"/>
        <v>96</v>
      </c>
      <c r="I74" s="30">
        <f t="shared" si="22"/>
        <v>91</v>
      </c>
      <c r="J74" s="30">
        <f t="shared" si="22"/>
        <v>87.5</v>
      </c>
      <c r="K74" s="30">
        <f t="shared" si="22"/>
        <v>91</v>
      </c>
      <c r="L74" s="30">
        <f t="shared" si="22"/>
        <v>86.5</v>
      </c>
      <c r="M74" s="30">
        <f t="shared" si="22"/>
        <v>85</v>
      </c>
      <c r="N74" s="30">
        <f t="shared" si="22"/>
        <v>90.5</v>
      </c>
      <c r="O74" s="30">
        <f t="shared" si="22"/>
        <v>97</v>
      </c>
      <c r="P74" s="30">
        <f t="shared" si="22"/>
        <v>94.5</v>
      </c>
      <c r="Q74" s="30">
        <f t="shared" si="22"/>
        <v>984.5</v>
      </c>
      <c r="R74" s="30">
        <f t="shared" si="22"/>
        <v>89.5</v>
      </c>
      <c r="S74" s="190">
        <f>'10A Sem avr'!$H$26</f>
        <v>7</v>
      </c>
      <c r="T74" s="44">
        <f>AVERAGE(T72:T73)</f>
        <v>0</v>
      </c>
      <c r="U74" s="44">
        <f>AVERAGE(U72:U73)</f>
        <v>0</v>
      </c>
      <c r="V74" s="6"/>
      <c r="W74" s="6"/>
      <c r="X74" s="6"/>
      <c r="Y74" s="6"/>
      <c r="Z74" s="6"/>
    </row>
    <row r="75" spans="1:26" ht="18.75" customHeight="1" x14ac:dyDescent="0.25">
      <c r="A75" s="292">
        <v>24</v>
      </c>
      <c r="B75" s="295"/>
      <c r="C75" s="297">
        <v>15</v>
      </c>
      <c r="D75" s="297" t="s">
        <v>23</v>
      </c>
      <c r="E75" s="84" t="s">
        <v>21</v>
      </c>
      <c r="F75" s="30">
        <f>'10A Sem 1'!E27</f>
        <v>59</v>
      </c>
      <c r="G75" s="30">
        <f>'10A Sem 1'!F27</f>
        <v>72</v>
      </c>
      <c r="H75" s="31">
        <f>'10A Sem 1'!G27</f>
        <v>41</v>
      </c>
      <c r="I75" s="31">
        <f>'10A Sem 1'!H27</f>
        <v>53</v>
      </c>
      <c r="J75" s="30">
        <f>'10A Sem 1'!I27</f>
        <v>46</v>
      </c>
      <c r="K75" s="31">
        <f>'10A Sem 1'!J27</f>
        <v>57</v>
      </c>
      <c r="L75" s="30">
        <f>'10A Sem 1'!K27</f>
        <v>52</v>
      </c>
      <c r="M75" s="30">
        <f>'10A Sem 1'!L27</f>
        <v>54</v>
      </c>
      <c r="N75" s="30">
        <f>'10A Sem 1'!M27</f>
        <v>65</v>
      </c>
      <c r="O75" s="30">
        <f>'10A Sem 1'!N27</f>
        <v>89</v>
      </c>
      <c r="P75" s="30">
        <f>'10A Sem 1'!O27</f>
        <v>77</v>
      </c>
      <c r="Q75" s="30">
        <f>'10A Sem 1'!P27</f>
        <v>665</v>
      </c>
      <c r="R75" s="30">
        <f>'10A Sem 1'!Q27</f>
        <v>60.454545454545453</v>
      </c>
      <c r="S75" s="190">
        <f>'10A Sem 1'!R27</f>
        <v>45</v>
      </c>
      <c r="T75" s="44">
        <f>'10A Sem 1'!S27</f>
        <v>0</v>
      </c>
      <c r="U75" s="44">
        <f>'10A Sem 1'!T27</f>
        <v>0</v>
      </c>
      <c r="V75" s="6"/>
      <c r="W75" s="6"/>
      <c r="X75" s="6"/>
      <c r="Y75" s="6"/>
      <c r="Z75" s="6"/>
    </row>
    <row r="76" spans="1:26" ht="18.75" customHeight="1" x14ac:dyDescent="0.25">
      <c r="A76" s="292"/>
      <c r="B76" s="295"/>
      <c r="C76" s="297">
        <v>15</v>
      </c>
      <c r="D76" s="297" t="s">
        <v>23</v>
      </c>
      <c r="E76" s="84" t="s">
        <v>22</v>
      </c>
      <c r="F76" s="30">
        <f>'10A Sem 2'!E27</f>
        <v>69</v>
      </c>
      <c r="G76" s="30">
        <f>'10A Sem 2'!F27</f>
        <v>79</v>
      </c>
      <c r="H76" s="31">
        <f>'10A Sem 2'!G27</f>
        <v>38</v>
      </c>
      <c r="I76" s="31">
        <f>'10A Sem 2'!H27</f>
        <v>41</v>
      </c>
      <c r="J76" s="30">
        <f>'10A Sem 2'!I27</f>
        <v>40</v>
      </c>
      <c r="K76" s="31">
        <f>'10A Sem 2'!J27</f>
        <v>62</v>
      </c>
      <c r="L76" s="30">
        <f>'10A Sem 2'!K27</f>
        <v>54</v>
      </c>
      <c r="M76" s="30">
        <f>'10A Sem 2'!L27</f>
        <v>52</v>
      </c>
      <c r="N76" s="30">
        <f>'10A Sem 2'!M27</f>
        <v>83</v>
      </c>
      <c r="O76" s="30">
        <f>'10A Sem 2'!N27</f>
        <v>81</v>
      </c>
      <c r="P76" s="30">
        <f>'10A Sem 2'!O27</f>
        <v>83</v>
      </c>
      <c r="Q76" s="30">
        <f>'10A Sem 2'!P27</f>
        <v>682</v>
      </c>
      <c r="R76" s="30">
        <f>'10A Sem 2'!Q27</f>
        <v>62</v>
      </c>
      <c r="S76" s="190">
        <f>'10A Sem 2'!R27</f>
        <v>45</v>
      </c>
      <c r="T76" s="44">
        <f>'10A Sem 2'!S27</f>
        <v>0</v>
      </c>
      <c r="U76" s="44">
        <f>'10A Sem 2'!T27</f>
        <v>0</v>
      </c>
      <c r="V76" s="6"/>
      <c r="W76" s="6"/>
      <c r="X76" s="6"/>
      <c r="Y76" s="6"/>
      <c r="Z76" s="6"/>
    </row>
    <row r="77" spans="1:26" ht="18.75" customHeight="1" x14ac:dyDescent="0.25">
      <c r="A77" s="292"/>
      <c r="B77" s="295"/>
      <c r="C77" s="297">
        <v>15</v>
      </c>
      <c r="D77" s="297" t="s">
        <v>23</v>
      </c>
      <c r="E77" s="84" t="s">
        <v>16</v>
      </c>
      <c r="F77" s="30">
        <f>AVERAGE(F75:F76)</f>
        <v>64</v>
      </c>
      <c r="G77" s="30">
        <f t="shared" ref="G77:R77" si="23">AVERAGE(G75:G76)</f>
        <v>75.5</v>
      </c>
      <c r="H77" s="30">
        <f t="shared" si="23"/>
        <v>39.5</v>
      </c>
      <c r="I77" s="30">
        <f t="shared" si="23"/>
        <v>47</v>
      </c>
      <c r="J77" s="30">
        <f t="shared" si="23"/>
        <v>43</v>
      </c>
      <c r="K77" s="30">
        <f t="shared" si="23"/>
        <v>59.5</v>
      </c>
      <c r="L77" s="30">
        <f t="shared" si="23"/>
        <v>53</v>
      </c>
      <c r="M77" s="30">
        <f t="shared" si="23"/>
        <v>53</v>
      </c>
      <c r="N77" s="30">
        <f t="shared" si="23"/>
        <v>74</v>
      </c>
      <c r="O77" s="30">
        <f t="shared" si="23"/>
        <v>85</v>
      </c>
      <c r="P77" s="30">
        <f t="shared" si="23"/>
        <v>80</v>
      </c>
      <c r="Q77" s="30">
        <f t="shared" si="23"/>
        <v>673.5</v>
      </c>
      <c r="R77" s="30">
        <f t="shared" si="23"/>
        <v>61.227272727272727</v>
      </c>
      <c r="S77" s="190">
        <f>'10A Sem avr'!$H$27</f>
        <v>45</v>
      </c>
      <c r="T77" s="44">
        <f>AVERAGE(T75:T76)</f>
        <v>0</v>
      </c>
      <c r="U77" s="44">
        <f>AVERAGE(U75:U76)</f>
        <v>0</v>
      </c>
      <c r="V77" s="6"/>
      <c r="W77" s="6"/>
      <c r="X77" s="6"/>
      <c r="Y77" s="6"/>
      <c r="Z77" s="6"/>
    </row>
    <row r="78" spans="1:26" ht="18.75" customHeight="1" x14ac:dyDescent="0.25">
      <c r="A78" s="295">
        <v>25</v>
      </c>
      <c r="B78" s="293"/>
      <c r="C78" s="294">
        <v>17</v>
      </c>
      <c r="D78" s="294" t="s">
        <v>23</v>
      </c>
      <c r="E78" s="84" t="s">
        <v>21</v>
      </c>
      <c r="F78" s="30">
        <f>'10A Sem 1'!E28</f>
        <v>96</v>
      </c>
      <c r="G78" s="31">
        <f>'10A Sem 1'!F28</f>
        <v>65</v>
      </c>
      <c r="H78" s="31">
        <f>'10A Sem 1'!G28</f>
        <v>78</v>
      </c>
      <c r="I78" s="30">
        <f>'10A Sem 1'!H28</f>
        <v>65</v>
      </c>
      <c r="J78" s="31">
        <f>'10A Sem 1'!I28</f>
        <v>84</v>
      </c>
      <c r="K78" s="30">
        <f>'10A Sem 1'!J28</f>
        <v>88</v>
      </c>
      <c r="L78" s="30">
        <f>'10A Sem 1'!K28</f>
        <v>76</v>
      </c>
      <c r="M78" s="30">
        <f>'10A Sem 1'!L28</f>
        <v>84</v>
      </c>
      <c r="N78" s="30">
        <f>'10A Sem 1'!M28</f>
        <v>88</v>
      </c>
      <c r="O78" s="30">
        <f>'10A Sem 1'!N28</f>
        <v>94</v>
      </c>
      <c r="P78" s="30">
        <f>'10A Sem 1'!O28</f>
        <v>91</v>
      </c>
      <c r="Q78" s="30">
        <f>'10A Sem 1'!P28</f>
        <v>909</v>
      </c>
      <c r="R78" s="30">
        <f>'10A Sem 1'!Q28</f>
        <v>82.63636363636364</v>
      </c>
      <c r="S78" s="190">
        <f>'10A Sem 1'!R28</f>
        <v>14</v>
      </c>
      <c r="T78" s="44">
        <f>'10A Sem 1'!S28</f>
        <v>0</v>
      </c>
      <c r="U78" s="44">
        <f>'10A Sem 1'!T28</f>
        <v>0</v>
      </c>
      <c r="V78" s="6"/>
      <c r="W78" s="6"/>
      <c r="X78" s="6"/>
      <c r="Y78" s="6"/>
      <c r="Z78" s="6"/>
    </row>
    <row r="79" spans="1:26" ht="18.75" customHeight="1" x14ac:dyDescent="0.25">
      <c r="A79" s="295"/>
      <c r="B79" s="293"/>
      <c r="C79" s="294">
        <v>17</v>
      </c>
      <c r="D79" s="294" t="s">
        <v>23</v>
      </c>
      <c r="E79" s="84" t="s">
        <v>22</v>
      </c>
      <c r="F79" s="30">
        <f>'10A Sem 2'!E28</f>
        <v>88</v>
      </c>
      <c r="G79" s="31">
        <f>'10A Sem 2'!F28</f>
        <v>72</v>
      </c>
      <c r="H79" s="31">
        <f>'10A Sem 2'!G28</f>
        <v>67</v>
      </c>
      <c r="I79" s="30">
        <f>'10A Sem 2'!H28</f>
        <v>72</v>
      </c>
      <c r="J79" s="31">
        <f>'10A Sem 2'!I28</f>
        <v>73</v>
      </c>
      <c r="K79" s="30">
        <f>'10A Sem 2'!J28</f>
        <v>84</v>
      </c>
      <c r="L79" s="30">
        <f>'10A Sem 2'!K28</f>
        <v>81</v>
      </c>
      <c r="M79" s="30">
        <f>'10A Sem 2'!L28</f>
        <v>100</v>
      </c>
      <c r="N79" s="30">
        <f>'10A Sem 2'!M28</f>
        <v>95</v>
      </c>
      <c r="O79" s="30">
        <f>'10A Sem 2'!N28</f>
        <v>86</v>
      </c>
      <c r="P79" s="30">
        <f>'10A Sem 2'!O28</f>
        <v>88</v>
      </c>
      <c r="Q79" s="30">
        <f>'10A Sem 2'!P28</f>
        <v>906</v>
      </c>
      <c r="R79" s="30">
        <f>'10A Sem 2'!Q28</f>
        <v>82.36363636363636</v>
      </c>
      <c r="S79" s="190">
        <f>'10A Sem 2'!R28</f>
        <v>16</v>
      </c>
      <c r="T79" s="44">
        <f>'10A Sem 2'!S28</f>
        <v>0</v>
      </c>
      <c r="U79" s="44">
        <f>'10A Sem 2'!T28</f>
        <v>0</v>
      </c>
      <c r="V79" s="6"/>
      <c r="W79" s="6"/>
      <c r="X79" s="6"/>
      <c r="Y79" s="6"/>
      <c r="Z79" s="6"/>
    </row>
    <row r="80" spans="1:26" ht="18.75" customHeight="1" x14ac:dyDescent="0.25">
      <c r="A80" s="295"/>
      <c r="B80" s="293"/>
      <c r="C80" s="294">
        <v>17</v>
      </c>
      <c r="D80" s="294" t="s">
        <v>23</v>
      </c>
      <c r="E80" s="84" t="s">
        <v>16</v>
      </c>
      <c r="F80" s="30">
        <f>AVERAGE(F78:F79)</f>
        <v>92</v>
      </c>
      <c r="G80" s="30">
        <f t="shared" ref="G80:R80" si="24">AVERAGE(G78:G79)</f>
        <v>68.5</v>
      </c>
      <c r="H80" s="30">
        <f t="shared" si="24"/>
        <v>72.5</v>
      </c>
      <c r="I80" s="30">
        <f t="shared" si="24"/>
        <v>68.5</v>
      </c>
      <c r="J80" s="30">
        <f t="shared" si="24"/>
        <v>78.5</v>
      </c>
      <c r="K80" s="30">
        <f t="shared" si="24"/>
        <v>86</v>
      </c>
      <c r="L80" s="30">
        <f t="shared" si="24"/>
        <v>78.5</v>
      </c>
      <c r="M80" s="30">
        <f t="shared" si="24"/>
        <v>92</v>
      </c>
      <c r="N80" s="30">
        <f t="shared" si="24"/>
        <v>91.5</v>
      </c>
      <c r="O80" s="30">
        <f t="shared" si="24"/>
        <v>90</v>
      </c>
      <c r="P80" s="30">
        <f t="shared" si="24"/>
        <v>89.5</v>
      </c>
      <c r="Q80" s="30">
        <f t="shared" si="24"/>
        <v>907.5</v>
      </c>
      <c r="R80" s="30">
        <f t="shared" si="24"/>
        <v>82.5</v>
      </c>
      <c r="S80" s="190">
        <f>'10A Sem avr'!$H$28</f>
        <v>16</v>
      </c>
      <c r="T80" s="44">
        <f>AVERAGE(T78:T79)</f>
        <v>0</v>
      </c>
      <c r="U80" s="44">
        <f>AVERAGE(U78:U79)</f>
        <v>0</v>
      </c>
      <c r="V80" s="6"/>
      <c r="W80" s="6"/>
      <c r="X80" s="6"/>
      <c r="Y80" s="6"/>
      <c r="Z80" s="6"/>
    </row>
    <row r="81" spans="1:26" ht="18.75" customHeight="1" x14ac:dyDescent="0.25">
      <c r="A81" s="292">
        <v>26</v>
      </c>
      <c r="B81" s="293"/>
      <c r="C81" s="294">
        <v>15</v>
      </c>
      <c r="D81" s="294" t="s">
        <v>23</v>
      </c>
      <c r="E81" s="84" t="s">
        <v>21</v>
      </c>
      <c r="F81" s="30">
        <f>'10A Sem 1'!E29</f>
        <v>89</v>
      </c>
      <c r="G81" s="30">
        <f>'10A Sem 1'!F29</f>
        <v>78</v>
      </c>
      <c r="H81" s="30">
        <f>'10A Sem 1'!G29</f>
        <v>89</v>
      </c>
      <c r="I81" s="30">
        <f>'10A Sem 1'!H29</f>
        <v>100</v>
      </c>
      <c r="J81" s="30">
        <f>'10A Sem 1'!I29</f>
        <v>92</v>
      </c>
      <c r="K81" s="30">
        <f>'10A Sem 1'!J29</f>
        <v>95</v>
      </c>
      <c r="L81" s="30">
        <f>'10A Sem 1'!K29</f>
        <v>98</v>
      </c>
      <c r="M81" s="30">
        <f>'10A Sem 1'!L29</f>
        <v>88</v>
      </c>
      <c r="N81" s="30">
        <f>'10A Sem 1'!M29</f>
        <v>85</v>
      </c>
      <c r="O81" s="30">
        <f>'10A Sem 1'!N29</f>
        <v>100</v>
      </c>
      <c r="P81" s="30">
        <f>'10A Sem 1'!O29</f>
        <v>100</v>
      </c>
      <c r="Q81" s="30">
        <f>'10A Sem 1'!P29</f>
        <v>1014</v>
      </c>
      <c r="R81" s="30">
        <f>'10A Sem 1'!Q29</f>
        <v>92.181818181818187</v>
      </c>
      <c r="S81" s="190">
        <f>'10A Sem 1'!R29</f>
        <v>2</v>
      </c>
      <c r="T81" s="44">
        <f>'10A Sem 1'!S29</f>
        <v>0</v>
      </c>
      <c r="U81" s="44">
        <f>'10A Sem 1'!T29</f>
        <v>0</v>
      </c>
      <c r="V81" s="6"/>
      <c r="W81" s="6"/>
      <c r="X81" s="6"/>
      <c r="Y81" s="6"/>
      <c r="Z81" s="6"/>
    </row>
    <row r="82" spans="1:26" ht="18.75" customHeight="1" x14ac:dyDescent="0.25">
      <c r="A82" s="292"/>
      <c r="B82" s="293"/>
      <c r="C82" s="294">
        <v>15</v>
      </c>
      <c r="D82" s="294" t="s">
        <v>23</v>
      </c>
      <c r="E82" s="84" t="s">
        <v>22</v>
      </c>
      <c r="F82" s="30">
        <f>'10A Sem 2'!E29</f>
        <v>84</v>
      </c>
      <c r="G82" s="30">
        <f>'10A Sem 2'!F29</f>
        <v>89</v>
      </c>
      <c r="H82" s="30">
        <f>'10A Sem 2'!G29</f>
        <v>94</v>
      </c>
      <c r="I82" s="30">
        <f>'10A Sem 2'!H29</f>
        <v>83</v>
      </c>
      <c r="J82" s="30">
        <f>'10A Sem 2'!I29</f>
        <v>87</v>
      </c>
      <c r="K82" s="30">
        <f>'10A Sem 2'!J29</f>
        <v>97</v>
      </c>
      <c r="L82" s="30">
        <f>'10A Sem 2'!K29</f>
        <v>98</v>
      </c>
      <c r="M82" s="30">
        <f>'10A Sem 2'!L29</f>
        <v>95</v>
      </c>
      <c r="N82" s="30">
        <f>'10A Sem 2'!M29</f>
        <v>98</v>
      </c>
      <c r="O82" s="30">
        <f>'10A Sem 2'!N29</f>
        <v>100</v>
      </c>
      <c r="P82" s="30">
        <f>'10A Sem 2'!O29</f>
        <v>100</v>
      </c>
      <c r="Q82" s="30">
        <f>'10A Sem 2'!P29</f>
        <v>1025</v>
      </c>
      <c r="R82" s="30">
        <f>'10A Sem 2'!Q29</f>
        <v>93.181818181818187</v>
      </c>
      <c r="S82" s="190">
        <f>'10A Sem 2'!R29</f>
        <v>4</v>
      </c>
      <c r="T82" s="44">
        <f>'10A Sem 2'!S29</f>
        <v>0</v>
      </c>
      <c r="U82" s="44">
        <f>'10A Sem 2'!T29</f>
        <v>0</v>
      </c>
      <c r="V82" s="6"/>
      <c r="W82" s="6"/>
      <c r="X82" s="6"/>
      <c r="Y82" s="6"/>
      <c r="Z82" s="6"/>
    </row>
    <row r="83" spans="1:26" ht="18.75" customHeight="1" x14ac:dyDescent="0.25">
      <c r="A83" s="292"/>
      <c r="B83" s="293"/>
      <c r="C83" s="294">
        <v>15</v>
      </c>
      <c r="D83" s="294" t="s">
        <v>23</v>
      </c>
      <c r="E83" s="84" t="s">
        <v>16</v>
      </c>
      <c r="F83" s="30">
        <f>AVERAGE(F81:F82)</f>
        <v>86.5</v>
      </c>
      <c r="G83" s="30">
        <f t="shared" ref="G83:R83" si="25">AVERAGE(G81:G82)</f>
        <v>83.5</v>
      </c>
      <c r="H83" s="30">
        <f t="shared" si="25"/>
        <v>91.5</v>
      </c>
      <c r="I83" s="30">
        <f t="shared" si="25"/>
        <v>91.5</v>
      </c>
      <c r="J83" s="30">
        <f t="shared" si="25"/>
        <v>89.5</v>
      </c>
      <c r="K83" s="30">
        <f t="shared" si="25"/>
        <v>96</v>
      </c>
      <c r="L83" s="30">
        <f t="shared" si="25"/>
        <v>98</v>
      </c>
      <c r="M83" s="30">
        <f t="shared" si="25"/>
        <v>91.5</v>
      </c>
      <c r="N83" s="30">
        <f t="shared" si="25"/>
        <v>91.5</v>
      </c>
      <c r="O83" s="30">
        <f t="shared" si="25"/>
        <v>100</v>
      </c>
      <c r="P83" s="30">
        <f t="shared" si="25"/>
        <v>100</v>
      </c>
      <c r="Q83" s="30">
        <f t="shared" si="25"/>
        <v>1019.5</v>
      </c>
      <c r="R83" s="30">
        <f t="shared" si="25"/>
        <v>92.681818181818187</v>
      </c>
      <c r="S83" s="190">
        <f>'10A Sem avr'!$H$29</f>
        <v>4</v>
      </c>
      <c r="T83" s="44">
        <f>AVERAGE(T81:T82)</f>
        <v>0</v>
      </c>
      <c r="U83" s="44">
        <f>AVERAGE(U81:U82)</f>
        <v>0</v>
      </c>
      <c r="V83" s="6"/>
      <c r="W83" s="6"/>
      <c r="X83" s="6"/>
      <c r="Y83" s="6"/>
      <c r="Z83" s="6"/>
    </row>
    <row r="84" spans="1:26" ht="18.75" customHeight="1" x14ac:dyDescent="0.25">
      <c r="A84" s="292">
        <v>27</v>
      </c>
      <c r="B84" s="293"/>
      <c r="C84" s="294">
        <v>17</v>
      </c>
      <c r="D84" s="294" t="s">
        <v>23</v>
      </c>
      <c r="E84" s="84" t="s">
        <v>21</v>
      </c>
      <c r="F84" s="30">
        <f>'10A Sem 1'!E30</f>
        <v>60</v>
      </c>
      <c r="G84" s="30">
        <f>'10A Sem 1'!F30</f>
        <v>71</v>
      </c>
      <c r="H84" s="31">
        <f>'10A Sem 1'!G30</f>
        <v>55</v>
      </c>
      <c r="I84" s="30">
        <f>'10A Sem 1'!H30</f>
        <v>60</v>
      </c>
      <c r="J84" s="30">
        <f>'10A Sem 1'!I30</f>
        <v>55</v>
      </c>
      <c r="K84" s="30">
        <f>'10A Sem 1'!J30</f>
        <v>58</v>
      </c>
      <c r="L84" s="30">
        <f>'10A Sem 1'!K30</f>
        <v>63</v>
      </c>
      <c r="M84" s="30">
        <f>'10A Sem 1'!L30</f>
        <v>63</v>
      </c>
      <c r="N84" s="30">
        <f>'10A Sem 1'!M30</f>
        <v>60</v>
      </c>
      <c r="O84" s="30">
        <f>'10A Sem 1'!N30</f>
        <v>80</v>
      </c>
      <c r="P84" s="30">
        <f>'10A Sem 1'!O30</f>
        <v>94</v>
      </c>
      <c r="Q84" s="30">
        <f>'10A Sem 1'!P30</f>
        <v>719</v>
      </c>
      <c r="R84" s="30">
        <f>'10A Sem 1'!Q30</f>
        <v>65.36363636363636</v>
      </c>
      <c r="S84" s="190">
        <f>'10A Sem 1'!R30</f>
        <v>38</v>
      </c>
      <c r="T84" s="44">
        <f>'10A Sem 1'!S30</f>
        <v>0</v>
      </c>
      <c r="U84" s="44">
        <f>'10A Sem 1'!T30</f>
        <v>0</v>
      </c>
      <c r="V84" s="6"/>
      <c r="W84" s="6"/>
      <c r="X84" s="6"/>
      <c r="Y84" s="6"/>
      <c r="Z84" s="6"/>
    </row>
    <row r="85" spans="1:26" ht="18.75" customHeight="1" x14ac:dyDescent="0.25">
      <c r="A85" s="292"/>
      <c r="B85" s="293"/>
      <c r="C85" s="294">
        <v>17</v>
      </c>
      <c r="D85" s="294" t="s">
        <v>23</v>
      </c>
      <c r="E85" s="84" t="s">
        <v>22</v>
      </c>
      <c r="F85" s="30">
        <f>'10A Sem 2'!E30</f>
        <v>60</v>
      </c>
      <c r="G85" s="30">
        <f>'10A Sem 2'!F30</f>
        <v>80</v>
      </c>
      <c r="H85" s="31">
        <f>'10A Sem 2'!G30</f>
        <v>54</v>
      </c>
      <c r="I85" s="30">
        <f>'10A Sem 2'!H30</f>
        <v>52</v>
      </c>
      <c r="J85" s="30">
        <f>'10A Sem 2'!I30</f>
        <v>46</v>
      </c>
      <c r="K85" s="30">
        <f>'10A Sem 2'!J30</f>
        <v>61</v>
      </c>
      <c r="L85" s="30">
        <f>'10A Sem 2'!K30</f>
        <v>62</v>
      </c>
      <c r="M85" s="30">
        <f>'10A Sem 2'!L30</f>
        <v>65</v>
      </c>
      <c r="N85" s="30">
        <f>'10A Sem 2'!M30</f>
        <v>78</v>
      </c>
      <c r="O85" s="30">
        <f>'10A Sem 2'!N30</f>
        <v>80</v>
      </c>
      <c r="P85" s="30">
        <f>'10A Sem 2'!O30</f>
        <v>94</v>
      </c>
      <c r="Q85" s="30">
        <f>'10A Sem 2'!P30</f>
        <v>732</v>
      </c>
      <c r="R85" s="30">
        <f>'10A Sem 2'!Q30</f>
        <v>66.545454545454547</v>
      </c>
      <c r="S85" s="190">
        <f>'10A Sem 2'!R30</f>
        <v>36</v>
      </c>
      <c r="T85" s="44">
        <f>'10A Sem 2'!S30</f>
        <v>0</v>
      </c>
      <c r="U85" s="44">
        <f>'10A Sem 2'!T30</f>
        <v>0</v>
      </c>
      <c r="V85" s="6"/>
      <c r="W85" s="6"/>
      <c r="X85" s="6"/>
      <c r="Y85" s="6"/>
      <c r="Z85" s="6"/>
    </row>
    <row r="86" spans="1:26" ht="18.75" customHeight="1" x14ac:dyDescent="0.25">
      <c r="A86" s="292"/>
      <c r="B86" s="293"/>
      <c r="C86" s="294">
        <v>17</v>
      </c>
      <c r="D86" s="294" t="s">
        <v>23</v>
      </c>
      <c r="E86" s="84" t="s">
        <v>16</v>
      </c>
      <c r="F86" s="30">
        <f>AVERAGE(F84:F85)</f>
        <v>60</v>
      </c>
      <c r="G86" s="30">
        <f t="shared" ref="G86:R86" si="26">AVERAGE(G84:G85)</f>
        <v>75.5</v>
      </c>
      <c r="H86" s="30">
        <f t="shared" si="26"/>
        <v>54.5</v>
      </c>
      <c r="I86" s="30">
        <f t="shared" si="26"/>
        <v>56</v>
      </c>
      <c r="J86" s="30">
        <f t="shared" si="26"/>
        <v>50.5</v>
      </c>
      <c r="K86" s="30">
        <f t="shared" si="26"/>
        <v>59.5</v>
      </c>
      <c r="L86" s="30">
        <f t="shared" si="26"/>
        <v>62.5</v>
      </c>
      <c r="M86" s="30">
        <f t="shared" si="26"/>
        <v>64</v>
      </c>
      <c r="N86" s="30">
        <f t="shared" si="26"/>
        <v>69</v>
      </c>
      <c r="O86" s="30">
        <f t="shared" si="26"/>
        <v>80</v>
      </c>
      <c r="P86" s="30">
        <f t="shared" si="26"/>
        <v>94</v>
      </c>
      <c r="Q86" s="30">
        <f t="shared" si="26"/>
        <v>725.5</v>
      </c>
      <c r="R86" s="30">
        <f t="shared" si="26"/>
        <v>65.954545454545453</v>
      </c>
      <c r="S86" s="190">
        <f>'10A Sem avr'!$H$30</f>
        <v>35</v>
      </c>
      <c r="T86" s="44">
        <f>AVERAGE(T84:T85)</f>
        <v>0</v>
      </c>
      <c r="U86" s="44">
        <f>AVERAGE(U84:U85)</f>
        <v>0</v>
      </c>
      <c r="V86" s="6"/>
      <c r="W86" s="6"/>
      <c r="X86" s="6"/>
      <c r="Y86" s="6"/>
      <c r="Z86" s="6"/>
    </row>
    <row r="87" spans="1:26" ht="18.75" customHeight="1" x14ac:dyDescent="0.25">
      <c r="A87" s="292">
        <v>28</v>
      </c>
      <c r="B87" s="293"/>
      <c r="C87" s="294">
        <v>16</v>
      </c>
      <c r="D87" s="294" t="s">
        <v>20</v>
      </c>
      <c r="E87" s="84" t="s">
        <v>21</v>
      </c>
      <c r="F87" s="30">
        <f>'10A Sem 1'!E31</f>
        <v>93</v>
      </c>
      <c r="G87" s="30">
        <f>'10A Sem 1'!F31</f>
        <v>62</v>
      </c>
      <c r="H87" s="30">
        <f>'10A Sem 1'!G31</f>
        <v>85</v>
      </c>
      <c r="I87" s="30">
        <f>'10A Sem 1'!H31</f>
        <v>72</v>
      </c>
      <c r="J87" s="30">
        <f>'10A Sem 1'!I31</f>
        <v>75</v>
      </c>
      <c r="K87" s="30">
        <f>'10A Sem 1'!J31</f>
        <v>59</v>
      </c>
      <c r="L87" s="30">
        <f>'10A Sem 1'!K31</f>
        <v>54</v>
      </c>
      <c r="M87" s="30">
        <f>'10A Sem 1'!L31</f>
        <v>75</v>
      </c>
      <c r="N87" s="30">
        <f>'10A Sem 1'!M31</f>
        <v>68</v>
      </c>
      <c r="O87" s="30">
        <f>'10A Sem 1'!N31</f>
        <v>80</v>
      </c>
      <c r="P87" s="30">
        <f>'10A Sem 1'!O31</f>
        <v>80</v>
      </c>
      <c r="Q87" s="30">
        <f>'10A Sem 1'!P31</f>
        <v>803</v>
      </c>
      <c r="R87" s="30">
        <f>'10A Sem 1'!Q31</f>
        <v>73</v>
      </c>
      <c r="S87" s="190">
        <f>'10A Sem 1'!R31</f>
        <v>26</v>
      </c>
      <c r="T87" s="44">
        <f>'10A Sem 1'!S31</f>
        <v>0</v>
      </c>
      <c r="U87" s="44">
        <f>'10A Sem 1'!T31</f>
        <v>0</v>
      </c>
      <c r="V87" s="6"/>
      <c r="W87" s="6"/>
      <c r="X87" s="6"/>
      <c r="Y87" s="6"/>
      <c r="Z87" s="6"/>
    </row>
    <row r="88" spans="1:26" ht="18.75" customHeight="1" x14ac:dyDescent="0.25">
      <c r="A88" s="292"/>
      <c r="B88" s="293"/>
      <c r="C88" s="294">
        <v>16</v>
      </c>
      <c r="D88" s="294" t="s">
        <v>20</v>
      </c>
      <c r="E88" s="84" t="s">
        <v>22</v>
      </c>
      <c r="F88" s="30">
        <f>'10A Sem 2'!E31</f>
        <v>83</v>
      </c>
      <c r="G88" s="30">
        <f>'10A Sem 2'!F31</f>
        <v>52</v>
      </c>
      <c r="H88" s="30">
        <f>'10A Sem 2'!G31</f>
        <v>64</v>
      </c>
      <c r="I88" s="30">
        <f>'10A Sem 2'!H31</f>
        <v>61</v>
      </c>
      <c r="J88" s="30">
        <f>'10A Sem 2'!I31</f>
        <v>57</v>
      </c>
      <c r="K88" s="30">
        <f>'10A Sem 2'!J31</f>
        <v>64</v>
      </c>
      <c r="L88" s="30">
        <f>'10A Sem 2'!K31</f>
        <v>63</v>
      </c>
      <c r="M88" s="30">
        <f>'10A Sem 2'!L31</f>
        <v>76</v>
      </c>
      <c r="N88" s="30">
        <f>'10A Sem 2'!M31</f>
        <v>65</v>
      </c>
      <c r="O88" s="30">
        <f>'10A Sem 2'!N31</f>
        <v>83</v>
      </c>
      <c r="P88" s="30">
        <f>'10A Sem 2'!O31</f>
        <v>99</v>
      </c>
      <c r="Q88" s="30">
        <f>'10A Sem 2'!P31</f>
        <v>767</v>
      </c>
      <c r="R88" s="30">
        <f>'10A Sem 2'!Q31</f>
        <v>69.727272727272734</v>
      </c>
      <c r="S88" s="190">
        <f>'10A Sem 2'!R31</f>
        <v>32</v>
      </c>
      <c r="T88" s="44">
        <f>'10A Sem 2'!S31</f>
        <v>0</v>
      </c>
      <c r="U88" s="44">
        <f>'10A Sem 2'!T31</f>
        <v>0</v>
      </c>
      <c r="V88" s="6"/>
      <c r="W88" s="6"/>
      <c r="X88" s="6"/>
      <c r="Y88" s="6"/>
      <c r="Z88" s="6"/>
    </row>
    <row r="89" spans="1:26" ht="18.75" customHeight="1" x14ac:dyDescent="0.25">
      <c r="A89" s="292"/>
      <c r="B89" s="293"/>
      <c r="C89" s="294">
        <v>16</v>
      </c>
      <c r="D89" s="294" t="s">
        <v>20</v>
      </c>
      <c r="E89" s="84" t="s">
        <v>16</v>
      </c>
      <c r="F89" s="30">
        <f>AVERAGE(F87:F88)</f>
        <v>88</v>
      </c>
      <c r="G89" s="30">
        <f t="shared" ref="G89:R89" si="27">AVERAGE(G87:G88)</f>
        <v>57</v>
      </c>
      <c r="H89" s="30">
        <f t="shared" si="27"/>
        <v>74.5</v>
      </c>
      <c r="I89" s="30">
        <f t="shared" si="27"/>
        <v>66.5</v>
      </c>
      <c r="J89" s="30">
        <f t="shared" si="27"/>
        <v>66</v>
      </c>
      <c r="K89" s="30">
        <f t="shared" si="27"/>
        <v>61.5</v>
      </c>
      <c r="L89" s="30">
        <f t="shared" si="27"/>
        <v>58.5</v>
      </c>
      <c r="M89" s="30">
        <f t="shared" si="27"/>
        <v>75.5</v>
      </c>
      <c r="N89" s="30">
        <f t="shared" si="27"/>
        <v>66.5</v>
      </c>
      <c r="O89" s="30">
        <f t="shared" si="27"/>
        <v>81.5</v>
      </c>
      <c r="P89" s="30">
        <f t="shared" si="27"/>
        <v>89.5</v>
      </c>
      <c r="Q89" s="30">
        <f t="shared" si="27"/>
        <v>785</v>
      </c>
      <c r="R89" s="30">
        <f t="shared" si="27"/>
        <v>71.363636363636374</v>
      </c>
      <c r="S89" s="190">
        <f>'10A Sem avr'!$H$31</f>
        <v>29</v>
      </c>
      <c r="T89" s="44">
        <f>AVERAGE(T87:T88)</f>
        <v>0</v>
      </c>
      <c r="U89" s="44">
        <f>AVERAGE(U87:U88)</f>
        <v>0</v>
      </c>
      <c r="V89" s="6"/>
      <c r="W89" s="6"/>
      <c r="X89" s="6"/>
      <c r="Y89" s="6"/>
      <c r="Z89" s="6"/>
    </row>
    <row r="90" spans="1:26" ht="18.75" customHeight="1" x14ac:dyDescent="0.25">
      <c r="A90" s="295">
        <v>29</v>
      </c>
      <c r="B90" s="293"/>
      <c r="C90" s="294">
        <v>16</v>
      </c>
      <c r="D90" s="294" t="s">
        <v>23</v>
      </c>
      <c r="E90" s="84" t="s">
        <v>21</v>
      </c>
      <c r="F90" s="30">
        <f>'10A Sem 1'!E32</f>
        <v>79</v>
      </c>
      <c r="G90" s="30">
        <f>'10A Sem 1'!F32</f>
        <v>65</v>
      </c>
      <c r="H90" s="30">
        <f>'10A Sem 1'!G32</f>
        <v>60</v>
      </c>
      <c r="I90" s="30">
        <f>'10A Sem 1'!H32</f>
        <v>57</v>
      </c>
      <c r="J90" s="30">
        <f>'10A Sem 1'!I32</f>
        <v>58</v>
      </c>
      <c r="K90" s="30">
        <f>'10A Sem 1'!J32</f>
        <v>70</v>
      </c>
      <c r="L90" s="30">
        <f>'10A Sem 1'!K32</f>
        <v>65</v>
      </c>
      <c r="M90" s="30">
        <f>'10A Sem 1'!L32</f>
        <v>80</v>
      </c>
      <c r="N90" s="30">
        <f>'10A Sem 1'!M32</f>
        <v>78</v>
      </c>
      <c r="O90" s="30">
        <f>'10A Sem 1'!N32</f>
        <v>93</v>
      </c>
      <c r="P90" s="30">
        <f>'10A Sem 1'!O32</f>
        <v>86</v>
      </c>
      <c r="Q90" s="30">
        <f>'10A Sem 1'!P32</f>
        <v>791</v>
      </c>
      <c r="R90" s="30">
        <f>'10A Sem 1'!Q32</f>
        <v>71.909090909090907</v>
      </c>
      <c r="S90" s="190">
        <f>'10A Sem 1'!R32</f>
        <v>28</v>
      </c>
      <c r="T90" s="44">
        <f>'10A Sem 1'!S32</f>
        <v>0</v>
      </c>
      <c r="U90" s="44">
        <f>'10A Sem 1'!T32</f>
        <v>0</v>
      </c>
      <c r="V90" s="6"/>
      <c r="W90" s="6"/>
      <c r="X90" s="6"/>
      <c r="Y90" s="6"/>
      <c r="Z90" s="6"/>
    </row>
    <row r="91" spans="1:26" ht="18.75" customHeight="1" x14ac:dyDescent="0.25">
      <c r="A91" s="295"/>
      <c r="B91" s="293"/>
      <c r="C91" s="294">
        <v>16</v>
      </c>
      <c r="D91" s="294" t="s">
        <v>23</v>
      </c>
      <c r="E91" s="84" t="s">
        <v>22</v>
      </c>
      <c r="F91" s="30">
        <f>'10A Sem 2'!E32</f>
        <v>76</v>
      </c>
      <c r="G91" s="30">
        <f>'10A Sem 2'!F32</f>
        <v>71</v>
      </c>
      <c r="H91" s="30">
        <f>'10A Sem 2'!G32</f>
        <v>56</v>
      </c>
      <c r="I91" s="30">
        <f>'10A Sem 2'!H32</f>
        <v>55</v>
      </c>
      <c r="J91" s="30">
        <f>'10A Sem 2'!I32</f>
        <v>57</v>
      </c>
      <c r="K91" s="30">
        <f>'10A Sem 2'!J32</f>
        <v>75</v>
      </c>
      <c r="L91" s="30">
        <f>'10A Sem 2'!K32</f>
        <v>75</v>
      </c>
      <c r="M91" s="30">
        <f>'10A Sem 2'!L32</f>
        <v>89</v>
      </c>
      <c r="N91" s="30">
        <f>'10A Sem 2'!M32</f>
        <v>86</v>
      </c>
      <c r="O91" s="30">
        <f>'10A Sem 2'!N32</f>
        <v>78</v>
      </c>
      <c r="P91" s="30">
        <f>'10A Sem 2'!O32</f>
        <v>90</v>
      </c>
      <c r="Q91" s="30">
        <f>'10A Sem 2'!P32</f>
        <v>808</v>
      </c>
      <c r="R91" s="30">
        <f>'10A Sem 2'!Q32</f>
        <v>73.454545454545453</v>
      </c>
      <c r="S91" s="190">
        <f>'10A Sem 2'!R32</f>
        <v>27</v>
      </c>
      <c r="T91" s="44">
        <f>'10A Sem 2'!S32</f>
        <v>0</v>
      </c>
      <c r="U91" s="44">
        <f>'10A Sem 2'!T32</f>
        <v>0</v>
      </c>
      <c r="V91" s="6"/>
      <c r="W91" s="6"/>
      <c r="X91" s="6"/>
      <c r="Y91" s="6"/>
      <c r="Z91" s="6"/>
    </row>
    <row r="92" spans="1:26" ht="18.75" customHeight="1" x14ac:dyDescent="0.25">
      <c r="A92" s="295"/>
      <c r="B92" s="293"/>
      <c r="C92" s="294">
        <v>16</v>
      </c>
      <c r="D92" s="294" t="s">
        <v>23</v>
      </c>
      <c r="E92" s="84" t="s">
        <v>16</v>
      </c>
      <c r="F92" s="30">
        <f>AVERAGE(F90:F91)</f>
        <v>77.5</v>
      </c>
      <c r="G92" s="30">
        <f t="shared" ref="G92:R92" si="28">AVERAGE(G90:G91)</f>
        <v>68</v>
      </c>
      <c r="H92" s="30">
        <f t="shared" si="28"/>
        <v>58</v>
      </c>
      <c r="I92" s="30">
        <f t="shared" si="28"/>
        <v>56</v>
      </c>
      <c r="J92" s="30">
        <f t="shared" si="28"/>
        <v>57.5</v>
      </c>
      <c r="K92" s="30">
        <f t="shared" si="28"/>
        <v>72.5</v>
      </c>
      <c r="L92" s="30">
        <f t="shared" si="28"/>
        <v>70</v>
      </c>
      <c r="M92" s="30">
        <f t="shared" si="28"/>
        <v>84.5</v>
      </c>
      <c r="N92" s="30">
        <f t="shared" si="28"/>
        <v>82</v>
      </c>
      <c r="O92" s="30">
        <f t="shared" si="28"/>
        <v>85.5</v>
      </c>
      <c r="P92" s="30">
        <f t="shared" si="28"/>
        <v>88</v>
      </c>
      <c r="Q92" s="30">
        <f t="shared" si="28"/>
        <v>799.5</v>
      </c>
      <c r="R92" s="30">
        <f t="shared" si="28"/>
        <v>72.681818181818187</v>
      </c>
      <c r="S92" s="190">
        <f>'10A Sem avr'!$H$32</f>
        <v>26</v>
      </c>
      <c r="T92" s="44">
        <f>AVERAGE(T90:T91)</f>
        <v>0</v>
      </c>
      <c r="U92" s="44">
        <f>AVERAGE(U90:U91)</f>
        <v>0</v>
      </c>
      <c r="V92" s="6"/>
      <c r="W92" s="6"/>
      <c r="X92" s="6"/>
      <c r="Y92" s="6"/>
      <c r="Z92" s="6"/>
    </row>
    <row r="93" spans="1:26" ht="18.75" customHeight="1" x14ac:dyDescent="0.25">
      <c r="A93" s="292">
        <v>30</v>
      </c>
      <c r="B93" s="296"/>
      <c r="C93" s="294">
        <v>16</v>
      </c>
      <c r="D93" s="294" t="s">
        <v>23</v>
      </c>
      <c r="E93" s="84" t="s">
        <v>21</v>
      </c>
      <c r="F93" s="30">
        <f>'10A Sem 1'!E33</f>
        <v>87</v>
      </c>
      <c r="G93" s="31">
        <f>'10A Sem 1'!F33</f>
        <v>76</v>
      </c>
      <c r="H93" s="31">
        <f>'10A Sem 1'!G33</f>
        <v>76</v>
      </c>
      <c r="I93" s="31">
        <f>'10A Sem 1'!H33</f>
        <v>72</v>
      </c>
      <c r="J93" s="30">
        <f>'10A Sem 1'!I33</f>
        <v>59</v>
      </c>
      <c r="K93" s="30">
        <f>'10A Sem 1'!J33</f>
        <v>79</v>
      </c>
      <c r="L93" s="30">
        <f>'10A Sem 1'!K33</f>
        <v>67</v>
      </c>
      <c r="M93" s="30">
        <f>'10A Sem 1'!L33</f>
        <v>57</v>
      </c>
      <c r="N93" s="30">
        <f>'10A Sem 1'!M33</f>
        <v>82</v>
      </c>
      <c r="O93" s="30">
        <f>'10A Sem 1'!N33</f>
        <v>71</v>
      </c>
      <c r="P93" s="31">
        <f>'10A Sem 1'!O33</f>
        <v>85</v>
      </c>
      <c r="Q93" s="30">
        <f>'10A Sem 1'!P33</f>
        <v>811</v>
      </c>
      <c r="R93" s="30">
        <f>'10A Sem 1'!Q33</f>
        <v>73.727272727272734</v>
      </c>
      <c r="S93" s="190">
        <f>'10A Sem 1'!R33</f>
        <v>24</v>
      </c>
      <c r="T93" s="44">
        <f>'10A Sem 1'!S33</f>
        <v>0</v>
      </c>
      <c r="U93" s="44">
        <f>'10A Sem 1'!T33</f>
        <v>0</v>
      </c>
      <c r="V93" s="6"/>
      <c r="W93" s="6"/>
      <c r="X93" s="6"/>
      <c r="Y93" s="6"/>
      <c r="Z93" s="6"/>
    </row>
    <row r="94" spans="1:26" ht="18.75" customHeight="1" x14ac:dyDescent="0.25">
      <c r="A94" s="292"/>
      <c r="B94" s="296"/>
      <c r="C94" s="294">
        <v>16</v>
      </c>
      <c r="D94" s="294" t="s">
        <v>23</v>
      </c>
      <c r="E94" s="84" t="s">
        <v>22</v>
      </c>
      <c r="F94" s="30">
        <f>'10A Sem 2'!E33</f>
        <v>87</v>
      </c>
      <c r="G94" s="31">
        <f>'10A Sem 2'!F33</f>
        <v>87</v>
      </c>
      <c r="H94" s="31">
        <f>'10A Sem 2'!G33</f>
        <v>77</v>
      </c>
      <c r="I94" s="31">
        <f>'10A Sem 2'!H33</f>
        <v>61</v>
      </c>
      <c r="J94" s="30">
        <f>'10A Sem 2'!I33</f>
        <v>77</v>
      </c>
      <c r="K94" s="30">
        <f>'10A Sem 2'!J33</f>
        <v>83</v>
      </c>
      <c r="L94" s="30">
        <f>'10A Sem 2'!K33</f>
        <v>70</v>
      </c>
      <c r="M94" s="30">
        <f>'10A Sem 2'!L33</f>
        <v>84</v>
      </c>
      <c r="N94" s="30">
        <f>'10A Sem 2'!M33</f>
        <v>87</v>
      </c>
      <c r="O94" s="30">
        <f>'10A Sem 2'!N33</f>
        <v>93</v>
      </c>
      <c r="P94" s="31">
        <f>'10A Sem 2'!O33</f>
        <v>87</v>
      </c>
      <c r="Q94" s="30">
        <f>'10A Sem 2'!P33</f>
        <v>893</v>
      </c>
      <c r="R94" s="30">
        <f>'10A Sem 2'!Q33</f>
        <v>81.181818181818187</v>
      </c>
      <c r="S94" s="190">
        <f>'10A Sem 2'!R33</f>
        <v>17</v>
      </c>
      <c r="T94" s="44">
        <f>'10A Sem 2'!S33</f>
        <v>0</v>
      </c>
      <c r="U94" s="44">
        <f>'10A Sem 2'!T33</f>
        <v>0</v>
      </c>
      <c r="V94" s="6"/>
      <c r="W94" s="6"/>
      <c r="X94" s="6"/>
      <c r="Y94" s="6"/>
      <c r="Z94" s="6"/>
    </row>
    <row r="95" spans="1:26" ht="18.75" customHeight="1" x14ac:dyDescent="0.25">
      <c r="A95" s="292"/>
      <c r="B95" s="296"/>
      <c r="C95" s="294">
        <v>16</v>
      </c>
      <c r="D95" s="294" t="s">
        <v>23</v>
      </c>
      <c r="E95" s="84" t="s">
        <v>16</v>
      </c>
      <c r="F95" s="30">
        <f>AVERAGE(F93:F94)</f>
        <v>87</v>
      </c>
      <c r="G95" s="30">
        <f t="shared" ref="G95:R95" si="29">AVERAGE(G93:G94)</f>
        <v>81.5</v>
      </c>
      <c r="H95" s="30">
        <f t="shared" si="29"/>
        <v>76.5</v>
      </c>
      <c r="I95" s="30">
        <f t="shared" si="29"/>
        <v>66.5</v>
      </c>
      <c r="J95" s="30">
        <f t="shared" si="29"/>
        <v>68</v>
      </c>
      <c r="K95" s="30">
        <f t="shared" si="29"/>
        <v>81</v>
      </c>
      <c r="L95" s="30">
        <f t="shared" si="29"/>
        <v>68.5</v>
      </c>
      <c r="M95" s="30">
        <f t="shared" si="29"/>
        <v>70.5</v>
      </c>
      <c r="N95" s="30">
        <f t="shared" si="29"/>
        <v>84.5</v>
      </c>
      <c r="O95" s="30">
        <f t="shared" si="29"/>
        <v>82</v>
      </c>
      <c r="P95" s="30">
        <f t="shared" si="29"/>
        <v>86</v>
      </c>
      <c r="Q95" s="30">
        <f t="shared" si="29"/>
        <v>852</v>
      </c>
      <c r="R95" s="30">
        <f t="shared" si="29"/>
        <v>77.454545454545467</v>
      </c>
      <c r="S95" s="190">
        <f>'10A Sem avr'!$H$33</f>
        <v>21</v>
      </c>
      <c r="T95" s="44">
        <f>AVERAGE(T93:T94)</f>
        <v>0</v>
      </c>
      <c r="U95" s="44">
        <f>AVERAGE(U93:U94)</f>
        <v>0</v>
      </c>
      <c r="V95" s="6"/>
      <c r="W95" s="6"/>
      <c r="X95" s="6"/>
      <c r="Y95" s="6"/>
      <c r="Z95" s="6"/>
    </row>
    <row r="96" spans="1:26" ht="18.75" customHeight="1" x14ac:dyDescent="0.25">
      <c r="A96" s="295">
        <v>31</v>
      </c>
      <c r="B96" s="293"/>
      <c r="C96" s="294">
        <v>16</v>
      </c>
      <c r="D96" s="294" t="s">
        <v>23</v>
      </c>
      <c r="E96" s="84" t="s">
        <v>21</v>
      </c>
      <c r="F96" s="30">
        <f>'10A Sem 1'!E34</f>
        <v>85</v>
      </c>
      <c r="G96" s="30">
        <f>'10A Sem 1'!F34</f>
        <v>56</v>
      </c>
      <c r="H96" s="31">
        <f>'10A Sem 1'!G34</f>
        <v>69</v>
      </c>
      <c r="I96" s="30">
        <f>'10A Sem 1'!H34</f>
        <v>70</v>
      </c>
      <c r="J96" s="30">
        <f>'10A Sem 1'!I34</f>
        <v>61</v>
      </c>
      <c r="K96" s="30">
        <f>'10A Sem 1'!J34</f>
        <v>77</v>
      </c>
      <c r="L96" s="31">
        <f>'10A Sem 1'!K34</f>
        <v>69</v>
      </c>
      <c r="M96" s="30">
        <f>'10A Sem 1'!L34</f>
        <v>67</v>
      </c>
      <c r="N96" s="30">
        <f>'10A Sem 1'!M34</f>
        <v>77</v>
      </c>
      <c r="O96" s="30">
        <f>'10A Sem 1'!N34</f>
        <v>90</v>
      </c>
      <c r="P96" s="30">
        <f>'10A Sem 1'!O34</f>
        <v>87</v>
      </c>
      <c r="Q96" s="30">
        <f>'10A Sem 1'!P34</f>
        <v>808</v>
      </c>
      <c r="R96" s="30">
        <f>'10A Sem 1'!Q34</f>
        <v>73.454545454545453</v>
      </c>
      <c r="S96" s="190">
        <f>'10A Sem 1'!R34</f>
        <v>25</v>
      </c>
      <c r="T96" s="44">
        <f>'10A Sem 1'!S34</f>
        <v>0</v>
      </c>
      <c r="U96" s="44">
        <f>'10A Sem 1'!T34</f>
        <v>0</v>
      </c>
      <c r="V96" s="6"/>
      <c r="W96" s="6"/>
      <c r="X96" s="6"/>
      <c r="Y96" s="6"/>
      <c r="Z96" s="6"/>
    </row>
    <row r="97" spans="1:26" ht="18.75" customHeight="1" x14ac:dyDescent="0.25">
      <c r="A97" s="295"/>
      <c r="B97" s="293"/>
      <c r="C97" s="294">
        <v>16</v>
      </c>
      <c r="D97" s="294" t="s">
        <v>23</v>
      </c>
      <c r="E97" s="84" t="s">
        <v>22</v>
      </c>
      <c r="F97" s="30">
        <f>'10A Sem 2'!E34</f>
        <v>81</v>
      </c>
      <c r="G97" s="30">
        <f>'10A Sem 2'!F34</f>
        <v>64</v>
      </c>
      <c r="H97" s="31">
        <f>'10A Sem 2'!G34</f>
        <v>66</v>
      </c>
      <c r="I97" s="30">
        <f>'10A Sem 2'!H34</f>
        <v>47</v>
      </c>
      <c r="J97" s="30">
        <f>'10A Sem 2'!I34</f>
        <v>71</v>
      </c>
      <c r="K97" s="30">
        <f>'10A Sem 2'!J34</f>
        <v>70</v>
      </c>
      <c r="L97" s="31">
        <f>'10A Sem 2'!K34</f>
        <v>76</v>
      </c>
      <c r="M97" s="30">
        <f>'10A Sem 2'!L34</f>
        <v>87</v>
      </c>
      <c r="N97" s="30">
        <f>'10A Sem 2'!M34</f>
        <v>83</v>
      </c>
      <c r="O97" s="30">
        <f>'10A Sem 2'!N34</f>
        <v>89</v>
      </c>
      <c r="P97" s="30">
        <f>'10A Sem 2'!O34</f>
        <v>96</v>
      </c>
      <c r="Q97" s="30">
        <f>'10A Sem 2'!P34</f>
        <v>830</v>
      </c>
      <c r="R97" s="30">
        <f>'10A Sem 2'!Q34</f>
        <v>75.454545454545453</v>
      </c>
      <c r="S97" s="190">
        <f>'10A Sem 2'!R34</f>
        <v>25</v>
      </c>
      <c r="T97" s="44">
        <f>'10A Sem 2'!S34</f>
        <v>0</v>
      </c>
      <c r="U97" s="44">
        <f>'10A Sem 2'!T34</f>
        <v>0</v>
      </c>
      <c r="V97" s="6"/>
      <c r="W97" s="6"/>
      <c r="X97" s="6"/>
      <c r="Y97" s="6"/>
      <c r="Z97" s="6"/>
    </row>
    <row r="98" spans="1:26" ht="18.75" customHeight="1" x14ac:dyDescent="0.25">
      <c r="A98" s="295"/>
      <c r="B98" s="293"/>
      <c r="C98" s="294">
        <v>16</v>
      </c>
      <c r="D98" s="294" t="s">
        <v>23</v>
      </c>
      <c r="E98" s="84" t="s">
        <v>16</v>
      </c>
      <c r="F98" s="30">
        <f>AVERAGE(F96:F97)</f>
        <v>83</v>
      </c>
      <c r="G98" s="30">
        <f t="shared" ref="G98:R98" si="30">AVERAGE(G96:G97)</f>
        <v>60</v>
      </c>
      <c r="H98" s="30">
        <f t="shared" si="30"/>
        <v>67.5</v>
      </c>
      <c r="I98" s="30">
        <f t="shared" si="30"/>
        <v>58.5</v>
      </c>
      <c r="J98" s="30">
        <f t="shared" si="30"/>
        <v>66</v>
      </c>
      <c r="K98" s="30">
        <f t="shared" si="30"/>
        <v>73.5</v>
      </c>
      <c r="L98" s="30">
        <f t="shared" si="30"/>
        <v>72.5</v>
      </c>
      <c r="M98" s="30">
        <f t="shared" si="30"/>
        <v>77</v>
      </c>
      <c r="N98" s="30">
        <f t="shared" si="30"/>
        <v>80</v>
      </c>
      <c r="O98" s="30">
        <f t="shared" si="30"/>
        <v>89.5</v>
      </c>
      <c r="P98" s="30">
        <f t="shared" si="30"/>
        <v>91.5</v>
      </c>
      <c r="Q98" s="30">
        <f t="shared" si="30"/>
        <v>819</v>
      </c>
      <c r="R98" s="30">
        <f t="shared" si="30"/>
        <v>74.454545454545453</v>
      </c>
      <c r="S98" s="190">
        <f>'10A Sem avr'!$H$34</f>
        <v>25</v>
      </c>
      <c r="T98" s="44">
        <f>AVERAGE(T96:T97)</f>
        <v>0</v>
      </c>
      <c r="U98" s="44">
        <f>AVERAGE(U96:U97)</f>
        <v>0</v>
      </c>
      <c r="V98" s="6"/>
      <c r="W98" s="6"/>
      <c r="X98" s="6"/>
      <c r="Y98" s="6"/>
      <c r="Z98" s="6"/>
    </row>
    <row r="99" spans="1:26" ht="18.75" customHeight="1" x14ac:dyDescent="0.25">
      <c r="A99" s="295">
        <v>32</v>
      </c>
      <c r="B99" s="293"/>
      <c r="C99" s="294">
        <v>16</v>
      </c>
      <c r="D99" s="294" t="s">
        <v>23</v>
      </c>
      <c r="E99" s="84" t="s">
        <v>21</v>
      </c>
      <c r="F99" s="30">
        <f>'10A Sem 1'!E35</f>
        <v>76</v>
      </c>
      <c r="G99" s="30">
        <f>'10A Sem 1'!F35</f>
        <v>81</v>
      </c>
      <c r="H99" s="30">
        <f>'10A Sem 1'!G35</f>
        <v>60</v>
      </c>
      <c r="I99" s="30">
        <f>'10A Sem 1'!H35</f>
        <v>71</v>
      </c>
      <c r="J99" s="30">
        <f>'10A Sem 1'!I35</f>
        <v>59</v>
      </c>
      <c r="K99" s="30">
        <f>'10A Sem 1'!J35</f>
        <v>79</v>
      </c>
      <c r="L99" s="30">
        <f>'10A Sem 1'!K35</f>
        <v>72</v>
      </c>
      <c r="M99" s="30">
        <f>'10A Sem 1'!L35</f>
        <v>75</v>
      </c>
      <c r="N99" s="30">
        <f>'10A Sem 1'!M35</f>
        <v>80</v>
      </c>
      <c r="O99" s="30">
        <f>'10A Sem 1'!N35</f>
        <v>98</v>
      </c>
      <c r="P99" s="30">
        <f>'10A Sem 1'!O35</f>
        <v>88</v>
      </c>
      <c r="Q99" s="30">
        <f>'10A Sem 1'!P35</f>
        <v>839</v>
      </c>
      <c r="R99" s="30">
        <f>'10A Sem 1'!Q35</f>
        <v>76.272727272727266</v>
      </c>
      <c r="S99" s="190">
        <f>'10A Sem 1'!R35</f>
        <v>22</v>
      </c>
      <c r="T99" s="44">
        <f>'10A Sem 1'!S35</f>
        <v>0</v>
      </c>
      <c r="U99" s="44">
        <f>'10A Sem 1'!T35</f>
        <v>0</v>
      </c>
      <c r="V99" s="6"/>
      <c r="W99" s="6"/>
      <c r="X99" s="6"/>
      <c r="Y99" s="6"/>
      <c r="Z99" s="6"/>
    </row>
    <row r="100" spans="1:26" ht="17.25" customHeight="1" x14ac:dyDescent="0.25">
      <c r="A100" s="295"/>
      <c r="B100" s="293"/>
      <c r="C100" s="294">
        <v>16</v>
      </c>
      <c r="D100" s="294" t="s">
        <v>23</v>
      </c>
      <c r="E100" s="84" t="s">
        <v>22</v>
      </c>
      <c r="F100" s="30">
        <f>'10A Sem 2'!E35</f>
        <v>76</v>
      </c>
      <c r="G100" s="30">
        <f>'10A Sem 2'!F35</f>
        <v>82</v>
      </c>
      <c r="H100" s="30">
        <f>'10A Sem 2'!G35</f>
        <v>62</v>
      </c>
      <c r="I100" s="30">
        <f>'10A Sem 2'!H35</f>
        <v>59</v>
      </c>
      <c r="J100" s="30">
        <f>'10A Sem 2'!I35</f>
        <v>72</v>
      </c>
      <c r="K100" s="30">
        <f>'10A Sem 2'!J35</f>
        <v>78</v>
      </c>
      <c r="L100" s="30">
        <f>'10A Sem 2'!K35</f>
        <v>73</v>
      </c>
      <c r="M100" s="30">
        <f>'10A Sem 2'!L35</f>
        <v>69</v>
      </c>
      <c r="N100" s="30">
        <f>'10A Sem 2'!M35</f>
        <v>87</v>
      </c>
      <c r="O100" s="30">
        <f>'10A Sem 2'!N35</f>
        <v>95</v>
      </c>
      <c r="P100" s="30">
        <f>'10A Sem 2'!O35</f>
        <v>93</v>
      </c>
      <c r="Q100" s="30">
        <f>'10A Sem 2'!P35</f>
        <v>846</v>
      </c>
      <c r="R100" s="30">
        <f>'10A Sem 2'!Q35</f>
        <v>76.909090909090907</v>
      </c>
      <c r="S100" s="190">
        <f>'10A Sem 2'!R35</f>
        <v>23</v>
      </c>
      <c r="T100" s="44">
        <f>'10A Sem 2'!S35</f>
        <v>0</v>
      </c>
      <c r="U100" s="44">
        <f>'10A Sem 2'!T35</f>
        <v>0</v>
      </c>
      <c r="V100" s="6"/>
      <c r="W100" s="6"/>
      <c r="X100" s="6"/>
      <c r="Y100" s="6"/>
      <c r="Z100" s="6"/>
    </row>
    <row r="101" spans="1:26" ht="17.25" customHeight="1" x14ac:dyDescent="0.25">
      <c r="A101" s="295"/>
      <c r="B101" s="293"/>
      <c r="C101" s="294">
        <v>16</v>
      </c>
      <c r="D101" s="294" t="s">
        <v>23</v>
      </c>
      <c r="E101" s="84" t="s">
        <v>16</v>
      </c>
      <c r="F101" s="30">
        <f>AVERAGE(F99:F100)</f>
        <v>76</v>
      </c>
      <c r="G101" s="30">
        <f t="shared" ref="G101:R101" si="31">AVERAGE(G99:G100)</f>
        <v>81.5</v>
      </c>
      <c r="H101" s="30">
        <f t="shared" si="31"/>
        <v>61</v>
      </c>
      <c r="I101" s="30">
        <f t="shared" si="31"/>
        <v>65</v>
      </c>
      <c r="J101" s="30">
        <f t="shared" si="31"/>
        <v>65.5</v>
      </c>
      <c r="K101" s="30">
        <f t="shared" si="31"/>
        <v>78.5</v>
      </c>
      <c r="L101" s="30">
        <f t="shared" si="31"/>
        <v>72.5</v>
      </c>
      <c r="M101" s="30">
        <f t="shared" si="31"/>
        <v>72</v>
      </c>
      <c r="N101" s="30">
        <f t="shared" si="31"/>
        <v>83.5</v>
      </c>
      <c r="O101" s="30">
        <f t="shared" si="31"/>
        <v>96.5</v>
      </c>
      <c r="P101" s="30">
        <f t="shared" si="31"/>
        <v>90.5</v>
      </c>
      <c r="Q101" s="30">
        <f t="shared" si="31"/>
        <v>842.5</v>
      </c>
      <c r="R101" s="30">
        <f t="shared" si="31"/>
        <v>76.590909090909093</v>
      </c>
      <c r="S101" s="190">
        <f>'10A Sem avr'!$H$35</f>
        <v>24</v>
      </c>
      <c r="T101" s="44">
        <f>AVERAGE(T99:T100)</f>
        <v>0</v>
      </c>
      <c r="U101" s="44">
        <f>AVERAGE(U99:U100)</f>
        <v>0</v>
      </c>
      <c r="V101" s="6"/>
      <c r="W101" s="6"/>
      <c r="X101" s="6"/>
      <c r="Y101" s="6"/>
      <c r="Z101" s="6"/>
    </row>
    <row r="102" spans="1:26" ht="17.25" customHeight="1" x14ac:dyDescent="0.25">
      <c r="A102" s="295">
        <v>33</v>
      </c>
      <c r="B102" s="296"/>
      <c r="C102" s="294">
        <v>16</v>
      </c>
      <c r="D102" s="294" t="s">
        <v>23</v>
      </c>
      <c r="E102" s="84" t="s">
        <v>21</v>
      </c>
      <c r="F102" s="30">
        <f>'10A Sem 1'!E36</f>
        <v>79</v>
      </c>
      <c r="G102" s="30">
        <f>'10A Sem 1'!F36</f>
        <v>66</v>
      </c>
      <c r="H102" s="31">
        <f>'10A Sem 1'!G36</f>
        <v>74</v>
      </c>
      <c r="I102" s="30">
        <f>'10A Sem 1'!H36</f>
        <v>60</v>
      </c>
      <c r="J102" s="30">
        <f>'10A Sem 1'!I36</f>
        <v>53</v>
      </c>
      <c r="K102" s="30">
        <f>'10A Sem 1'!J36</f>
        <v>49</v>
      </c>
      <c r="L102" s="30">
        <f>'10A Sem 1'!K36</f>
        <v>63</v>
      </c>
      <c r="M102" s="30">
        <f>'10A Sem 1'!L36</f>
        <v>61</v>
      </c>
      <c r="N102" s="30">
        <f>'10A Sem 1'!M36</f>
        <v>70</v>
      </c>
      <c r="O102" s="30">
        <f>'10A Sem 1'!N36</f>
        <v>72</v>
      </c>
      <c r="P102" s="30">
        <f>'10A Sem 1'!O36</f>
        <v>80</v>
      </c>
      <c r="Q102" s="30">
        <f>'10A Sem 1'!P36</f>
        <v>727</v>
      </c>
      <c r="R102" s="30">
        <f>'10A Sem 1'!Q36</f>
        <v>66.090909090909093</v>
      </c>
      <c r="S102" s="190">
        <f>'10A Sem 1'!R36</f>
        <v>35</v>
      </c>
      <c r="T102" s="44">
        <f>'10A Sem 1'!S36</f>
        <v>0</v>
      </c>
      <c r="U102" s="44">
        <f>'10A Sem 1'!T36</f>
        <v>0</v>
      </c>
      <c r="V102" s="6"/>
      <c r="W102" s="6"/>
      <c r="X102" s="6"/>
      <c r="Y102" s="6"/>
      <c r="Z102" s="6"/>
    </row>
    <row r="103" spans="1:26" ht="17.25" customHeight="1" x14ac:dyDescent="0.25">
      <c r="A103" s="295"/>
      <c r="B103" s="296"/>
      <c r="C103" s="294">
        <v>16</v>
      </c>
      <c r="D103" s="294" t="s">
        <v>23</v>
      </c>
      <c r="E103" s="84" t="s">
        <v>22</v>
      </c>
      <c r="F103" s="30">
        <f>'10A Sem 2'!E36</f>
        <v>69</v>
      </c>
      <c r="G103" s="30">
        <f>'10A Sem 2'!F36</f>
        <v>67</v>
      </c>
      <c r="H103" s="31">
        <f>'10A Sem 2'!G36</f>
        <v>65</v>
      </c>
      <c r="I103" s="30">
        <f>'10A Sem 2'!H36</f>
        <v>42</v>
      </c>
      <c r="J103" s="30">
        <f>'10A Sem 2'!I36</f>
        <v>52</v>
      </c>
      <c r="K103" s="30">
        <f>'10A Sem 2'!J36</f>
        <v>46</v>
      </c>
      <c r="L103" s="30">
        <f>'10A Sem 2'!K36</f>
        <v>48</v>
      </c>
      <c r="M103" s="30">
        <f>'10A Sem 2'!L36</f>
        <v>67</v>
      </c>
      <c r="N103" s="30">
        <f>'10A Sem 2'!M36</f>
        <v>72</v>
      </c>
      <c r="O103" s="30">
        <f>'10A Sem 2'!N36</f>
        <v>80</v>
      </c>
      <c r="P103" s="30">
        <f>'10A Sem 2'!O36</f>
        <v>87</v>
      </c>
      <c r="Q103" s="30">
        <f>'10A Sem 2'!P36</f>
        <v>695</v>
      </c>
      <c r="R103" s="30">
        <f>'10A Sem 2'!Q36</f>
        <v>63.18181818181818</v>
      </c>
      <c r="S103" s="190">
        <f>'10A Sem 2'!R36</f>
        <v>43</v>
      </c>
      <c r="T103" s="44">
        <f>'10A Sem 2'!S36</f>
        <v>0</v>
      </c>
      <c r="U103" s="44">
        <f>'10A Sem 2'!T36</f>
        <v>0</v>
      </c>
      <c r="V103" s="6"/>
      <c r="W103" s="6"/>
      <c r="X103" s="6"/>
      <c r="Y103" s="6"/>
      <c r="Z103" s="6"/>
    </row>
    <row r="104" spans="1:26" ht="17.25" customHeight="1" x14ac:dyDescent="0.25">
      <c r="A104" s="295"/>
      <c r="B104" s="296"/>
      <c r="C104" s="294">
        <v>16</v>
      </c>
      <c r="D104" s="294" t="s">
        <v>23</v>
      </c>
      <c r="E104" s="84" t="s">
        <v>16</v>
      </c>
      <c r="F104" s="30">
        <f>AVERAGE(F102:F103)</f>
        <v>74</v>
      </c>
      <c r="G104" s="30">
        <f t="shared" ref="G104:R104" si="32">AVERAGE(G102:G103)</f>
        <v>66.5</v>
      </c>
      <c r="H104" s="30">
        <f t="shared" si="32"/>
        <v>69.5</v>
      </c>
      <c r="I104" s="30">
        <f t="shared" si="32"/>
        <v>51</v>
      </c>
      <c r="J104" s="30">
        <f t="shared" si="32"/>
        <v>52.5</v>
      </c>
      <c r="K104" s="30">
        <f t="shared" si="32"/>
        <v>47.5</v>
      </c>
      <c r="L104" s="30">
        <f t="shared" si="32"/>
        <v>55.5</v>
      </c>
      <c r="M104" s="30">
        <f t="shared" si="32"/>
        <v>64</v>
      </c>
      <c r="N104" s="30">
        <f t="shared" si="32"/>
        <v>71</v>
      </c>
      <c r="O104" s="30">
        <f t="shared" si="32"/>
        <v>76</v>
      </c>
      <c r="P104" s="30">
        <f t="shared" si="32"/>
        <v>83.5</v>
      </c>
      <c r="Q104" s="30">
        <f t="shared" si="32"/>
        <v>711</v>
      </c>
      <c r="R104" s="30">
        <f t="shared" si="32"/>
        <v>64.63636363636364</v>
      </c>
      <c r="S104" s="190">
        <f>'10A Sem avr'!$H$36</f>
        <v>38</v>
      </c>
      <c r="T104" s="44">
        <f>AVERAGE(T102:T103)</f>
        <v>0</v>
      </c>
      <c r="U104" s="44">
        <f>AVERAGE(U102:U103)</f>
        <v>0</v>
      </c>
      <c r="V104" s="6"/>
      <c r="W104" s="6"/>
      <c r="X104" s="6"/>
      <c r="Y104" s="6"/>
      <c r="Z104" s="6"/>
    </row>
    <row r="105" spans="1:26" ht="17.25" customHeight="1" x14ac:dyDescent="0.25">
      <c r="A105" s="292">
        <v>34</v>
      </c>
      <c r="B105" s="296"/>
      <c r="C105" s="294">
        <v>16</v>
      </c>
      <c r="D105" s="294" t="s">
        <v>23</v>
      </c>
      <c r="E105" s="84" t="s">
        <v>21</v>
      </c>
      <c r="F105" s="30">
        <f>'10A Sem 1'!E37</f>
        <v>70</v>
      </c>
      <c r="G105" s="30">
        <f>'10A Sem 1'!F37</f>
        <v>60</v>
      </c>
      <c r="H105" s="30">
        <f>'10A Sem 1'!G37</f>
        <v>75</v>
      </c>
      <c r="I105" s="30">
        <f>'10A Sem 1'!H37</f>
        <v>68</v>
      </c>
      <c r="J105" s="30">
        <f>'10A Sem 1'!I37</f>
        <v>66</v>
      </c>
      <c r="K105" s="30">
        <f>'10A Sem 1'!J37</f>
        <v>58</v>
      </c>
      <c r="L105" s="30">
        <f>'10A Sem 1'!K37</f>
        <v>58</v>
      </c>
      <c r="M105" s="30">
        <f>'10A Sem 1'!L37</f>
        <v>68</v>
      </c>
      <c r="N105" s="30">
        <f>'10A Sem 1'!M37</f>
        <v>68</v>
      </c>
      <c r="O105" s="30">
        <f>'10A Sem 1'!N37</f>
        <v>88</v>
      </c>
      <c r="P105" s="30">
        <f>'10A Sem 1'!O37</f>
        <v>85</v>
      </c>
      <c r="Q105" s="30">
        <f>'10A Sem 1'!P37</f>
        <v>764</v>
      </c>
      <c r="R105" s="30">
        <f>'10A Sem 1'!Q37</f>
        <v>69.454545454545453</v>
      </c>
      <c r="S105" s="190">
        <f>'10A Sem 1'!R37</f>
        <v>31</v>
      </c>
      <c r="T105" s="44">
        <f>'10A Sem 1'!S37</f>
        <v>0</v>
      </c>
      <c r="U105" s="44">
        <f>'10A Sem 1'!T37</f>
        <v>0</v>
      </c>
      <c r="V105" s="6"/>
      <c r="W105" s="6"/>
      <c r="X105" s="6"/>
      <c r="Y105" s="6"/>
      <c r="Z105" s="6"/>
    </row>
    <row r="106" spans="1:26" ht="17.25" customHeight="1" x14ac:dyDescent="0.25">
      <c r="A106" s="292"/>
      <c r="B106" s="296"/>
      <c r="C106" s="294">
        <v>16</v>
      </c>
      <c r="D106" s="294" t="s">
        <v>23</v>
      </c>
      <c r="E106" s="84" t="s">
        <v>22</v>
      </c>
      <c r="F106" s="30">
        <f>'10A Sem 2'!E37</f>
        <v>69</v>
      </c>
      <c r="G106" s="30">
        <f>'10A Sem 2'!F37</f>
        <v>65</v>
      </c>
      <c r="H106" s="30">
        <f>'10A Sem 2'!G37</f>
        <v>66</v>
      </c>
      <c r="I106" s="30">
        <f>'10A Sem 2'!H37</f>
        <v>54</v>
      </c>
      <c r="J106" s="30">
        <f>'10A Sem 2'!I37</f>
        <v>59</v>
      </c>
      <c r="K106" s="30">
        <f>'10A Sem 2'!J37</f>
        <v>68</v>
      </c>
      <c r="L106" s="30">
        <f>'10A Sem 2'!K37</f>
        <v>63</v>
      </c>
      <c r="M106" s="30">
        <f>'10A Sem 2'!L37</f>
        <v>70</v>
      </c>
      <c r="N106" s="30">
        <f>'10A Sem 2'!M37</f>
        <v>67</v>
      </c>
      <c r="O106" s="30">
        <f>'10A Sem 2'!N37</f>
        <v>71</v>
      </c>
      <c r="P106" s="30">
        <f>'10A Sem 2'!O37</f>
        <v>88</v>
      </c>
      <c r="Q106" s="30">
        <f>'10A Sem 2'!P37</f>
        <v>740</v>
      </c>
      <c r="R106" s="30">
        <f>'10A Sem 2'!Q37</f>
        <v>67.272727272727266</v>
      </c>
      <c r="S106" s="190">
        <f>'10A Sem 2'!R37</f>
        <v>34</v>
      </c>
      <c r="T106" s="44">
        <f>'10A Sem 2'!S37</f>
        <v>0</v>
      </c>
      <c r="U106" s="44">
        <f>'10A Sem 2'!T37</f>
        <v>0</v>
      </c>
      <c r="V106" s="6"/>
      <c r="W106" s="6"/>
      <c r="X106" s="6"/>
      <c r="Y106" s="6"/>
      <c r="Z106" s="6"/>
    </row>
    <row r="107" spans="1:26" ht="17.25" customHeight="1" x14ac:dyDescent="0.25">
      <c r="A107" s="292"/>
      <c r="B107" s="296"/>
      <c r="C107" s="294">
        <v>16</v>
      </c>
      <c r="D107" s="294" t="s">
        <v>23</v>
      </c>
      <c r="E107" s="84" t="s">
        <v>16</v>
      </c>
      <c r="F107" s="30">
        <f>AVERAGE(F105:F106)</f>
        <v>69.5</v>
      </c>
      <c r="G107" s="30">
        <f t="shared" ref="G107:R107" si="33">AVERAGE(G105:G106)</f>
        <v>62.5</v>
      </c>
      <c r="H107" s="30">
        <f t="shared" si="33"/>
        <v>70.5</v>
      </c>
      <c r="I107" s="30">
        <f t="shared" si="33"/>
        <v>61</v>
      </c>
      <c r="J107" s="30">
        <f t="shared" si="33"/>
        <v>62.5</v>
      </c>
      <c r="K107" s="30">
        <f t="shared" si="33"/>
        <v>63</v>
      </c>
      <c r="L107" s="30">
        <f t="shared" si="33"/>
        <v>60.5</v>
      </c>
      <c r="M107" s="30">
        <f t="shared" si="33"/>
        <v>69</v>
      </c>
      <c r="N107" s="30">
        <f t="shared" si="33"/>
        <v>67.5</v>
      </c>
      <c r="O107" s="30">
        <f t="shared" si="33"/>
        <v>79.5</v>
      </c>
      <c r="P107" s="30">
        <f t="shared" si="33"/>
        <v>86.5</v>
      </c>
      <c r="Q107" s="30">
        <f t="shared" si="33"/>
        <v>752</v>
      </c>
      <c r="R107" s="30">
        <f t="shared" si="33"/>
        <v>68.36363636363636</v>
      </c>
      <c r="S107" s="190">
        <f>'10A Sem avr'!$H$37</f>
        <v>32</v>
      </c>
      <c r="T107" s="44">
        <f>AVERAGE(T105:T106)</f>
        <v>0</v>
      </c>
      <c r="U107" s="44">
        <f>AVERAGE(U105:U106)</f>
        <v>0</v>
      </c>
      <c r="V107" s="6"/>
      <c r="W107" s="6"/>
      <c r="X107" s="6"/>
      <c r="Y107" s="6"/>
      <c r="Z107" s="6"/>
    </row>
    <row r="108" spans="1:26" ht="17.25" customHeight="1" x14ac:dyDescent="0.25">
      <c r="A108" s="292">
        <v>35</v>
      </c>
      <c r="B108" s="293"/>
      <c r="C108" s="294">
        <v>16</v>
      </c>
      <c r="D108" s="294" t="s">
        <v>20</v>
      </c>
      <c r="E108" s="84" t="s">
        <v>21</v>
      </c>
      <c r="F108" s="30">
        <f>'10A Sem 1'!E38</f>
        <v>80</v>
      </c>
      <c r="G108" s="30">
        <f>'10A Sem 1'!F38</f>
        <v>56</v>
      </c>
      <c r="H108" s="30">
        <f>'10A Sem 1'!G38</f>
        <v>50</v>
      </c>
      <c r="I108" s="30">
        <f>'10A Sem 1'!H38</f>
        <v>56</v>
      </c>
      <c r="J108" s="30">
        <f>'10A Sem 1'!I38</f>
        <v>51</v>
      </c>
      <c r="K108" s="30">
        <f>'10A Sem 1'!J38</f>
        <v>59</v>
      </c>
      <c r="L108" s="30">
        <f>'10A Sem 1'!K38</f>
        <v>57</v>
      </c>
      <c r="M108" s="30">
        <f>'10A Sem 1'!L38</f>
        <v>66</v>
      </c>
      <c r="N108" s="30">
        <f>'10A Sem 1'!M38</f>
        <v>62</v>
      </c>
      <c r="O108" s="30">
        <f>'10A Sem 1'!N38</f>
        <v>65</v>
      </c>
      <c r="P108" s="30">
        <f>'10A Sem 1'!O38</f>
        <v>78</v>
      </c>
      <c r="Q108" s="30">
        <f>'10A Sem 1'!P38</f>
        <v>680</v>
      </c>
      <c r="R108" s="30">
        <f>'10A Sem 1'!Q38</f>
        <v>61.81818181818182</v>
      </c>
      <c r="S108" s="190">
        <f>'10A Sem 1'!R38</f>
        <v>41</v>
      </c>
      <c r="T108" s="44">
        <f>'10A Sem 1'!S38</f>
        <v>0</v>
      </c>
      <c r="U108" s="44">
        <f>'10A Sem 1'!T38</f>
        <v>0</v>
      </c>
      <c r="V108" s="6"/>
      <c r="W108" s="6"/>
      <c r="X108" s="6"/>
      <c r="Y108" s="6"/>
      <c r="Z108" s="6"/>
    </row>
    <row r="109" spans="1:26" ht="17.25" customHeight="1" x14ac:dyDescent="0.25">
      <c r="A109" s="292"/>
      <c r="B109" s="293"/>
      <c r="C109" s="294">
        <v>16</v>
      </c>
      <c r="D109" s="294" t="s">
        <v>20</v>
      </c>
      <c r="E109" s="84" t="s">
        <v>22</v>
      </c>
      <c r="F109" s="30">
        <f>'10A Sem 2'!E38</f>
        <v>68</v>
      </c>
      <c r="G109" s="30">
        <f>'10A Sem 2'!F38</f>
        <v>73</v>
      </c>
      <c r="H109" s="30">
        <f>'10A Sem 2'!G38</f>
        <v>47</v>
      </c>
      <c r="I109" s="30">
        <f>'10A Sem 2'!H38</f>
        <v>52</v>
      </c>
      <c r="J109" s="30">
        <f>'10A Sem 2'!I38</f>
        <v>45</v>
      </c>
      <c r="K109" s="30">
        <f>'10A Sem 2'!J38</f>
        <v>60</v>
      </c>
      <c r="L109" s="30">
        <f>'10A Sem 2'!K38</f>
        <v>68</v>
      </c>
      <c r="M109" s="30">
        <f>'10A Sem 2'!L38</f>
        <v>81</v>
      </c>
      <c r="N109" s="30">
        <f>'10A Sem 2'!M38</f>
        <v>65</v>
      </c>
      <c r="O109" s="30">
        <f>'10A Sem 2'!N38</f>
        <v>69</v>
      </c>
      <c r="P109" s="30">
        <f>'10A Sem 2'!O38</f>
        <v>87</v>
      </c>
      <c r="Q109" s="30">
        <f>'10A Sem 2'!P38</f>
        <v>715</v>
      </c>
      <c r="R109" s="30">
        <f>'10A Sem 2'!Q38</f>
        <v>65</v>
      </c>
      <c r="S109" s="190">
        <f>'10A Sem 2'!R38</f>
        <v>38</v>
      </c>
      <c r="T109" s="44">
        <f>'10A Sem 2'!S38</f>
        <v>0</v>
      </c>
      <c r="U109" s="44">
        <f>'10A Sem 2'!T38</f>
        <v>0</v>
      </c>
      <c r="V109" s="6"/>
      <c r="W109" s="6"/>
      <c r="X109" s="6"/>
      <c r="Y109" s="6"/>
      <c r="Z109" s="6"/>
    </row>
    <row r="110" spans="1:26" ht="17.25" customHeight="1" x14ac:dyDescent="0.25">
      <c r="A110" s="292"/>
      <c r="B110" s="293"/>
      <c r="C110" s="294">
        <v>16</v>
      </c>
      <c r="D110" s="294" t="s">
        <v>20</v>
      </c>
      <c r="E110" s="84" t="s">
        <v>16</v>
      </c>
      <c r="F110" s="30">
        <f>AVERAGE(F108:F109)</f>
        <v>74</v>
      </c>
      <c r="G110" s="30">
        <f t="shared" ref="G110:R110" si="34">AVERAGE(G108:G109)</f>
        <v>64.5</v>
      </c>
      <c r="H110" s="30">
        <f t="shared" si="34"/>
        <v>48.5</v>
      </c>
      <c r="I110" s="30">
        <f t="shared" si="34"/>
        <v>54</v>
      </c>
      <c r="J110" s="30">
        <f t="shared" si="34"/>
        <v>48</v>
      </c>
      <c r="K110" s="30">
        <f t="shared" si="34"/>
        <v>59.5</v>
      </c>
      <c r="L110" s="30">
        <f t="shared" si="34"/>
        <v>62.5</v>
      </c>
      <c r="M110" s="30">
        <f t="shared" si="34"/>
        <v>73.5</v>
      </c>
      <c r="N110" s="30">
        <f t="shared" si="34"/>
        <v>63.5</v>
      </c>
      <c r="O110" s="30">
        <f t="shared" si="34"/>
        <v>67</v>
      </c>
      <c r="P110" s="30">
        <f t="shared" si="34"/>
        <v>82.5</v>
      </c>
      <c r="Q110" s="30">
        <f t="shared" si="34"/>
        <v>697.5</v>
      </c>
      <c r="R110" s="30">
        <f t="shared" si="34"/>
        <v>63.409090909090907</v>
      </c>
      <c r="S110" s="190">
        <f>'10A Sem avr'!$H$38</f>
        <v>42</v>
      </c>
      <c r="T110" s="44">
        <f>AVERAGE(T108:T109)</f>
        <v>0</v>
      </c>
      <c r="U110" s="44">
        <f>AVERAGE(U108:U109)</f>
        <v>0</v>
      </c>
      <c r="V110" s="6"/>
      <c r="W110" s="6"/>
      <c r="X110" s="6"/>
      <c r="Y110" s="6"/>
      <c r="Z110" s="6"/>
    </row>
    <row r="111" spans="1:26" ht="17.25" customHeight="1" x14ac:dyDescent="0.25">
      <c r="A111" s="292">
        <v>36</v>
      </c>
      <c r="B111" s="293"/>
      <c r="C111" s="294">
        <v>15</v>
      </c>
      <c r="D111" s="294" t="s">
        <v>23</v>
      </c>
      <c r="E111" s="84" t="s">
        <v>21</v>
      </c>
      <c r="F111" s="30">
        <f>'10A Sem 1'!E39</f>
        <v>87</v>
      </c>
      <c r="G111" s="30">
        <f>'10A Sem 1'!F39</f>
        <v>69</v>
      </c>
      <c r="H111" s="31">
        <f>'10A Sem 1'!G39</f>
        <v>77</v>
      </c>
      <c r="I111" s="30">
        <f>'10A Sem 1'!H39</f>
        <v>68</v>
      </c>
      <c r="J111" s="30">
        <f>'10A Sem 1'!I39</f>
        <v>70</v>
      </c>
      <c r="K111" s="30">
        <f>'10A Sem 1'!J39</f>
        <v>67</v>
      </c>
      <c r="L111" s="30">
        <f>'10A Sem 1'!K39</f>
        <v>82</v>
      </c>
      <c r="M111" s="30">
        <f>'10A Sem 1'!L39</f>
        <v>65</v>
      </c>
      <c r="N111" s="30">
        <f>'10A Sem 1'!M39</f>
        <v>73</v>
      </c>
      <c r="O111" s="30">
        <f>'10A Sem 1'!N39</f>
        <v>96</v>
      </c>
      <c r="P111" s="30">
        <f>'10A Sem 1'!O39</f>
        <v>91</v>
      </c>
      <c r="Q111" s="30">
        <f>'10A Sem 1'!P39</f>
        <v>845</v>
      </c>
      <c r="R111" s="30">
        <f>'10A Sem 1'!Q39</f>
        <v>76.818181818181813</v>
      </c>
      <c r="S111" s="190">
        <f>'10A Sem 1'!R39</f>
        <v>21</v>
      </c>
      <c r="T111" s="44">
        <f>'10A Sem 1'!S39</f>
        <v>0</v>
      </c>
      <c r="U111" s="44">
        <f>'10A Sem 1'!T39</f>
        <v>0</v>
      </c>
      <c r="V111" s="6"/>
      <c r="W111" s="6"/>
      <c r="X111" s="6"/>
      <c r="Y111" s="6"/>
      <c r="Z111" s="6"/>
    </row>
    <row r="112" spans="1:26" ht="17.25" customHeight="1" x14ac:dyDescent="0.25">
      <c r="A112" s="292"/>
      <c r="B112" s="293"/>
      <c r="C112" s="294">
        <v>15</v>
      </c>
      <c r="D112" s="294" t="s">
        <v>23</v>
      </c>
      <c r="E112" s="84" t="s">
        <v>22</v>
      </c>
      <c r="F112" s="30">
        <f>'10A Sem 2'!E39</f>
        <v>77</v>
      </c>
      <c r="G112" s="30">
        <f>'10A Sem 2'!F39</f>
        <v>63</v>
      </c>
      <c r="H112" s="31">
        <f>'10A Sem 2'!G39</f>
        <v>75</v>
      </c>
      <c r="I112" s="30">
        <f>'10A Sem 2'!H39</f>
        <v>62</v>
      </c>
      <c r="J112" s="30">
        <f>'10A Sem 2'!I39</f>
        <v>65</v>
      </c>
      <c r="K112" s="30">
        <f>'10A Sem 2'!J39</f>
        <v>82</v>
      </c>
      <c r="L112" s="30">
        <f>'10A Sem 2'!K39</f>
        <v>83</v>
      </c>
      <c r="M112" s="30">
        <f>'10A Sem 2'!L39</f>
        <v>85</v>
      </c>
      <c r="N112" s="30">
        <f>'10A Sem 2'!M39</f>
        <v>80</v>
      </c>
      <c r="O112" s="30">
        <f>'10A Sem 2'!N39</f>
        <v>91</v>
      </c>
      <c r="P112" s="30">
        <f>'10A Sem 2'!O39</f>
        <v>96</v>
      </c>
      <c r="Q112" s="30">
        <f>'10A Sem 2'!P39</f>
        <v>859</v>
      </c>
      <c r="R112" s="30">
        <f>'10A Sem 2'!Q39</f>
        <v>78.090909090909093</v>
      </c>
      <c r="S112" s="190">
        <f>'10A Sem 2'!R39</f>
        <v>22</v>
      </c>
      <c r="T112" s="44">
        <f>'10A Sem 2'!S39</f>
        <v>0</v>
      </c>
      <c r="U112" s="44">
        <f>'10A Sem 2'!T39</f>
        <v>0</v>
      </c>
      <c r="V112" s="6"/>
      <c r="W112" s="6"/>
      <c r="X112" s="6"/>
      <c r="Y112" s="6"/>
      <c r="Z112" s="6"/>
    </row>
    <row r="113" spans="1:26" ht="17.25" customHeight="1" x14ac:dyDescent="0.25">
      <c r="A113" s="292"/>
      <c r="B113" s="293"/>
      <c r="C113" s="294">
        <v>15</v>
      </c>
      <c r="D113" s="294" t="s">
        <v>23</v>
      </c>
      <c r="E113" s="84" t="s">
        <v>16</v>
      </c>
      <c r="F113" s="30">
        <f>AVERAGE(F111:F112)</f>
        <v>82</v>
      </c>
      <c r="G113" s="30">
        <f t="shared" ref="G113:R113" si="35">AVERAGE(G111:G112)</f>
        <v>66</v>
      </c>
      <c r="H113" s="30">
        <f t="shared" si="35"/>
        <v>76</v>
      </c>
      <c r="I113" s="30">
        <f t="shared" si="35"/>
        <v>65</v>
      </c>
      <c r="J113" s="30">
        <f t="shared" si="35"/>
        <v>67.5</v>
      </c>
      <c r="K113" s="30">
        <f t="shared" si="35"/>
        <v>74.5</v>
      </c>
      <c r="L113" s="30">
        <f t="shared" si="35"/>
        <v>82.5</v>
      </c>
      <c r="M113" s="30">
        <f t="shared" si="35"/>
        <v>75</v>
      </c>
      <c r="N113" s="30">
        <f t="shared" si="35"/>
        <v>76.5</v>
      </c>
      <c r="O113" s="30">
        <f t="shared" si="35"/>
        <v>93.5</v>
      </c>
      <c r="P113" s="30">
        <f t="shared" si="35"/>
        <v>93.5</v>
      </c>
      <c r="Q113" s="30">
        <f t="shared" si="35"/>
        <v>852</v>
      </c>
      <c r="R113" s="30">
        <f t="shared" si="35"/>
        <v>77.454545454545453</v>
      </c>
      <c r="S113" s="190">
        <f>'10A Sem avr'!$H$39</f>
        <v>22</v>
      </c>
      <c r="T113" s="44">
        <f>AVERAGE(T111:T112)</f>
        <v>0</v>
      </c>
      <c r="U113" s="44">
        <f>AVERAGE(U111:U112)</f>
        <v>0</v>
      </c>
      <c r="V113" s="6"/>
      <c r="W113" s="6"/>
      <c r="X113" s="6"/>
      <c r="Y113" s="6"/>
      <c r="Z113" s="6"/>
    </row>
    <row r="114" spans="1:26" ht="17.25" customHeight="1" x14ac:dyDescent="0.25">
      <c r="A114" s="295">
        <v>37</v>
      </c>
      <c r="B114" s="293"/>
      <c r="C114" s="294">
        <v>16</v>
      </c>
      <c r="D114" s="294" t="s">
        <v>20</v>
      </c>
      <c r="E114" s="84" t="s">
        <v>21</v>
      </c>
      <c r="F114" s="30">
        <f>'10A Sem 1'!E40</f>
        <v>93</v>
      </c>
      <c r="G114" s="30">
        <f>'10A Sem 1'!F40</f>
        <v>90</v>
      </c>
      <c r="H114" s="30">
        <f>'10A Sem 1'!G40</f>
        <v>85</v>
      </c>
      <c r="I114" s="30">
        <f>'10A Sem 1'!H40</f>
        <v>85</v>
      </c>
      <c r="J114" s="30">
        <f>'10A Sem 1'!I40</f>
        <v>82</v>
      </c>
      <c r="K114" s="30">
        <f>'10A Sem 1'!J40</f>
        <v>94</v>
      </c>
      <c r="L114" s="30">
        <f>'10A Sem 1'!K40</f>
        <v>86</v>
      </c>
      <c r="M114" s="30">
        <f>'10A Sem 1'!L40</f>
        <v>83</v>
      </c>
      <c r="N114" s="30">
        <f>'10A Sem 1'!M40</f>
        <v>89</v>
      </c>
      <c r="O114" s="30">
        <f>'10A Sem 1'!N40</f>
        <v>98</v>
      </c>
      <c r="P114" s="30">
        <f>'10A Sem 1'!O40</f>
        <v>91</v>
      </c>
      <c r="Q114" s="30">
        <f>'10A Sem 1'!P40</f>
        <v>976</v>
      </c>
      <c r="R114" s="30">
        <f>'10A Sem 1'!Q40</f>
        <v>88.727272727272734</v>
      </c>
      <c r="S114" s="190">
        <f>'10A Sem 1'!R40</f>
        <v>7</v>
      </c>
      <c r="T114" s="44">
        <f>'10A Sem 1'!S40</f>
        <v>0</v>
      </c>
      <c r="U114" s="44">
        <f>'10A Sem 1'!T40</f>
        <v>0</v>
      </c>
      <c r="V114" s="6"/>
      <c r="W114" s="6"/>
      <c r="X114" s="6"/>
      <c r="Y114" s="6"/>
      <c r="Z114" s="6"/>
    </row>
    <row r="115" spans="1:26" ht="17.25" customHeight="1" x14ac:dyDescent="0.25">
      <c r="A115" s="295"/>
      <c r="B115" s="293"/>
      <c r="C115" s="294">
        <v>16</v>
      </c>
      <c r="D115" s="294" t="s">
        <v>20</v>
      </c>
      <c r="E115" s="84" t="s">
        <v>22</v>
      </c>
      <c r="F115" s="30">
        <f>'10A Sem 2'!E40</f>
        <v>89</v>
      </c>
      <c r="G115" s="30">
        <f>'10A Sem 2'!F40</f>
        <v>92</v>
      </c>
      <c r="H115" s="30">
        <f>'10A Sem 2'!G40</f>
        <v>84</v>
      </c>
      <c r="I115" s="30">
        <f>'10A Sem 2'!H40</f>
        <v>68</v>
      </c>
      <c r="J115" s="30">
        <f>'10A Sem 2'!I40</f>
        <v>79</v>
      </c>
      <c r="K115" s="30">
        <f>'10A Sem 2'!J40</f>
        <v>88</v>
      </c>
      <c r="L115" s="30">
        <f>'10A Sem 2'!K40</f>
        <v>88</v>
      </c>
      <c r="M115" s="30">
        <f>'10A Sem 2'!L40</f>
        <v>81</v>
      </c>
      <c r="N115" s="30">
        <f>'10A Sem 2'!M40</f>
        <v>96</v>
      </c>
      <c r="O115" s="30">
        <f>'10A Sem 2'!N40</f>
        <v>98</v>
      </c>
      <c r="P115" s="30">
        <f>'10A Sem 2'!O40</f>
        <v>99</v>
      </c>
      <c r="Q115" s="30">
        <f>'10A Sem 2'!P40</f>
        <v>962</v>
      </c>
      <c r="R115" s="30">
        <f>'10A Sem 2'!Q40</f>
        <v>87.454545454545453</v>
      </c>
      <c r="S115" s="190">
        <f>'10A Sem 2'!R40</f>
        <v>12</v>
      </c>
      <c r="T115" s="44">
        <f>'10A Sem 2'!S40</f>
        <v>0</v>
      </c>
      <c r="U115" s="44">
        <f>'10A Sem 2'!T40</f>
        <v>0</v>
      </c>
      <c r="V115" s="6"/>
      <c r="W115" s="6"/>
      <c r="X115" s="6"/>
      <c r="Y115" s="6"/>
      <c r="Z115" s="6"/>
    </row>
    <row r="116" spans="1:26" ht="17.25" customHeight="1" x14ac:dyDescent="0.25">
      <c r="A116" s="295"/>
      <c r="B116" s="293"/>
      <c r="C116" s="294">
        <v>16</v>
      </c>
      <c r="D116" s="294" t="s">
        <v>20</v>
      </c>
      <c r="E116" s="84" t="s">
        <v>16</v>
      </c>
      <c r="F116" s="30">
        <f>AVERAGE(F114:F115)</f>
        <v>91</v>
      </c>
      <c r="G116" s="30">
        <f t="shared" ref="G116:R116" si="36">AVERAGE(G114:G115)</f>
        <v>91</v>
      </c>
      <c r="H116" s="30">
        <f t="shared" si="36"/>
        <v>84.5</v>
      </c>
      <c r="I116" s="30">
        <f t="shared" si="36"/>
        <v>76.5</v>
      </c>
      <c r="J116" s="30">
        <f t="shared" si="36"/>
        <v>80.5</v>
      </c>
      <c r="K116" s="30">
        <f t="shared" si="36"/>
        <v>91</v>
      </c>
      <c r="L116" s="30">
        <f t="shared" si="36"/>
        <v>87</v>
      </c>
      <c r="M116" s="30">
        <f t="shared" si="36"/>
        <v>82</v>
      </c>
      <c r="N116" s="30">
        <f t="shared" si="36"/>
        <v>92.5</v>
      </c>
      <c r="O116" s="30">
        <f t="shared" si="36"/>
        <v>98</v>
      </c>
      <c r="P116" s="30">
        <f t="shared" si="36"/>
        <v>95</v>
      </c>
      <c r="Q116" s="30">
        <f t="shared" si="36"/>
        <v>969</v>
      </c>
      <c r="R116" s="30">
        <f t="shared" si="36"/>
        <v>88.090909090909093</v>
      </c>
      <c r="S116" s="190">
        <f>'10A Sem avr'!$H$40</f>
        <v>10</v>
      </c>
      <c r="T116" s="44">
        <f>AVERAGE(T114:T115)</f>
        <v>0</v>
      </c>
      <c r="U116" s="44">
        <f>AVERAGE(U114:U115)</f>
        <v>0</v>
      </c>
      <c r="V116" s="6"/>
      <c r="W116" s="6"/>
      <c r="X116" s="6"/>
      <c r="Y116" s="6"/>
      <c r="Z116" s="6"/>
    </row>
    <row r="117" spans="1:26" ht="17.25" customHeight="1" x14ac:dyDescent="0.25">
      <c r="A117" s="295">
        <v>38</v>
      </c>
      <c r="B117" s="293"/>
      <c r="C117" s="294">
        <v>15</v>
      </c>
      <c r="D117" s="294" t="s">
        <v>20</v>
      </c>
      <c r="E117" s="84" t="s">
        <v>21</v>
      </c>
      <c r="F117" s="30">
        <f>'10A Sem 1'!E41</f>
        <v>92</v>
      </c>
      <c r="G117" s="30">
        <f>'10A Sem 1'!F41</f>
        <v>87</v>
      </c>
      <c r="H117" s="30">
        <f>'10A Sem 1'!G41</f>
        <v>90</v>
      </c>
      <c r="I117" s="30">
        <f>'10A Sem 1'!H41</f>
        <v>95</v>
      </c>
      <c r="J117" s="30">
        <f>'10A Sem 1'!I41</f>
        <v>87</v>
      </c>
      <c r="K117" s="30">
        <f>'10A Sem 1'!J41</f>
        <v>91</v>
      </c>
      <c r="L117" s="30">
        <f>'10A Sem 1'!K41</f>
        <v>89</v>
      </c>
      <c r="M117" s="30">
        <f>'10A Sem 1'!L41</f>
        <v>96</v>
      </c>
      <c r="N117" s="30">
        <f>'10A Sem 1'!M41</f>
        <v>90</v>
      </c>
      <c r="O117" s="30">
        <f>'10A Sem 1'!N41</f>
        <v>100</v>
      </c>
      <c r="P117" s="30">
        <f>'10A Sem 1'!O41</f>
        <v>97</v>
      </c>
      <c r="Q117" s="30">
        <f>'10A Sem 1'!P41</f>
        <v>1014</v>
      </c>
      <c r="R117" s="30">
        <f>'10A Sem 1'!Q41</f>
        <v>92.181818181818187</v>
      </c>
      <c r="S117" s="190">
        <f>'10A Sem 1'!R41</f>
        <v>2</v>
      </c>
      <c r="T117" s="44">
        <f>'10A Sem 1'!S41</f>
        <v>0</v>
      </c>
      <c r="U117" s="44">
        <f>'10A Sem 1'!T41</f>
        <v>0</v>
      </c>
      <c r="V117" s="6"/>
      <c r="W117" s="6"/>
      <c r="X117" s="6"/>
      <c r="Y117" s="6"/>
      <c r="Z117" s="6"/>
    </row>
    <row r="118" spans="1:26" ht="17.25" customHeight="1" x14ac:dyDescent="0.25">
      <c r="A118" s="295"/>
      <c r="B118" s="293"/>
      <c r="C118" s="294">
        <v>15</v>
      </c>
      <c r="D118" s="294" t="s">
        <v>20</v>
      </c>
      <c r="E118" s="84" t="s">
        <v>22</v>
      </c>
      <c r="F118" s="30">
        <f>'10A Sem 2'!E41</f>
        <v>84</v>
      </c>
      <c r="G118" s="30">
        <f>'10A Sem 2'!F41</f>
        <v>90</v>
      </c>
      <c r="H118" s="30">
        <f>'10A Sem 2'!G41</f>
        <v>95</v>
      </c>
      <c r="I118" s="30">
        <f>'10A Sem 2'!H41</f>
        <v>95</v>
      </c>
      <c r="J118" s="30">
        <f>'10A Sem 2'!I41</f>
        <v>88</v>
      </c>
      <c r="K118" s="30">
        <f>'10A Sem 2'!J41</f>
        <v>97</v>
      </c>
      <c r="L118" s="30">
        <f>'10A Sem 2'!K41</f>
        <v>99</v>
      </c>
      <c r="M118" s="30">
        <f>'10A Sem 2'!L41</f>
        <v>97</v>
      </c>
      <c r="N118" s="30">
        <f>'10A Sem 2'!M41</f>
        <v>100</v>
      </c>
      <c r="O118" s="30">
        <f>'10A Sem 2'!N41</f>
        <v>97</v>
      </c>
      <c r="P118" s="30">
        <f>'10A Sem 2'!O41</f>
        <v>98</v>
      </c>
      <c r="Q118" s="30">
        <f>'10A Sem 2'!P41</f>
        <v>1040</v>
      </c>
      <c r="R118" s="30">
        <f>'10A Sem 2'!Q41</f>
        <v>94.545454545454547</v>
      </c>
      <c r="S118" s="190">
        <f>'10A Sem 2'!R41</f>
        <v>3</v>
      </c>
      <c r="T118" s="44">
        <f>'10A Sem 2'!S41</f>
        <v>0</v>
      </c>
      <c r="U118" s="44">
        <f>'10A Sem 2'!T41</f>
        <v>0</v>
      </c>
      <c r="V118" s="6"/>
      <c r="W118" s="6"/>
      <c r="X118" s="6"/>
      <c r="Y118" s="6"/>
      <c r="Z118" s="6"/>
    </row>
    <row r="119" spans="1:26" ht="17.25" customHeight="1" x14ac:dyDescent="0.25">
      <c r="A119" s="295"/>
      <c r="B119" s="293"/>
      <c r="C119" s="294">
        <v>15</v>
      </c>
      <c r="D119" s="294" t="s">
        <v>20</v>
      </c>
      <c r="E119" s="84" t="s">
        <v>16</v>
      </c>
      <c r="F119" s="30">
        <f>AVERAGE(F117:F118)</f>
        <v>88</v>
      </c>
      <c r="G119" s="30">
        <f t="shared" ref="G119:R119" si="37">AVERAGE(G117:G118)</f>
        <v>88.5</v>
      </c>
      <c r="H119" s="30">
        <f t="shared" si="37"/>
        <v>92.5</v>
      </c>
      <c r="I119" s="30">
        <f t="shared" si="37"/>
        <v>95</v>
      </c>
      <c r="J119" s="30">
        <f t="shared" si="37"/>
        <v>87.5</v>
      </c>
      <c r="K119" s="30">
        <f t="shared" si="37"/>
        <v>94</v>
      </c>
      <c r="L119" s="30">
        <f t="shared" si="37"/>
        <v>94</v>
      </c>
      <c r="M119" s="30">
        <f t="shared" si="37"/>
        <v>96.5</v>
      </c>
      <c r="N119" s="30">
        <f t="shared" si="37"/>
        <v>95</v>
      </c>
      <c r="O119" s="30">
        <f t="shared" si="37"/>
        <v>98.5</v>
      </c>
      <c r="P119" s="30">
        <f t="shared" si="37"/>
        <v>97.5</v>
      </c>
      <c r="Q119" s="30">
        <f t="shared" si="37"/>
        <v>1027</v>
      </c>
      <c r="R119" s="30">
        <f t="shared" si="37"/>
        <v>93.363636363636374</v>
      </c>
      <c r="S119" s="190">
        <f>'10A Sem avr'!$H$41</f>
        <v>2</v>
      </c>
      <c r="T119" s="44">
        <f>AVERAGE(T117:T118)</f>
        <v>0</v>
      </c>
      <c r="U119" s="44">
        <f>AVERAGE(U117:U118)</f>
        <v>0</v>
      </c>
      <c r="V119" s="6"/>
      <c r="W119" s="6"/>
      <c r="X119" s="6"/>
      <c r="Y119" s="6"/>
      <c r="Z119" s="6"/>
    </row>
    <row r="120" spans="1:26" ht="17.25" customHeight="1" x14ac:dyDescent="0.25">
      <c r="A120" s="292">
        <v>39</v>
      </c>
      <c r="B120" s="293"/>
      <c r="C120" s="294">
        <v>15</v>
      </c>
      <c r="D120" s="294" t="s">
        <v>20</v>
      </c>
      <c r="E120" s="84" t="s">
        <v>21</v>
      </c>
      <c r="F120" s="30">
        <f>'10A Sem 1'!E42</f>
        <v>85</v>
      </c>
      <c r="G120" s="30">
        <f>'10A Sem 1'!F42</f>
        <v>84</v>
      </c>
      <c r="H120" s="31">
        <f>'10A Sem 1'!G42</f>
        <v>81</v>
      </c>
      <c r="I120" s="30">
        <f>'10A Sem 1'!H42</f>
        <v>77</v>
      </c>
      <c r="J120" s="30">
        <f>'10A Sem 1'!I42</f>
        <v>67</v>
      </c>
      <c r="K120" s="30">
        <f>'10A Sem 1'!J42</f>
        <v>83</v>
      </c>
      <c r="L120" s="30">
        <f>'10A Sem 1'!K42</f>
        <v>74</v>
      </c>
      <c r="M120" s="30">
        <f>'10A Sem 1'!L42</f>
        <v>76</v>
      </c>
      <c r="N120" s="30">
        <f>'10A Sem 1'!M42</f>
        <v>87</v>
      </c>
      <c r="O120" s="30">
        <f>'10A Sem 1'!N42</f>
        <v>92</v>
      </c>
      <c r="P120" s="30">
        <f>'10A Sem 1'!O42</f>
        <v>94</v>
      </c>
      <c r="Q120" s="30">
        <f>'10A Sem 1'!P42</f>
        <v>900</v>
      </c>
      <c r="R120" s="30">
        <f>'10A Sem 1'!Q42</f>
        <v>81.818181818181813</v>
      </c>
      <c r="S120" s="190">
        <f>'10A Sem 1'!R42</f>
        <v>17</v>
      </c>
      <c r="T120" s="44">
        <f>'10A Sem 1'!S42</f>
        <v>0</v>
      </c>
      <c r="U120" s="44">
        <f>'10A Sem 1'!T42</f>
        <v>0</v>
      </c>
      <c r="V120" s="6"/>
      <c r="W120" s="6"/>
      <c r="X120" s="6"/>
      <c r="Y120" s="6"/>
      <c r="Z120" s="6"/>
    </row>
    <row r="121" spans="1:26" ht="17.25" customHeight="1" x14ac:dyDescent="0.25">
      <c r="A121" s="292"/>
      <c r="B121" s="293"/>
      <c r="C121" s="294">
        <v>15</v>
      </c>
      <c r="D121" s="294" t="s">
        <v>20</v>
      </c>
      <c r="E121" s="84" t="s">
        <v>22</v>
      </c>
      <c r="F121" s="30">
        <f>'10A Sem 2'!E42</f>
        <v>86</v>
      </c>
      <c r="G121" s="30">
        <f>'10A Sem 2'!F42</f>
        <v>88</v>
      </c>
      <c r="H121" s="31">
        <f>'10A Sem 2'!G42</f>
        <v>90</v>
      </c>
      <c r="I121" s="30">
        <f>'10A Sem 2'!H42</f>
        <v>84</v>
      </c>
      <c r="J121" s="30">
        <f>'10A Sem 2'!I42</f>
        <v>87</v>
      </c>
      <c r="K121" s="30">
        <f>'10A Sem 2'!J42</f>
        <v>90</v>
      </c>
      <c r="L121" s="30">
        <f>'10A Sem 2'!K42</f>
        <v>89</v>
      </c>
      <c r="M121" s="30">
        <f>'10A Sem 2'!L42</f>
        <v>83</v>
      </c>
      <c r="N121" s="30">
        <f>'10A Sem 2'!M42</f>
        <v>97</v>
      </c>
      <c r="O121" s="30">
        <f>'10A Sem 2'!N42</f>
        <v>95</v>
      </c>
      <c r="P121" s="30">
        <f>'10A Sem 2'!O42</f>
        <v>96</v>
      </c>
      <c r="Q121" s="30">
        <f>'10A Sem 2'!P42</f>
        <v>985</v>
      </c>
      <c r="R121" s="30">
        <f>'10A Sem 2'!Q42</f>
        <v>89.545454545454547</v>
      </c>
      <c r="S121" s="190">
        <f>'10A Sem 2'!R42</f>
        <v>8</v>
      </c>
      <c r="T121" s="44">
        <f>'10A Sem 2'!S42</f>
        <v>0</v>
      </c>
      <c r="U121" s="44">
        <f>'10A Sem 2'!T42</f>
        <v>0</v>
      </c>
      <c r="V121" s="6"/>
      <c r="W121" s="6"/>
      <c r="X121" s="6"/>
      <c r="Y121" s="6"/>
      <c r="Z121" s="6"/>
    </row>
    <row r="122" spans="1:26" ht="17.25" customHeight="1" x14ac:dyDescent="0.25">
      <c r="A122" s="292"/>
      <c r="B122" s="293"/>
      <c r="C122" s="294">
        <v>15</v>
      </c>
      <c r="D122" s="294" t="s">
        <v>20</v>
      </c>
      <c r="E122" s="84" t="s">
        <v>16</v>
      </c>
      <c r="F122" s="30">
        <f>AVERAGE(F120:F121)</f>
        <v>85.5</v>
      </c>
      <c r="G122" s="30">
        <f t="shared" ref="G122:R122" si="38">AVERAGE(G120:G121)</f>
        <v>86</v>
      </c>
      <c r="H122" s="30">
        <f t="shared" si="38"/>
        <v>85.5</v>
      </c>
      <c r="I122" s="30">
        <f t="shared" si="38"/>
        <v>80.5</v>
      </c>
      <c r="J122" s="30">
        <f t="shared" si="38"/>
        <v>77</v>
      </c>
      <c r="K122" s="30">
        <f t="shared" si="38"/>
        <v>86.5</v>
      </c>
      <c r="L122" s="30">
        <f t="shared" si="38"/>
        <v>81.5</v>
      </c>
      <c r="M122" s="30">
        <f t="shared" si="38"/>
        <v>79.5</v>
      </c>
      <c r="N122" s="30">
        <f t="shared" si="38"/>
        <v>92</v>
      </c>
      <c r="O122" s="30">
        <f t="shared" si="38"/>
        <v>93.5</v>
      </c>
      <c r="P122" s="30">
        <f t="shared" si="38"/>
        <v>95</v>
      </c>
      <c r="Q122" s="30">
        <f t="shared" si="38"/>
        <v>942.5</v>
      </c>
      <c r="R122" s="30">
        <f t="shared" si="38"/>
        <v>85.681818181818187</v>
      </c>
      <c r="S122" s="190">
        <f>'10A Sem avr'!$H$42</f>
        <v>13</v>
      </c>
      <c r="T122" s="44">
        <f>AVERAGE(T120:T121)</f>
        <v>0</v>
      </c>
      <c r="U122" s="44">
        <f>AVERAGE(U120:U121)</f>
        <v>0</v>
      </c>
      <c r="V122" s="6"/>
      <c r="W122" s="6"/>
      <c r="X122" s="6"/>
      <c r="Y122" s="6"/>
      <c r="Z122" s="6"/>
    </row>
    <row r="123" spans="1:26" ht="17.25" customHeight="1" x14ac:dyDescent="0.25">
      <c r="A123" s="295">
        <v>40</v>
      </c>
      <c r="B123" s="293"/>
      <c r="C123" s="294">
        <v>16</v>
      </c>
      <c r="D123" s="294" t="s">
        <v>20</v>
      </c>
      <c r="E123" s="84" t="s">
        <v>21</v>
      </c>
      <c r="F123" s="30">
        <f>'10A Sem 1'!E43</f>
        <v>95</v>
      </c>
      <c r="G123" s="30">
        <f>'10A Sem 1'!F43</f>
        <v>73</v>
      </c>
      <c r="H123" s="30">
        <f>'10A Sem 1'!G43</f>
        <v>82</v>
      </c>
      <c r="I123" s="30">
        <f>'10A Sem 1'!H43</f>
        <v>91</v>
      </c>
      <c r="J123" s="30">
        <f>'10A Sem 1'!I43</f>
        <v>83</v>
      </c>
      <c r="K123" s="30">
        <f>'10A Sem 1'!J43</f>
        <v>91</v>
      </c>
      <c r="L123" s="31">
        <f>'10A Sem 1'!K43</f>
        <v>80</v>
      </c>
      <c r="M123" s="30">
        <f>'10A Sem 1'!L43</f>
        <v>83</v>
      </c>
      <c r="N123" s="30">
        <f>'10A Sem 1'!M43</f>
        <v>87</v>
      </c>
      <c r="O123" s="30">
        <f>'10A Sem 1'!N43</f>
        <v>98</v>
      </c>
      <c r="P123" s="30">
        <f>'10A Sem 1'!O43</f>
        <v>96</v>
      </c>
      <c r="Q123" s="30">
        <f>'10A Sem 1'!P43</f>
        <v>959</v>
      </c>
      <c r="R123" s="30">
        <f>'10A Sem 1'!Q43</f>
        <v>87.181818181818187</v>
      </c>
      <c r="S123" s="190">
        <f>'10A Sem 1'!R43</f>
        <v>10</v>
      </c>
      <c r="T123" s="44">
        <f>'10A Sem 1'!S43</f>
        <v>0</v>
      </c>
      <c r="U123" s="44">
        <f>'10A Sem 1'!T43</f>
        <v>0</v>
      </c>
      <c r="V123" s="6"/>
      <c r="W123" s="6"/>
      <c r="X123" s="6"/>
      <c r="Y123" s="6"/>
      <c r="Z123" s="6"/>
    </row>
    <row r="124" spans="1:26" ht="17.25" customHeight="1" x14ac:dyDescent="0.25">
      <c r="A124" s="295"/>
      <c r="B124" s="293"/>
      <c r="C124" s="294">
        <v>16</v>
      </c>
      <c r="D124" s="294" t="s">
        <v>20</v>
      </c>
      <c r="E124" s="84" t="s">
        <v>22</v>
      </c>
      <c r="F124" s="30">
        <f>'10A Sem 2'!E43</f>
        <v>80</v>
      </c>
      <c r="G124" s="30">
        <f>'10A Sem 2'!F43</f>
        <v>84</v>
      </c>
      <c r="H124" s="30">
        <f>'10A Sem 2'!G43</f>
        <v>87</v>
      </c>
      <c r="I124" s="30">
        <f>'10A Sem 2'!H43</f>
        <v>88</v>
      </c>
      <c r="J124" s="30">
        <f>'10A Sem 2'!I43</f>
        <v>85</v>
      </c>
      <c r="K124" s="30">
        <f>'10A Sem 2'!J43</f>
        <v>94</v>
      </c>
      <c r="L124" s="31">
        <f>'10A Sem 2'!K43</f>
        <v>90</v>
      </c>
      <c r="M124" s="30">
        <f>'10A Sem 2'!L43</f>
        <v>87</v>
      </c>
      <c r="N124" s="30">
        <f>'10A Sem 2'!M43</f>
        <v>95</v>
      </c>
      <c r="O124" s="30">
        <f>'10A Sem 2'!N43</f>
        <v>95</v>
      </c>
      <c r="P124" s="30">
        <f>'10A Sem 2'!O43</f>
        <v>100</v>
      </c>
      <c r="Q124" s="30">
        <f>'10A Sem 2'!P43</f>
        <v>985</v>
      </c>
      <c r="R124" s="30">
        <f>'10A Sem 2'!Q43</f>
        <v>89.545454545454547</v>
      </c>
      <c r="S124" s="190">
        <f>'10A Sem 2'!R43</f>
        <v>8</v>
      </c>
      <c r="T124" s="44">
        <f>'10A Sem 2'!S43</f>
        <v>0</v>
      </c>
      <c r="U124" s="44">
        <f>'10A Sem 2'!T43</f>
        <v>0</v>
      </c>
      <c r="V124" s="6"/>
      <c r="W124" s="6"/>
      <c r="X124" s="6"/>
      <c r="Y124" s="6"/>
      <c r="Z124" s="6"/>
    </row>
    <row r="125" spans="1:26" ht="17.25" customHeight="1" x14ac:dyDescent="0.25">
      <c r="A125" s="295"/>
      <c r="B125" s="293"/>
      <c r="C125" s="294">
        <v>16</v>
      </c>
      <c r="D125" s="294" t="s">
        <v>20</v>
      </c>
      <c r="E125" s="84" t="s">
        <v>16</v>
      </c>
      <c r="F125" s="30">
        <f>AVERAGE(F123:F124)</f>
        <v>87.5</v>
      </c>
      <c r="G125" s="30">
        <f t="shared" ref="G125:R125" si="39">AVERAGE(G123:G124)</f>
        <v>78.5</v>
      </c>
      <c r="H125" s="30">
        <f t="shared" si="39"/>
        <v>84.5</v>
      </c>
      <c r="I125" s="30">
        <f t="shared" si="39"/>
        <v>89.5</v>
      </c>
      <c r="J125" s="30">
        <f t="shared" si="39"/>
        <v>84</v>
      </c>
      <c r="K125" s="30">
        <f t="shared" si="39"/>
        <v>92.5</v>
      </c>
      <c r="L125" s="30">
        <f t="shared" si="39"/>
        <v>85</v>
      </c>
      <c r="M125" s="30">
        <f t="shared" si="39"/>
        <v>85</v>
      </c>
      <c r="N125" s="30">
        <f t="shared" si="39"/>
        <v>91</v>
      </c>
      <c r="O125" s="30">
        <f t="shared" si="39"/>
        <v>96.5</v>
      </c>
      <c r="P125" s="30">
        <f t="shared" si="39"/>
        <v>98</v>
      </c>
      <c r="Q125" s="30">
        <f t="shared" si="39"/>
        <v>972</v>
      </c>
      <c r="R125" s="30">
        <f t="shared" si="39"/>
        <v>88.363636363636374</v>
      </c>
      <c r="S125" s="190">
        <f>'10A Sem avr'!$H$43</f>
        <v>8</v>
      </c>
      <c r="T125" s="44">
        <f>AVERAGE(T123:T124)</f>
        <v>0</v>
      </c>
      <c r="U125" s="44">
        <f>AVERAGE(U123:U124)</f>
        <v>0</v>
      </c>
      <c r="V125" s="6"/>
      <c r="W125" s="6"/>
      <c r="X125" s="6"/>
      <c r="Y125" s="6"/>
      <c r="Z125" s="6"/>
    </row>
    <row r="126" spans="1:26" ht="17.25" customHeight="1" x14ac:dyDescent="0.25">
      <c r="A126" s="292">
        <v>41</v>
      </c>
      <c r="B126" s="293"/>
      <c r="C126" s="294">
        <v>16</v>
      </c>
      <c r="D126" s="294" t="s">
        <v>20</v>
      </c>
      <c r="E126" s="84" t="s">
        <v>21</v>
      </c>
      <c r="F126" s="30">
        <f>'10A Sem 1'!E44</f>
        <v>92</v>
      </c>
      <c r="G126" s="30">
        <f>'10A Sem 1'!F44</f>
        <v>84</v>
      </c>
      <c r="H126" s="30">
        <f>'10A Sem 1'!G44</f>
        <v>82</v>
      </c>
      <c r="I126" s="30">
        <f>'10A Sem 1'!H44</f>
        <v>81</v>
      </c>
      <c r="J126" s="30">
        <f>'10A Sem 1'!I44</f>
        <v>76</v>
      </c>
      <c r="K126" s="30">
        <f>'10A Sem 1'!J44</f>
        <v>85</v>
      </c>
      <c r="L126" s="30">
        <f>'10A Sem 1'!K44</f>
        <v>84</v>
      </c>
      <c r="M126" s="30">
        <f>'10A Sem 1'!L44</f>
        <v>90</v>
      </c>
      <c r="N126" s="30">
        <f>'10A Sem 1'!M44</f>
        <v>88</v>
      </c>
      <c r="O126" s="30">
        <f>'10A Sem 1'!N44</f>
        <v>92</v>
      </c>
      <c r="P126" s="30">
        <f>'10A Sem 1'!O44</f>
        <v>92</v>
      </c>
      <c r="Q126" s="30">
        <f>'10A Sem 1'!P44</f>
        <v>946</v>
      </c>
      <c r="R126" s="30">
        <f>'10A Sem 1'!Q44</f>
        <v>86</v>
      </c>
      <c r="S126" s="190">
        <f>'10A Sem 1'!R44</f>
        <v>12</v>
      </c>
      <c r="T126" s="44">
        <f>'10A Sem 1'!S44</f>
        <v>0</v>
      </c>
      <c r="U126" s="44">
        <f>'10A Sem 1'!T44</f>
        <v>0</v>
      </c>
      <c r="V126" s="6"/>
      <c r="W126" s="6"/>
      <c r="X126" s="6"/>
      <c r="Y126" s="6"/>
      <c r="Z126" s="6"/>
    </row>
    <row r="127" spans="1:26" ht="17.25" customHeight="1" x14ac:dyDescent="0.25">
      <c r="A127" s="292"/>
      <c r="B127" s="293"/>
      <c r="C127" s="294">
        <v>16</v>
      </c>
      <c r="D127" s="294" t="s">
        <v>20</v>
      </c>
      <c r="E127" s="84" t="s">
        <v>22</v>
      </c>
      <c r="F127" s="30">
        <f>'10A Sem 2'!E44</f>
        <v>86</v>
      </c>
      <c r="G127" s="30">
        <f>'10A Sem 2'!F44</f>
        <v>83</v>
      </c>
      <c r="H127" s="30">
        <f>'10A Sem 2'!G44</f>
        <v>68</v>
      </c>
      <c r="I127" s="30">
        <f>'10A Sem 2'!H44</f>
        <v>64</v>
      </c>
      <c r="J127" s="30">
        <f>'10A Sem 2'!I44</f>
        <v>75</v>
      </c>
      <c r="K127" s="30">
        <f>'10A Sem 2'!J44</f>
        <v>89</v>
      </c>
      <c r="L127" s="30">
        <f>'10A Sem 2'!K44</f>
        <v>92</v>
      </c>
      <c r="M127" s="30">
        <f>'10A Sem 2'!L44</f>
        <v>95</v>
      </c>
      <c r="N127" s="30">
        <f>'10A Sem 2'!M44</f>
        <v>98</v>
      </c>
      <c r="O127" s="30">
        <f>'10A Sem 2'!N44</f>
        <v>99</v>
      </c>
      <c r="P127" s="30">
        <f>'10A Sem 2'!O44</f>
        <v>100</v>
      </c>
      <c r="Q127" s="30">
        <f>'10A Sem 2'!P44</f>
        <v>949</v>
      </c>
      <c r="R127" s="30">
        <f>'10A Sem 2'!Q44</f>
        <v>86.272727272727266</v>
      </c>
      <c r="S127" s="190">
        <f>'10A Sem 2'!R44</f>
        <v>14</v>
      </c>
      <c r="T127" s="44">
        <f>'10A Sem 2'!S44</f>
        <v>0</v>
      </c>
      <c r="U127" s="44">
        <f>'10A Sem 2'!T44</f>
        <v>0</v>
      </c>
      <c r="V127" s="6"/>
      <c r="W127" s="6"/>
      <c r="X127" s="6"/>
      <c r="Y127" s="6"/>
      <c r="Z127" s="6"/>
    </row>
    <row r="128" spans="1:26" ht="17.25" customHeight="1" x14ac:dyDescent="0.25">
      <c r="A128" s="292"/>
      <c r="B128" s="293"/>
      <c r="C128" s="294">
        <v>16</v>
      </c>
      <c r="D128" s="294" t="s">
        <v>20</v>
      </c>
      <c r="E128" s="84" t="s">
        <v>16</v>
      </c>
      <c r="F128" s="30">
        <f>AVERAGE(F126:F127)</f>
        <v>89</v>
      </c>
      <c r="G128" s="30">
        <f t="shared" ref="G128:R128" si="40">AVERAGE(G126:G127)</f>
        <v>83.5</v>
      </c>
      <c r="H128" s="30">
        <f t="shared" si="40"/>
        <v>75</v>
      </c>
      <c r="I128" s="30">
        <f t="shared" si="40"/>
        <v>72.5</v>
      </c>
      <c r="J128" s="30">
        <f t="shared" si="40"/>
        <v>75.5</v>
      </c>
      <c r="K128" s="30">
        <f t="shared" si="40"/>
        <v>87</v>
      </c>
      <c r="L128" s="30">
        <f t="shared" si="40"/>
        <v>88</v>
      </c>
      <c r="M128" s="30">
        <f t="shared" si="40"/>
        <v>92.5</v>
      </c>
      <c r="N128" s="30">
        <f t="shared" si="40"/>
        <v>93</v>
      </c>
      <c r="O128" s="30">
        <f t="shared" si="40"/>
        <v>95.5</v>
      </c>
      <c r="P128" s="30">
        <f t="shared" si="40"/>
        <v>96</v>
      </c>
      <c r="Q128" s="30">
        <f t="shared" si="40"/>
        <v>947.5</v>
      </c>
      <c r="R128" s="30">
        <f t="shared" si="40"/>
        <v>86.136363636363626</v>
      </c>
      <c r="S128" s="190">
        <f>'10A Sem avr'!$H$44</f>
        <v>12</v>
      </c>
      <c r="T128" s="44">
        <f>AVERAGE(T126:T127)</f>
        <v>0</v>
      </c>
      <c r="U128" s="44">
        <f>AVERAGE(U126:U127)</f>
        <v>0</v>
      </c>
      <c r="V128" s="6"/>
      <c r="W128" s="6"/>
      <c r="X128" s="6"/>
      <c r="Y128" s="6"/>
      <c r="Z128" s="6"/>
    </row>
    <row r="129" spans="1:26" ht="17.25" customHeight="1" x14ac:dyDescent="0.25">
      <c r="A129" s="292">
        <v>42</v>
      </c>
      <c r="B129" s="295"/>
      <c r="C129" s="297">
        <v>15</v>
      </c>
      <c r="D129" s="297" t="s">
        <v>20</v>
      </c>
      <c r="E129" s="84" t="s">
        <v>21</v>
      </c>
      <c r="F129" s="30">
        <f>'10A Sem 1'!E45</f>
        <v>67</v>
      </c>
      <c r="G129" s="31">
        <f>'10A Sem 1'!F45</f>
        <v>64</v>
      </c>
      <c r="H129" s="31">
        <f>'10A Sem 1'!G45</f>
        <v>52</v>
      </c>
      <c r="I129" s="31">
        <f>'10A Sem 1'!H45</f>
        <v>53</v>
      </c>
      <c r="J129" s="30">
        <f>'10A Sem 1'!I45</f>
        <v>56</v>
      </c>
      <c r="K129" s="30">
        <f>'10A Sem 1'!J45</f>
        <v>69</v>
      </c>
      <c r="L129" s="30">
        <f>'10A Sem 1'!K45</f>
        <v>61</v>
      </c>
      <c r="M129" s="30">
        <f>'10A Sem 1'!L45</f>
        <v>61</v>
      </c>
      <c r="N129" s="30">
        <f>'10A Sem 1'!M45</f>
        <v>71</v>
      </c>
      <c r="O129" s="31">
        <f>'10A Sem 1'!N45</f>
        <v>96</v>
      </c>
      <c r="P129" s="30">
        <f>'10A Sem 1'!O45</f>
        <v>85</v>
      </c>
      <c r="Q129" s="30">
        <f>'10A Sem 1'!P45</f>
        <v>735</v>
      </c>
      <c r="R129" s="30">
        <f>'10A Sem 1'!Q45</f>
        <v>66.818181818181813</v>
      </c>
      <c r="S129" s="190">
        <f>'10A Sem 1'!R45</f>
        <v>33</v>
      </c>
      <c r="T129" s="44">
        <f>'10A Sem 1'!S45</f>
        <v>0</v>
      </c>
      <c r="U129" s="44">
        <f>'10A Sem 1'!T45</f>
        <v>0</v>
      </c>
      <c r="V129" s="6"/>
      <c r="W129" s="6"/>
      <c r="X129" s="6"/>
      <c r="Y129" s="6"/>
      <c r="Z129" s="6"/>
    </row>
    <row r="130" spans="1:26" ht="17.25" customHeight="1" x14ac:dyDescent="0.25">
      <c r="A130" s="292"/>
      <c r="B130" s="295"/>
      <c r="C130" s="297">
        <v>15</v>
      </c>
      <c r="D130" s="297" t="s">
        <v>20</v>
      </c>
      <c r="E130" s="84" t="s">
        <v>22</v>
      </c>
      <c r="F130" s="30">
        <f>'10A Sem 2'!E45</f>
        <v>74</v>
      </c>
      <c r="G130" s="31">
        <f>'10A Sem 2'!F45</f>
        <v>78</v>
      </c>
      <c r="H130" s="31">
        <f>'10A Sem 2'!G45</f>
        <v>42</v>
      </c>
      <c r="I130" s="31">
        <f>'10A Sem 2'!H45</f>
        <v>36</v>
      </c>
      <c r="J130" s="30">
        <f>'10A Sem 2'!I45</f>
        <v>41</v>
      </c>
      <c r="K130" s="30">
        <f>'10A Sem 2'!J45</f>
        <v>69</v>
      </c>
      <c r="L130" s="30">
        <f>'10A Sem 2'!K45</f>
        <v>64</v>
      </c>
      <c r="M130" s="30">
        <f>'10A Sem 2'!L45</f>
        <v>51</v>
      </c>
      <c r="N130" s="30">
        <f>'10A Sem 2'!M45</f>
        <v>85</v>
      </c>
      <c r="O130" s="31">
        <f>'10A Sem 2'!N45</f>
        <v>81</v>
      </c>
      <c r="P130" s="30">
        <f>'10A Sem 2'!O45</f>
        <v>95</v>
      </c>
      <c r="Q130" s="30">
        <f>'10A Sem 2'!P45</f>
        <v>716</v>
      </c>
      <c r="R130" s="30">
        <f>'10A Sem 2'!Q45</f>
        <v>65.090909090909093</v>
      </c>
      <c r="S130" s="190">
        <f>'10A Sem 2'!R45</f>
        <v>37</v>
      </c>
      <c r="T130" s="44">
        <f>'10A Sem 2'!S45</f>
        <v>0</v>
      </c>
      <c r="U130" s="44">
        <f>'10A Sem 2'!T45</f>
        <v>0</v>
      </c>
      <c r="V130" s="6"/>
      <c r="W130" s="6"/>
      <c r="X130" s="6"/>
      <c r="Y130" s="6"/>
      <c r="Z130" s="6"/>
    </row>
    <row r="131" spans="1:26" ht="17.25" customHeight="1" x14ac:dyDescent="0.25">
      <c r="A131" s="292"/>
      <c r="B131" s="295"/>
      <c r="C131" s="297">
        <v>15</v>
      </c>
      <c r="D131" s="297" t="s">
        <v>20</v>
      </c>
      <c r="E131" s="84" t="s">
        <v>16</v>
      </c>
      <c r="F131" s="30">
        <f>AVERAGE(F129:F130)</f>
        <v>70.5</v>
      </c>
      <c r="G131" s="30">
        <f t="shared" ref="G131:R131" si="41">AVERAGE(G129:G130)</f>
        <v>71</v>
      </c>
      <c r="H131" s="30">
        <f t="shared" si="41"/>
        <v>47</v>
      </c>
      <c r="I131" s="30">
        <f t="shared" si="41"/>
        <v>44.5</v>
      </c>
      <c r="J131" s="30">
        <f t="shared" si="41"/>
        <v>48.5</v>
      </c>
      <c r="K131" s="30">
        <f t="shared" si="41"/>
        <v>69</v>
      </c>
      <c r="L131" s="30">
        <f t="shared" si="41"/>
        <v>62.5</v>
      </c>
      <c r="M131" s="30">
        <f t="shared" si="41"/>
        <v>56</v>
      </c>
      <c r="N131" s="30">
        <f t="shared" si="41"/>
        <v>78</v>
      </c>
      <c r="O131" s="30">
        <f t="shared" si="41"/>
        <v>88.5</v>
      </c>
      <c r="P131" s="30">
        <f t="shared" si="41"/>
        <v>90</v>
      </c>
      <c r="Q131" s="30">
        <f t="shared" si="41"/>
        <v>725.5</v>
      </c>
      <c r="R131" s="30">
        <f t="shared" si="41"/>
        <v>65.954545454545453</v>
      </c>
      <c r="S131" s="190">
        <f>'10A Sem avr'!$H$45</f>
        <v>35</v>
      </c>
      <c r="T131" s="44">
        <f>AVERAGE(T129:T130)</f>
        <v>0</v>
      </c>
      <c r="U131" s="44">
        <f>AVERAGE(U129:U130)</f>
        <v>0</v>
      </c>
      <c r="V131" s="6"/>
      <c r="W131" s="6"/>
      <c r="X131" s="6"/>
      <c r="Y131" s="6"/>
      <c r="Z131" s="6"/>
    </row>
    <row r="132" spans="1:26" ht="17.25" customHeight="1" x14ac:dyDescent="0.25">
      <c r="A132" s="292">
        <v>43</v>
      </c>
      <c r="B132" s="293"/>
      <c r="C132" s="294">
        <v>16</v>
      </c>
      <c r="D132" s="294" t="s">
        <v>23</v>
      </c>
      <c r="E132" s="84" t="s">
        <v>21</v>
      </c>
      <c r="F132" s="30">
        <f>'10A Sem 1'!E46</f>
        <v>83</v>
      </c>
      <c r="G132" s="31">
        <f>'10A Sem 1'!F46</f>
        <v>51</v>
      </c>
      <c r="H132" s="31">
        <f>'10A Sem 1'!G46</f>
        <v>60</v>
      </c>
      <c r="I132" s="30">
        <f>'10A Sem 1'!H46</f>
        <v>70</v>
      </c>
      <c r="J132" s="31">
        <f>'10A Sem 1'!I46</f>
        <v>72</v>
      </c>
      <c r="K132" s="30">
        <f>'10A Sem 1'!J46</f>
        <v>81</v>
      </c>
      <c r="L132" s="31">
        <f>'10A Sem 1'!K46</f>
        <v>68</v>
      </c>
      <c r="M132" s="31">
        <f>'10A Sem 1'!L46</f>
        <v>80</v>
      </c>
      <c r="N132" s="30">
        <f>'10A Sem 1'!M46</f>
        <v>64</v>
      </c>
      <c r="O132" s="30">
        <f>'10A Sem 1'!N46</f>
        <v>81</v>
      </c>
      <c r="P132" s="31">
        <f>'10A Sem 1'!O46</f>
        <v>86</v>
      </c>
      <c r="Q132" s="30">
        <f>'10A Sem 1'!P46</f>
        <v>796</v>
      </c>
      <c r="R132" s="30">
        <f>'10A Sem 1'!Q46</f>
        <v>72.36363636363636</v>
      </c>
      <c r="S132" s="190">
        <f>'10A Sem 1'!R46</f>
        <v>27</v>
      </c>
      <c r="T132" s="44">
        <f>'10A Sem 1'!S46</f>
        <v>0</v>
      </c>
      <c r="U132" s="44">
        <f>'10A Sem 1'!T46</f>
        <v>0</v>
      </c>
      <c r="V132" s="6"/>
      <c r="W132" s="6"/>
      <c r="X132" s="6"/>
      <c r="Y132" s="6"/>
      <c r="Z132" s="6"/>
    </row>
    <row r="133" spans="1:26" ht="17.25" customHeight="1" x14ac:dyDescent="0.25">
      <c r="A133" s="292"/>
      <c r="B133" s="293"/>
      <c r="C133" s="294">
        <v>16</v>
      </c>
      <c r="D133" s="294" t="s">
        <v>23</v>
      </c>
      <c r="E133" s="84" t="s">
        <v>22</v>
      </c>
      <c r="F133" s="30">
        <f>'10A Sem 2'!E46</f>
        <v>60</v>
      </c>
      <c r="G133" s="31">
        <f>'10A Sem 2'!F46</f>
        <v>67</v>
      </c>
      <c r="H133" s="31">
        <f>'10A Sem 2'!G46</f>
        <v>63</v>
      </c>
      <c r="I133" s="30">
        <f>'10A Sem 2'!H46</f>
        <v>61</v>
      </c>
      <c r="J133" s="31">
        <f>'10A Sem 2'!I46</f>
        <v>60</v>
      </c>
      <c r="K133" s="30">
        <f>'10A Sem 2'!J46</f>
        <v>81</v>
      </c>
      <c r="L133" s="31">
        <f>'10A Sem 2'!K46</f>
        <v>74</v>
      </c>
      <c r="M133" s="31">
        <f>'10A Sem 2'!L46</f>
        <v>89</v>
      </c>
      <c r="N133" s="30">
        <f>'10A Sem 2'!M46</f>
        <v>71</v>
      </c>
      <c r="O133" s="30">
        <f>'10A Sem 2'!N46</f>
        <v>76</v>
      </c>
      <c r="P133" s="31">
        <f>'10A Sem 2'!O46</f>
        <v>92</v>
      </c>
      <c r="Q133" s="30">
        <f>'10A Sem 2'!P46</f>
        <v>794</v>
      </c>
      <c r="R133" s="30">
        <f>'10A Sem 2'!Q46</f>
        <v>72.181818181818187</v>
      </c>
      <c r="S133" s="190">
        <f>'10A Sem 2'!R46</f>
        <v>30</v>
      </c>
      <c r="T133" s="44">
        <f>'10A Sem 2'!S46</f>
        <v>0</v>
      </c>
      <c r="U133" s="44">
        <f>'10A Sem 2'!T46</f>
        <v>0</v>
      </c>
      <c r="V133" s="6"/>
      <c r="W133" s="6"/>
      <c r="X133" s="6"/>
      <c r="Y133" s="6"/>
      <c r="Z133" s="6"/>
    </row>
    <row r="134" spans="1:26" ht="17.25" customHeight="1" x14ac:dyDescent="0.25">
      <c r="A134" s="292"/>
      <c r="B134" s="293"/>
      <c r="C134" s="294">
        <v>16</v>
      </c>
      <c r="D134" s="294" t="s">
        <v>23</v>
      </c>
      <c r="E134" s="84" t="s">
        <v>16</v>
      </c>
      <c r="F134" s="30">
        <f>AVERAGE(F132:F133)</f>
        <v>71.5</v>
      </c>
      <c r="G134" s="30">
        <f t="shared" ref="G134:R134" si="42">AVERAGE(G132:G133)</f>
        <v>59</v>
      </c>
      <c r="H134" s="30">
        <f t="shared" si="42"/>
        <v>61.5</v>
      </c>
      <c r="I134" s="30">
        <f t="shared" si="42"/>
        <v>65.5</v>
      </c>
      <c r="J134" s="30">
        <f t="shared" si="42"/>
        <v>66</v>
      </c>
      <c r="K134" s="30">
        <f t="shared" si="42"/>
        <v>81</v>
      </c>
      <c r="L134" s="30">
        <f t="shared" si="42"/>
        <v>71</v>
      </c>
      <c r="M134" s="30">
        <f t="shared" si="42"/>
        <v>84.5</v>
      </c>
      <c r="N134" s="30">
        <f t="shared" si="42"/>
        <v>67.5</v>
      </c>
      <c r="O134" s="30">
        <f t="shared" si="42"/>
        <v>78.5</v>
      </c>
      <c r="P134" s="30">
        <f t="shared" si="42"/>
        <v>89</v>
      </c>
      <c r="Q134" s="30">
        <f t="shared" si="42"/>
        <v>795</v>
      </c>
      <c r="R134" s="30">
        <f t="shared" si="42"/>
        <v>72.27272727272728</v>
      </c>
      <c r="S134" s="190">
        <f>'10A Sem avr'!$H$46</f>
        <v>27</v>
      </c>
      <c r="T134" s="44">
        <f>AVERAGE(T132:T133)</f>
        <v>0</v>
      </c>
      <c r="U134" s="44">
        <f>AVERAGE(U132:U133)</f>
        <v>0</v>
      </c>
      <c r="V134" s="6"/>
      <c r="W134" s="6"/>
      <c r="X134" s="6"/>
      <c r="Y134" s="6"/>
      <c r="Z134" s="6"/>
    </row>
    <row r="135" spans="1:26" ht="17.25" customHeight="1" x14ac:dyDescent="0.25">
      <c r="A135" s="295">
        <v>44</v>
      </c>
      <c r="B135" s="296"/>
      <c r="C135" s="294">
        <v>15</v>
      </c>
      <c r="D135" s="294" t="s">
        <v>23</v>
      </c>
      <c r="E135" s="84" t="s">
        <v>21</v>
      </c>
      <c r="F135" s="30">
        <f>'10A Sem 1'!E47</f>
        <v>90</v>
      </c>
      <c r="G135" s="30">
        <f>'10A Sem 1'!F47</f>
        <v>69</v>
      </c>
      <c r="H135" s="30">
        <f>'10A Sem 1'!G47</f>
        <v>86</v>
      </c>
      <c r="I135" s="30">
        <f>'10A Sem 1'!H47</f>
        <v>78</v>
      </c>
      <c r="J135" s="30">
        <f>'10A Sem 1'!I47</f>
        <v>79</v>
      </c>
      <c r="K135" s="30">
        <f>'10A Sem 1'!J47</f>
        <v>81</v>
      </c>
      <c r="L135" s="30">
        <f>'10A Sem 1'!K47</f>
        <v>76</v>
      </c>
      <c r="M135" s="30">
        <f>'10A Sem 1'!L47</f>
        <v>76</v>
      </c>
      <c r="N135" s="30">
        <f>'10A Sem 1'!M47</f>
        <v>86</v>
      </c>
      <c r="O135" s="30">
        <f>'10A Sem 1'!N47</f>
        <v>94</v>
      </c>
      <c r="P135" s="30">
        <f>'10A Sem 1'!O47</f>
        <v>91</v>
      </c>
      <c r="Q135" s="30">
        <f>'10A Sem 1'!P47</f>
        <v>906</v>
      </c>
      <c r="R135" s="30">
        <f>'10A Sem 1'!Q47</f>
        <v>82.36363636363636</v>
      </c>
      <c r="S135" s="190">
        <f>'10A Sem 1'!R47</f>
        <v>16</v>
      </c>
      <c r="T135" s="44">
        <f>'10A Sem 1'!S47</f>
        <v>0</v>
      </c>
      <c r="U135" s="44">
        <f>'10A Sem 1'!T47</f>
        <v>0</v>
      </c>
      <c r="V135" s="6"/>
      <c r="W135" s="6"/>
      <c r="X135" s="6"/>
      <c r="Y135" s="6"/>
      <c r="Z135" s="6"/>
    </row>
    <row r="136" spans="1:26" ht="17.25" customHeight="1" x14ac:dyDescent="0.25">
      <c r="A136" s="295"/>
      <c r="B136" s="296"/>
      <c r="C136" s="294">
        <v>15</v>
      </c>
      <c r="D136" s="294" t="s">
        <v>23</v>
      </c>
      <c r="E136" s="84" t="s">
        <v>22</v>
      </c>
      <c r="F136" s="30">
        <f>'10A Sem 2'!E47</f>
        <v>83</v>
      </c>
      <c r="G136" s="30">
        <f>'10A Sem 2'!F47</f>
        <v>69</v>
      </c>
      <c r="H136" s="30">
        <f>'10A Sem 2'!G47</f>
        <v>88</v>
      </c>
      <c r="I136" s="30">
        <f>'10A Sem 2'!H47</f>
        <v>77</v>
      </c>
      <c r="J136" s="30">
        <f>'10A Sem 2'!I47</f>
        <v>72</v>
      </c>
      <c r="K136" s="30">
        <f>'10A Sem 2'!J47</f>
        <v>82</v>
      </c>
      <c r="L136" s="30">
        <f>'10A Sem 2'!K47</f>
        <v>84</v>
      </c>
      <c r="M136" s="30">
        <f>'10A Sem 2'!L47</f>
        <v>75</v>
      </c>
      <c r="N136" s="30">
        <f>'10A Sem 2'!M47</f>
        <v>90</v>
      </c>
      <c r="O136" s="30">
        <f>'10A Sem 2'!N47</f>
        <v>87</v>
      </c>
      <c r="P136" s="30">
        <f>'10A Sem 2'!O47</f>
        <v>100</v>
      </c>
      <c r="Q136" s="30">
        <f>'10A Sem 2'!P47</f>
        <v>907</v>
      </c>
      <c r="R136" s="30">
        <f>'10A Sem 2'!Q47</f>
        <v>82.454545454545453</v>
      </c>
      <c r="S136" s="190">
        <f>'10A Sem 2'!R47</f>
        <v>15</v>
      </c>
      <c r="T136" s="44">
        <f>'10A Sem 2'!S47</f>
        <v>0</v>
      </c>
      <c r="U136" s="44">
        <f>'10A Sem 2'!T47</f>
        <v>0</v>
      </c>
      <c r="V136" s="6"/>
      <c r="W136" s="6"/>
      <c r="X136" s="6"/>
      <c r="Y136" s="6"/>
      <c r="Z136" s="6"/>
    </row>
    <row r="137" spans="1:26" ht="17.25" customHeight="1" x14ac:dyDescent="0.25">
      <c r="A137" s="295"/>
      <c r="B137" s="296"/>
      <c r="C137" s="294">
        <v>15</v>
      </c>
      <c r="D137" s="294" t="s">
        <v>23</v>
      </c>
      <c r="E137" s="84" t="s">
        <v>16</v>
      </c>
      <c r="F137" s="30">
        <f>AVERAGE(F135:F136)</f>
        <v>86.5</v>
      </c>
      <c r="G137" s="30">
        <f t="shared" ref="G137:R137" si="43">AVERAGE(G135:G136)</f>
        <v>69</v>
      </c>
      <c r="H137" s="30">
        <f t="shared" si="43"/>
        <v>87</v>
      </c>
      <c r="I137" s="30">
        <f t="shared" si="43"/>
        <v>77.5</v>
      </c>
      <c r="J137" s="30">
        <f t="shared" si="43"/>
        <v>75.5</v>
      </c>
      <c r="K137" s="30">
        <f t="shared" si="43"/>
        <v>81.5</v>
      </c>
      <c r="L137" s="30">
        <f t="shared" si="43"/>
        <v>80</v>
      </c>
      <c r="M137" s="30">
        <f t="shared" si="43"/>
        <v>75.5</v>
      </c>
      <c r="N137" s="30">
        <f t="shared" si="43"/>
        <v>88</v>
      </c>
      <c r="O137" s="30">
        <f t="shared" si="43"/>
        <v>90.5</v>
      </c>
      <c r="P137" s="30">
        <f t="shared" si="43"/>
        <v>95.5</v>
      </c>
      <c r="Q137" s="30">
        <f t="shared" si="43"/>
        <v>906.5</v>
      </c>
      <c r="R137" s="30">
        <f t="shared" si="43"/>
        <v>82.409090909090907</v>
      </c>
      <c r="S137" s="190">
        <f>'10A Sem avr'!$H$47</f>
        <v>17</v>
      </c>
      <c r="T137" s="44">
        <f>AVERAGE(T135:T136)</f>
        <v>0</v>
      </c>
      <c r="U137" s="44">
        <f>AVERAGE(U135:U136)</f>
        <v>0</v>
      </c>
      <c r="V137" s="6"/>
      <c r="W137" s="6"/>
      <c r="X137" s="6"/>
      <c r="Y137" s="6"/>
      <c r="Z137" s="6"/>
    </row>
    <row r="138" spans="1:26" ht="17.25" customHeight="1" x14ac:dyDescent="0.25">
      <c r="A138" s="292">
        <v>45</v>
      </c>
      <c r="B138" s="301"/>
      <c r="C138" s="294">
        <v>16</v>
      </c>
      <c r="D138" s="294" t="s">
        <v>23</v>
      </c>
      <c r="E138" s="84" t="s">
        <v>21</v>
      </c>
      <c r="F138" s="30">
        <f>'10A Sem 1'!E48</f>
        <v>89</v>
      </c>
      <c r="G138" s="30">
        <f>'10A Sem 1'!F48</f>
        <v>93</v>
      </c>
      <c r="H138" s="30">
        <f>'10A Sem 1'!G48</f>
        <v>89</v>
      </c>
      <c r="I138" s="30">
        <f>'10A Sem 1'!H48</f>
        <v>87</v>
      </c>
      <c r="J138" s="30">
        <f>'10A Sem 1'!I48</f>
        <v>86</v>
      </c>
      <c r="K138" s="30">
        <f>'10A Sem 1'!J48</f>
        <v>98</v>
      </c>
      <c r="L138" s="30">
        <f>'10A Sem 1'!K48</f>
        <v>82</v>
      </c>
      <c r="M138" s="30">
        <f>'10A Sem 1'!L48</f>
        <v>91</v>
      </c>
      <c r="N138" s="30">
        <f>'10A Sem 1'!M48</f>
        <v>95</v>
      </c>
      <c r="O138" s="30">
        <f>'10A Sem 1'!N48</f>
        <v>100</v>
      </c>
      <c r="P138" s="30">
        <f>'10A Sem 1'!O48</f>
        <v>90</v>
      </c>
      <c r="Q138" s="30">
        <f>'10A Sem 1'!P48</f>
        <v>1000</v>
      </c>
      <c r="R138" s="30">
        <f>'10A Sem 1'!Q48</f>
        <v>90.909090909090907</v>
      </c>
      <c r="S138" s="190">
        <f>'10A Sem 1'!R48</f>
        <v>5</v>
      </c>
      <c r="T138" s="44">
        <f>'10A Sem 1'!S48</f>
        <v>0</v>
      </c>
      <c r="U138" s="44">
        <f>'10A Sem 1'!T48</f>
        <v>0</v>
      </c>
      <c r="V138" s="6"/>
      <c r="W138" s="6"/>
      <c r="X138" s="6"/>
      <c r="Y138" s="6"/>
      <c r="Z138" s="6"/>
    </row>
    <row r="139" spans="1:26" ht="18" customHeight="1" x14ac:dyDescent="0.25">
      <c r="A139" s="292"/>
      <c r="B139" s="301"/>
      <c r="C139" s="294">
        <v>16</v>
      </c>
      <c r="D139" s="294" t="s">
        <v>23</v>
      </c>
      <c r="E139" s="84" t="s">
        <v>22</v>
      </c>
      <c r="F139" s="30">
        <f>'10A Sem 2'!E48</f>
        <v>87</v>
      </c>
      <c r="G139" s="30">
        <f>'10A Sem 2'!F48</f>
        <v>93</v>
      </c>
      <c r="H139" s="30">
        <f>'10A Sem 2'!G48</f>
        <v>97</v>
      </c>
      <c r="I139" s="30">
        <f>'10A Sem 2'!H48</f>
        <v>91</v>
      </c>
      <c r="J139" s="30">
        <f>'10A Sem 2'!I48</f>
        <v>89</v>
      </c>
      <c r="K139" s="30">
        <f>'10A Sem 2'!J48</f>
        <v>100</v>
      </c>
      <c r="L139" s="30">
        <f>'10A Sem 2'!K48</f>
        <v>96</v>
      </c>
      <c r="M139" s="30">
        <f>'10A Sem 2'!L48</f>
        <v>97</v>
      </c>
      <c r="N139" s="30">
        <f>'10A Sem 2'!M48</f>
        <v>99</v>
      </c>
      <c r="O139" s="30">
        <f>'10A Sem 2'!N48</f>
        <v>99</v>
      </c>
      <c r="P139" s="30">
        <f>'10A Sem 2'!O48</f>
        <v>98</v>
      </c>
      <c r="Q139" s="30">
        <f>'10A Sem 2'!P48</f>
        <v>1046</v>
      </c>
      <c r="R139" s="30">
        <f>'10A Sem 2'!Q48</f>
        <v>95.090909090909093</v>
      </c>
      <c r="S139" s="190">
        <f>'10A Sem 2'!R48</f>
        <v>1</v>
      </c>
      <c r="T139" s="44">
        <f>'10A Sem 2'!S48</f>
        <v>0</v>
      </c>
      <c r="U139" s="44">
        <f>'10A Sem 2'!T48</f>
        <v>0</v>
      </c>
    </row>
    <row r="140" spans="1:26" ht="18" customHeight="1" x14ac:dyDescent="0.25">
      <c r="A140" s="292"/>
      <c r="B140" s="301"/>
      <c r="C140" s="294">
        <v>16</v>
      </c>
      <c r="D140" s="294" t="s">
        <v>23</v>
      </c>
      <c r="E140" s="84" t="s">
        <v>16</v>
      </c>
      <c r="F140" s="30">
        <f>AVERAGE(F138:F139)</f>
        <v>88</v>
      </c>
      <c r="G140" s="30">
        <f t="shared" ref="G140:R140" si="44">AVERAGE(G138:G139)</f>
        <v>93</v>
      </c>
      <c r="H140" s="30">
        <f t="shared" si="44"/>
        <v>93</v>
      </c>
      <c r="I140" s="30">
        <f t="shared" si="44"/>
        <v>89</v>
      </c>
      <c r="J140" s="30">
        <f t="shared" si="44"/>
        <v>87.5</v>
      </c>
      <c r="K140" s="30">
        <f t="shared" si="44"/>
        <v>99</v>
      </c>
      <c r="L140" s="30">
        <f t="shared" si="44"/>
        <v>89</v>
      </c>
      <c r="M140" s="30">
        <f t="shared" si="44"/>
        <v>94</v>
      </c>
      <c r="N140" s="30">
        <f t="shared" si="44"/>
        <v>97</v>
      </c>
      <c r="O140" s="30">
        <f t="shared" si="44"/>
        <v>99.5</v>
      </c>
      <c r="P140" s="30">
        <f t="shared" si="44"/>
        <v>94</v>
      </c>
      <c r="Q140" s="30">
        <f t="shared" si="44"/>
        <v>1023</v>
      </c>
      <c r="R140" s="30">
        <f t="shared" si="44"/>
        <v>93</v>
      </c>
      <c r="S140" s="190">
        <f>'10A Sem avr'!$H$48</f>
        <v>3</v>
      </c>
      <c r="T140" s="44">
        <f>AVERAGE(T138:T139)</f>
        <v>0</v>
      </c>
      <c r="U140" s="44">
        <f>AVERAGE(U138:U139)</f>
        <v>0</v>
      </c>
    </row>
    <row r="141" spans="1:26" ht="18" customHeight="1" x14ac:dyDescent="0.25">
      <c r="A141" s="295">
        <v>46</v>
      </c>
      <c r="B141" s="293"/>
      <c r="C141" s="294">
        <v>16</v>
      </c>
      <c r="D141" s="294" t="s">
        <v>23</v>
      </c>
      <c r="E141" s="84" t="s">
        <v>21</v>
      </c>
      <c r="F141" s="30">
        <f>'10A Sem 1'!E49</f>
        <v>84</v>
      </c>
      <c r="G141" s="30">
        <f>'10A Sem 1'!F49</f>
        <v>76</v>
      </c>
      <c r="H141" s="30">
        <f>'10A Sem 1'!G49</f>
        <v>81</v>
      </c>
      <c r="I141" s="30">
        <f>'10A Sem 1'!H49</f>
        <v>71</v>
      </c>
      <c r="J141" s="30">
        <f>'10A Sem 1'!I49</f>
        <v>79</v>
      </c>
      <c r="K141" s="30">
        <f>'10A Sem 1'!J49</f>
        <v>76</v>
      </c>
      <c r="L141" s="31">
        <f>'10A Sem 1'!K49</f>
        <v>78</v>
      </c>
      <c r="M141" s="30">
        <f>'10A Sem 1'!L49</f>
        <v>74</v>
      </c>
      <c r="N141" s="30">
        <f>'10A Sem 1'!M49</f>
        <v>81</v>
      </c>
      <c r="O141" s="30">
        <f>'10A Sem 1'!N49</f>
        <v>90</v>
      </c>
      <c r="P141" s="30">
        <f>'10A Sem 1'!O49</f>
        <v>81</v>
      </c>
      <c r="Q141" s="30">
        <f>'10A Sem 1'!P49</f>
        <v>871</v>
      </c>
      <c r="R141" s="30">
        <f>'10A Sem 1'!Q49</f>
        <v>79.181818181818187</v>
      </c>
      <c r="S141" s="190">
        <f>'10A Sem 1'!R49</f>
        <v>19</v>
      </c>
      <c r="T141" s="44">
        <f>'10A Sem 1'!S49</f>
        <v>0</v>
      </c>
      <c r="U141" s="44">
        <f>'10A Sem 1'!T49</f>
        <v>0</v>
      </c>
    </row>
    <row r="142" spans="1:26" ht="18" customHeight="1" x14ac:dyDescent="0.25">
      <c r="A142" s="295"/>
      <c r="B142" s="293"/>
      <c r="C142" s="294">
        <v>16</v>
      </c>
      <c r="D142" s="294" t="s">
        <v>23</v>
      </c>
      <c r="E142" s="84" t="s">
        <v>22</v>
      </c>
      <c r="F142" s="30">
        <f>'10A Sem 2'!E49</f>
        <v>71</v>
      </c>
      <c r="G142" s="30">
        <f>'10A Sem 2'!F49</f>
        <v>76</v>
      </c>
      <c r="H142" s="30">
        <f>'10A Sem 2'!G49</f>
        <v>64</v>
      </c>
      <c r="I142" s="30">
        <f>'10A Sem 2'!H49</f>
        <v>63</v>
      </c>
      <c r="J142" s="30">
        <f>'10A Sem 2'!I49</f>
        <v>63</v>
      </c>
      <c r="K142" s="30">
        <f>'10A Sem 2'!J49</f>
        <v>82</v>
      </c>
      <c r="L142" s="31">
        <f>'10A Sem 2'!K49</f>
        <v>75</v>
      </c>
      <c r="M142" s="30">
        <f>'10A Sem 2'!L49</f>
        <v>81</v>
      </c>
      <c r="N142" s="30">
        <f>'10A Sem 2'!M49</f>
        <v>89</v>
      </c>
      <c r="O142" s="30">
        <f>'10A Sem 2'!N49</f>
        <v>86</v>
      </c>
      <c r="P142" s="30">
        <f>'10A Sem 2'!O49</f>
        <v>94</v>
      </c>
      <c r="Q142" s="30">
        <f>'10A Sem 2'!P49</f>
        <v>844</v>
      </c>
      <c r="R142" s="30">
        <f>'10A Sem 2'!Q49</f>
        <v>76.727272727272734</v>
      </c>
      <c r="S142" s="190">
        <f>'10A Sem 2'!R49</f>
        <v>24</v>
      </c>
      <c r="T142" s="44">
        <f>'10A Sem 2'!S49</f>
        <v>0</v>
      </c>
      <c r="U142" s="44">
        <f>'10A Sem 2'!T49</f>
        <v>0</v>
      </c>
    </row>
    <row r="143" spans="1:26" ht="18" customHeight="1" x14ac:dyDescent="0.25">
      <c r="A143" s="295"/>
      <c r="B143" s="293"/>
      <c r="C143" s="294">
        <v>16</v>
      </c>
      <c r="D143" s="294" t="s">
        <v>23</v>
      </c>
      <c r="E143" s="84" t="s">
        <v>16</v>
      </c>
      <c r="F143" s="30">
        <f>AVERAGE(F141:F142)</f>
        <v>77.5</v>
      </c>
      <c r="G143" s="30">
        <f t="shared" ref="G143:R143" si="45">AVERAGE(G141:G142)</f>
        <v>76</v>
      </c>
      <c r="H143" s="30">
        <f t="shared" si="45"/>
        <v>72.5</v>
      </c>
      <c r="I143" s="30">
        <f t="shared" si="45"/>
        <v>67</v>
      </c>
      <c r="J143" s="30">
        <f t="shared" si="45"/>
        <v>71</v>
      </c>
      <c r="K143" s="30">
        <f t="shared" si="45"/>
        <v>79</v>
      </c>
      <c r="L143" s="30">
        <f t="shared" si="45"/>
        <v>76.5</v>
      </c>
      <c r="M143" s="30">
        <f t="shared" si="45"/>
        <v>77.5</v>
      </c>
      <c r="N143" s="30">
        <f t="shared" si="45"/>
        <v>85</v>
      </c>
      <c r="O143" s="30">
        <f t="shared" si="45"/>
        <v>88</v>
      </c>
      <c r="P143" s="30">
        <f t="shared" si="45"/>
        <v>87.5</v>
      </c>
      <c r="Q143" s="30">
        <f t="shared" si="45"/>
        <v>857.5</v>
      </c>
      <c r="R143" s="30">
        <f t="shared" si="45"/>
        <v>77.954545454545467</v>
      </c>
      <c r="S143" s="190">
        <f>'10A Sem avr'!$H$49</f>
        <v>20</v>
      </c>
      <c r="T143" s="44">
        <f>AVERAGE(T141:T142)</f>
        <v>0</v>
      </c>
      <c r="U143" s="44">
        <f>AVERAGE(U141:U142)</f>
        <v>0</v>
      </c>
    </row>
    <row r="144" spans="1:26" ht="18" customHeight="1" x14ac:dyDescent="0.25">
      <c r="A144" s="295">
        <v>47</v>
      </c>
      <c r="B144" s="293"/>
      <c r="C144" s="294">
        <v>15</v>
      </c>
      <c r="D144" s="294" t="s">
        <v>20</v>
      </c>
      <c r="E144" s="84" t="s">
        <v>21</v>
      </c>
      <c r="F144" s="30">
        <f>'10A Sem 1'!E50</f>
        <v>74</v>
      </c>
      <c r="G144" s="30">
        <f>'10A Sem 1'!F50</f>
        <v>46</v>
      </c>
      <c r="H144" s="30">
        <f>'10A Sem 1'!G50</f>
        <v>71</v>
      </c>
      <c r="I144" s="30">
        <f>'10A Sem 1'!H50</f>
        <v>62</v>
      </c>
      <c r="J144" s="30">
        <f>'10A Sem 1'!I50</f>
        <v>51</v>
      </c>
      <c r="K144" s="30">
        <f>'10A Sem 1'!J50</f>
        <v>48</v>
      </c>
      <c r="L144" s="30">
        <f>'10A Sem 1'!K50</f>
        <v>46</v>
      </c>
      <c r="M144" s="30">
        <f>'10A Sem 1'!L50</f>
        <v>64</v>
      </c>
      <c r="N144" s="30">
        <f>'10A Sem 1'!M50</f>
        <v>56</v>
      </c>
      <c r="O144" s="30">
        <f>'10A Sem 1'!N50</f>
        <v>78</v>
      </c>
      <c r="P144" s="30">
        <f>'10A Sem 1'!O50</f>
        <v>84</v>
      </c>
      <c r="Q144" s="30">
        <f>'10A Sem 1'!P50</f>
        <v>680</v>
      </c>
      <c r="R144" s="30">
        <f>'10A Sem 1'!Q50</f>
        <v>61.81818181818182</v>
      </c>
      <c r="S144" s="190">
        <f>'10A Sem 1'!R50</f>
        <v>41</v>
      </c>
      <c r="T144" s="44">
        <f>'10A Sem 1'!S50</f>
        <v>0</v>
      </c>
      <c r="U144" s="44">
        <f>'10A Sem 1'!T50</f>
        <v>0</v>
      </c>
    </row>
    <row r="145" spans="1:21" ht="18" customHeight="1" x14ac:dyDescent="0.25">
      <c r="A145" s="295"/>
      <c r="B145" s="293"/>
      <c r="C145" s="294">
        <v>15</v>
      </c>
      <c r="D145" s="294" t="s">
        <v>20</v>
      </c>
      <c r="E145" s="84" t="s">
        <v>22</v>
      </c>
      <c r="F145" s="30">
        <f>'10A Sem 2'!E50</f>
        <v>75</v>
      </c>
      <c r="G145" s="30">
        <f>'10A Sem 2'!F50</f>
        <v>56</v>
      </c>
      <c r="H145" s="30">
        <f>'10A Sem 2'!G50</f>
        <v>58</v>
      </c>
      <c r="I145" s="30">
        <f>'10A Sem 2'!H50</f>
        <v>48</v>
      </c>
      <c r="J145" s="30">
        <f>'10A Sem 2'!I50</f>
        <v>47</v>
      </c>
      <c r="K145" s="30">
        <f>'10A Sem 2'!J50</f>
        <v>70</v>
      </c>
      <c r="L145" s="30">
        <f>'10A Sem 2'!K50</f>
        <v>73</v>
      </c>
      <c r="M145" s="30">
        <f>'10A Sem 2'!L50</f>
        <v>71</v>
      </c>
      <c r="N145" s="30">
        <f>'10A Sem 2'!M50</f>
        <v>78</v>
      </c>
      <c r="O145" s="30">
        <f>'10A Sem 2'!N50</f>
        <v>77</v>
      </c>
      <c r="P145" s="30">
        <f>'10A Sem 2'!O50</f>
        <v>87</v>
      </c>
      <c r="Q145" s="30">
        <f>'10A Sem 2'!P50</f>
        <v>740</v>
      </c>
      <c r="R145" s="30">
        <f>'10A Sem 2'!Q50</f>
        <v>67.272727272727266</v>
      </c>
      <c r="S145" s="190">
        <f>'10A Sem 2'!R50</f>
        <v>34</v>
      </c>
      <c r="T145" s="44">
        <f>'10A Sem 2'!S50</f>
        <v>0</v>
      </c>
      <c r="U145" s="44">
        <f>'10A Sem 2'!T50</f>
        <v>0</v>
      </c>
    </row>
    <row r="146" spans="1:21" ht="18" customHeight="1" x14ac:dyDescent="0.25">
      <c r="A146" s="295"/>
      <c r="B146" s="293"/>
      <c r="C146" s="294">
        <v>15</v>
      </c>
      <c r="D146" s="294" t="s">
        <v>20</v>
      </c>
      <c r="E146" s="84" t="s">
        <v>16</v>
      </c>
      <c r="F146" s="30">
        <f>AVERAGE(F144:F145)</f>
        <v>74.5</v>
      </c>
      <c r="G146" s="30">
        <f t="shared" ref="G146:R146" si="46">AVERAGE(G144:G145)</f>
        <v>51</v>
      </c>
      <c r="H146" s="30">
        <f t="shared" si="46"/>
        <v>64.5</v>
      </c>
      <c r="I146" s="30">
        <f t="shared" si="46"/>
        <v>55</v>
      </c>
      <c r="J146" s="30">
        <f t="shared" si="46"/>
        <v>49</v>
      </c>
      <c r="K146" s="30">
        <f t="shared" si="46"/>
        <v>59</v>
      </c>
      <c r="L146" s="30">
        <f t="shared" si="46"/>
        <v>59.5</v>
      </c>
      <c r="M146" s="30">
        <f t="shared" si="46"/>
        <v>67.5</v>
      </c>
      <c r="N146" s="30">
        <f t="shared" si="46"/>
        <v>67</v>
      </c>
      <c r="O146" s="30">
        <f t="shared" si="46"/>
        <v>77.5</v>
      </c>
      <c r="P146" s="30">
        <f t="shared" si="46"/>
        <v>85.5</v>
      </c>
      <c r="Q146" s="30">
        <f t="shared" si="46"/>
        <v>710</v>
      </c>
      <c r="R146" s="30">
        <f t="shared" si="46"/>
        <v>64.545454545454547</v>
      </c>
      <c r="S146" s="190">
        <f>'10A Sem avr'!$H$50</f>
        <v>40</v>
      </c>
      <c r="T146" s="44">
        <f>AVERAGE(T144:T145)</f>
        <v>0</v>
      </c>
      <c r="U146" s="44">
        <f>AVERAGE(U144:U145)</f>
        <v>0</v>
      </c>
    </row>
    <row r="147" spans="1:21" ht="18" customHeight="1" x14ac:dyDescent="0.25">
      <c r="A147" s="295">
        <v>48</v>
      </c>
      <c r="B147" s="293"/>
      <c r="C147" s="294">
        <v>16</v>
      </c>
      <c r="D147" s="294" t="s">
        <v>20</v>
      </c>
      <c r="E147" s="84" t="s">
        <v>21</v>
      </c>
      <c r="F147" s="30">
        <f>'10A Sem 1'!E51</f>
        <v>66</v>
      </c>
      <c r="G147" s="30">
        <f>'10A Sem 1'!F51</f>
        <v>69</v>
      </c>
      <c r="H147" s="30">
        <f>'10A Sem 1'!G51</f>
        <v>66</v>
      </c>
      <c r="I147" s="30">
        <f>'10A Sem 1'!H51</f>
        <v>73</v>
      </c>
      <c r="J147" s="30">
        <f>'10A Sem 1'!I51</f>
        <v>64</v>
      </c>
      <c r="K147" s="30">
        <f>'10A Sem 1'!J51</f>
        <v>70</v>
      </c>
      <c r="L147" s="30">
        <f>'10A Sem 1'!K51</f>
        <v>61</v>
      </c>
      <c r="M147" s="30">
        <f>'10A Sem 1'!L51</f>
        <v>66</v>
      </c>
      <c r="N147" s="30">
        <f>'10A Sem 1'!M51</f>
        <v>59</v>
      </c>
      <c r="O147" s="30">
        <f>'10A Sem 1'!N51</f>
        <v>88</v>
      </c>
      <c r="P147" s="30">
        <f>'10A Sem 1'!O51</f>
        <v>88</v>
      </c>
      <c r="Q147" s="30">
        <f>'10A Sem 1'!P51</f>
        <v>770</v>
      </c>
      <c r="R147" s="30">
        <f>'10A Sem 1'!Q51</f>
        <v>70</v>
      </c>
      <c r="S147" s="190">
        <f>'10A Sem 1'!R51</f>
        <v>30</v>
      </c>
      <c r="T147" s="44">
        <f>'10A Sem 1'!S51</f>
        <v>0</v>
      </c>
      <c r="U147" s="44">
        <f>'10A Sem 1'!T51</f>
        <v>0</v>
      </c>
    </row>
    <row r="148" spans="1:21" ht="18" customHeight="1" x14ac:dyDescent="0.25">
      <c r="A148" s="295"/>
      <c r="B148" s="293"/>
      <c r="C148" s="294">
        <v>16</v>
      </c>
      <c r="D148" s="294" t="s">
        <v>20</v>
      </c>
      <c r="E148" s="84" t="s">
        <v>22</v>
      </c>
      <c r="F148" s="30">
        <f>'10A Sem 2'!E51</f>
        <v>65</v>
      </c>
      <c r="G148" s="30">
        <f>'10A Sem 2'!F51</f>
        <v>77</v>
      </c>
      <c r="H148" s="30">
        <f>'10A Sem 2'!G51</f>
        <v>66</v>
      </c>
      <c r="I148" s="30">
        <f>'10A Sem 2'!H51</f>
        <v>57</v>
      </c>
      <c r="J148" s="30">
        <f>'10A Sem 2'!I51</f>
        <v>59</v>
      </c>
      <c r="K148" s="30">
        <f>'10A Sem 2'!J51</f>
        <v>74</v>
      </c>
      <c r="L148" s="30">
        <f>'10A Sem 2'!K51</f>
        <v>74</v>
      </c>
      <c r="M148" s="30">
        <f>'10A Sem 2'!L51</f>
        <v>75</v>
      </c>
      <c r="N148" s="30">
        <f>'10A Sem 2'!M51</f>
        <v>73</v>
      </c>
      <c r="O148" s="30">
        <f>'10A Sem 2'!N51</f>
        <v>90</v>
      </c>
      <c r="P148" s="30">
        <f>'10A Sem 2'!O51</f>
        <v>88</v>
      </c>
      <c r="Q148" s="30">
        <f>'10A Sem 2'!P51</f>
        <v>798</v>
      </c>
      <c r="R148" s="30">
        <f>'10A Sem 2'!Q51</f>
        <v>72.545454545454547</v>
      </c>
      <c r="S148" s="190">
        <f>'10A Sem 2'!R51</f>
        <v>29</v>
      </c>
      <c r="T148" s="44">
        <f>'10A Sem 2'!S51</f>
        <v>0</v>
      </c>
      <c r="U148" s="44">
        <f>'10A Sem 2'!T51</f>
        <v>0</v>
      </c>
    </row>
    <row r="149" spans="1:21" ht="18" customHeight="1" x14ac:dyDescent="0.25">
      <c r="A149" s="295"/>
      <c r="B149" s="293"/>
      <c r="C149" s="294">
        <v>16</v>
      </c>
      <c r="D149" s="294" t="s">
        <v>20</v>
      </c>
      <c r="E149" s="84" t="s">
        <v>16</v>
      </c>
      <c r="F149" s="30">
        <f>AVERAGE(F147:F148)</f>
        <v>65.5</v>
      </c>
      <c r="G149" s="30">
        <f t="shared" ref="G149:R149" si="47">AVERAGE(G147:G148)</f>
        <v>73</v>
      </c>
      <c r="H149" s="30">
        <f t="shared" si="47"/>
        <v>66</v>
      </c>
      <c r="I149" s="30">
        <f t="shared" si="47"/>
        <v>65</v>
      </c>
      <c r="J149" s="30">
        <f t="shared" si="47"/>
        <v>61.5</v>
      </c>
      <c r="K149" s="30">
        <f t="shared" si="47"/>
        <v>72</v>
      </c>
      <c r="L149" s="30">
        <f t="shared" si="47"/>
        <v>67.5</v>
      </c>
      <c r="M149" s="30">
        <f t="shared" si="47"/>
        <v>70.5</v>
      </c>
      <c r="N149" s="30">
        <f t="shared" si="47"/>
        <v>66</v>
      </c>
      <c r="O149" s="30">
        <f t="shared" si="47"/>
        <v>89</v>
      </c>
      <c r="P149" s="30">
        <f t="shared" si="47"/>
        <v>88</v>
      </c>
      <c r="Q149" s="30">
        <f t="shared" si="47"/>
        <v>784</v>
      </c>
      <c r="R149" s="30">
        <f t="shared" si="47"/>
        <v>71.27272727272728</v>
      </c>
      <c r="S149" s="190">
        <f>'10A Sem avr'!$H$51</f>
        <v>30</v>
      </c>
      <c r="T149" s="44">
        <f>AVERAGE(T147:T148)</f>
        <v>0</v>
      </c>
      <c r="U149" s="44">
        <f>AVERAGE(U147:U148)</f>
        <v>0</v>
      </c>
    </row>
    <row r="150" spans="1:21" ht="18" customHeight="1" x14ac:dyDescent="0.25">
      <c r="A150" s="292">
        <v>49</v>
      </c>
      <c r="B150" s="293"/>
      <c r="C150" s="294">
        <v>15</v>
      </c>
      <c r="D150" s="294" t="s">
        <v>20</v>
      </c>
      <c r="E150" s="84" t="s">
        <v>21</v>
      </c>
      <c r="F150" s="30">
        <f>'10A Sem 1'!E52</f>
        <v>88</v>
      </c>
      <c r="G150" s="30">
        <f>'10A Sem 1'!F52</f>
        <v>77</v>
      </c>
      <c r="H150" s="30">
        <f>'10A Sem 1'!G52</f>
        <v>87</v>
      </c>
      <c r="I150" s="30">
        <f>'10A Sem 1'!H52</f>
        <v>91</v>
      </c>
      <c r="J150" s="30">
        <f>'10A Sem 1'!I52</f>
        <v>94</v>
      </c>
      <c r="K150" s="30">
        <f>'10A Sem 1'!J52</f>
        <v>97</v>
      </c>
      <c r="L150" s="30">
        <f>'10A Sem 1'!K52</f>
        <v>91</v>
      </c>
      <c r="M150" s="30">
        <f>'10A Sem 1'!L52</f>
        <v>93</v>
      </c>
      <c r="N150" s="30">
        <f>'10A Sem 1'!M52</f>
        <v>90</v>
      </c>
      <c r="O150" s="30">
        <f>'10A Sem 1'!N52</f>
        <v>99</v>
      </c>
      <c r="P150" s="30">
        <f>'10A Sem 1'!O52</f>
        <v>100</v>
      </c>
      <c r="Q150" s="30">
        <f>'10A Sem 1'!P52</f>
        <v>1007</v>
      </c>
      <c r="R150" s="30">
        <f>'10A Sem 1'!Q52</f>
        <v>91.545454545454547</v>
      </c>
      <c r="S150" s="190">
        <f>'10A Sem 1'!R52</f>
        <v>4</v>
      </c>
      <c r="T150" s="44">
        <f>'10A Sem 1'!S52</f>
        <v>0</v>
      </c>
      <c r="U150" s="44">
        <f>'10A Sem 1'!T52</f>
        <v>0</v>
      </c>
    </row>
    <row r="151" spans="1:21" ht="18" customHeight="1" x14ac:dyDescent="0.25">
      <c r="A151" s="292"/>
      <c r="B151" s="293"/>
      <c r="C151" s="294">
        <v>15</v>
      </c>
      <c r="D151" s="294" t="s">
        <v>20</v>
      </c>
      <c r="E151" s="84" t="s">
        <v>22</v>
      </c>
      <c r="F151" s="30">
        <f>'10A Sem 2'!E52</f>
        <v>73</v>
      </c>
      <c r="G151" s="30">
        <f>'10A Sem 2'!F52</f>
        <v>88</v>
      </c>
      <c r="H151" s="30">
        <f>'10A Sem 2'!G52</f>
        <v>91</v>
      </c>
      <c r="I151" s="30">
        <f>'10A Sem 2'!H52</f>
        <v>89</v>
      </c>
      <c r="J151" s="30">
        <f>'10A Sem 2'!I52</f>
        <v>91</v>
      </c>
      <c r="K151" s="30">
        <f>'10A Sem 2'!J52</f>
        <v>94</v>
      </c>
      <c r="L151" s="30">
        <f>'10A Sem 2'!K52</f>
        <v>93</v>
      </c>
      <c r="M151" s="30">
        <f>'10A Sem 2'!L52</f>
        <v>93</v>
      </c>
      <c r="N151" s="30">
        <f>'10A Sem 2'!M52</f>
        <v>99</v>
      </c>
      <c r="O151" s="30">
        <f>'10A Sem 2'!N52</f>
        <v>96</v>
      </c>
      <c r="P151" s="30">
        <f>'10A Sem 2'!O52</f>
        <v>98</v>
      </c>
      <c r="Q151" s="30">
        <f>'10A Sem 2'!P52</f>
        <v>1005</v>
      </c>
      <c r="R151" s="30">
        <f>'10A Sem 2'!Q52</f>
        <v>91.36363636363636</v>
      </c>
      <c r="S151" s="190">
        <f>'10A Sem 2'!R52</f>
        <v>6</v>
      </c>
      <c r="T151" s="44">
        <f>'10A Sem 2'!S52</f>
        <v>0</v>
      </c>
      <c r="U151" s="44">
        <f>'10A Sem 2'!T52</f>
        <v>0</v>
      </c>
    </row>
    <row r="152" spans="1:21" ht="18" customHeight="1" x14ac:dyDescent="0.25">
      <c r="A152" s="292"/>
      <c r="B152" s="293"/>
      <c r="C152" s="294">
        <v>15</v>
      </c>
      <c r="D152" s="294" t="s">
        <v>20</v>
      </c>
      <c r="E152" s="84" t="s">
        <v>16</v>
      </c>
      <c r="F152" s="30">
        <f>AVERAGE(F150:F151)</f>
        <v>80.5</v>
      </c>
      <c r="G152" s="30">
        <f t="shared" ref="G152:R152" si="48">AVERAGE(G150:G151)</f>
        <v>82.5</v>
      </c>
      <c r="H152" s="30">
        <f t="shared" si="48"/>
        <v>89</v>
      </c>
      <c r="I152" s="30">
        <f t="shared" si="48"/>
        <v>90</v>
      </c>
      <c r="J152" s="30">
        <f t="shared" si="48"/>
        <v>92.5</v>
      </c>
      <c r="K152" s="30">
        <f t="shared" si="48"/>
        <v>95.5</v>
      </c>
      <c r="L152" s="30">
        <f t="shared" si="48"/>
        <v>92</v>
      </c>
      <c r="M152" s="30">
        <f t="shared" si="48"/>
        <v>93</v>
      </c>
      <c r="N152" s="30">
        <f t="shared" si="48"/>
        <v>94.5</v>
      </c>
      <c r="O152" s="30">
        <f t="shared" si="48"/>
        <v>97.5</v>
      </c>
      <c r="P152" s="30">
        <f t="shared" si="48"/>
        <v>99</v>
      </c>
      <c r="Q152" s="30">
        <f t="shared" si="48"/>
        <v>1006</v>
      </c>
      <c r="R152" s="30">
        <f t="shared" si="48"/>
        <v>91.454545454545453</v>
      </c>
      <c r="S152" s="190">
        <f>'10A Sem avr'!$H$52</f>
        <v>5</v>
      </c>
      <c r="T152" s="44">
        <f>AVERAGE(T150:T151)</f>
        <v>0</v>
      </c>
      <c r="U152" s="44">
        <f>AVERAGE(U150:U151)</f>
        <v>0</v>
      </c>
    </row>
    <row r="153" spans="1:21" ht="18" customHeight="1" x14ac:dyDescent="0.25">
      <c r="A153" s="308">
        <v>50</v>
      </c>
      <c r="B153" s="293"/>
      <c r="C153" s="294">
        <v>15</v>
      </c>
      <c r="D153" s="294" t="s">
        <v>20</v>
      </c>
      <c r="E153" s="84" t="s">
        <v>21</v>
      </c>
      <c r="F153" s="38">
        <f>'10A Sem 1'!E53</f>
        <v>96</v>
      </c>
      <c r="G153" s="38">
        <f>'10A Sem 1'!F53</f>
        <v>69</v>
      </c>
      <c r="H153" s="38">
        <f>'10A Sem 1'!G53</f>
        <v>55</v>
      </c>
      <c r="I153" s="38">
        <f>'10A Sem 1'!H53</f>
        <v>80</v>
      </c>
      <c r="J153" s="38">
        <f>'10A Sem 1'!I53</f>
        <v>67</v>
      </c>
      <c r="K153" s="38">
        <f>'10A Sem 1'!J53</f>
        <v>77</v>
      </c>
      <c r="L153" s="38">
        <f>'10A Sem 1'!K53</f>
        <v>76</v>
      </c>
      <c r="M153" s="38">
        <f>'10A Sem 1'!L53</f>
        <v>70</v>
      </c>
      <c r="N153" s="38">
        <f>'10A Sem 1'!M53</f>
        <v>76</v>
      </c>
      <c r="O153" s="38">
        <f>'10A Sem 1'!N53</f>
        <v>90</v>
      </c>
      <c r="P153" s="38">
        <f>'10A Sem 1'!O53</f>
        <v>91</v>
      </c>
      <c r="Q153" s="30">
        <f>'10A Sem 1'!P53</f>
        <v>847</v>
      </c>
      <c r="R153" s="30">
        <f>'10A Sem 1'!Q53</f>
        <v>77</v>
      </c>
      <c r="S153" s="190">
        <f>'10A Sem 1'!R53</f>
        <v>20</v>
      </c>
      <c r="T153" s="44">
        <f>'10A Sem 1'!S53</f>
        <v>0</v>
      </c>
      <c r="U153" s="44">
        <f>'10A Sem 1'!$T$53</f>
        <v>0</v>
      </c>
    </row>
    <row r="154" spans="1:21" ht="18" customHeight="1" x14ac:dyDescent="0.25">
      <c r="A154" s="308"/>
      <c r="B154" s="293"/>
      <c r="C154" s="294">
        <v>15</v>
      </c>
      <c r="D154" s="294" t="s">
        <v>20</v>
      </c>
      <c r="E154" s="84" t="s">
        <v>22</v>
      </c>
      <c r="F154" s="30">
        <f>'10A Sem 2'!E53</f>
        <v>80</v>
      </c>
      <c r="G154" s="30">
        <f>'10A Sem 2'!F53</f>
        <v>78</v>
      </c>
      <c r="H154" s="30">
        <f>'10A Sem 2'!G53</f>
        <v>64</v>
      </c>
      <c r="I154" s="30">
        <f>'10A Sem 2'!H53</f>
        <v>68</v>
      </c>
      <c r="J154" s="30">
        <f>'10A Sem 2'!I53</f>
        <v>77</v>
      </c>
      <c r="K154" s="30">
        <f>'10A Sem 2'!J53</f>
        <v>81</v>
      </c>
      <c r="L154" s="30">
        <f>'10A Sem 2'!K53</f>
        <v>80</v>
      </c>
      <c r="M154" s="30">
        <f>'10A Sem 2'!L53</f>
        <v>80</v>
      </c>
      <c r="N154" s="30">
        <f>'10A Sem 2'!M53</f>
        <v>87</v>
      </c>
      <c r="O154" s="30">
        <f>'10A Sem 2'!N53</f>
        <v>85</v>
      </c>
      <c r="P154" s="30">
        <f>'10A Sem 2'!O53</f>
        <v>92</v>
      </c>
      <c r="Q154" s="30">
        <f>'10A Sem 2'!P53</f>
        <v>872</v>
      </c>
      <c r="R154" s="30">
        <f>'10A Sem 2'!Q53</f>
        <v>79.272727272727266</v>
      </c>
      <c r="S154" s="190">
        <f>'10A Sem 2'!R53</f>
        <v>20</v>
      </c>
      <c r="T154" s="44">
        <f>'10A Sem 2'!S53</f>
        <v>0</v>
      </c>
      <c r="U154" s="44">
        <f>'10A Sem 2'!T53</f>
        <v>0</v>
      </c>
    </row>
    <row r="155" spans="1:21" ht="18" customHeight="1" x14ac:dyDescent="0.25">
      <c r="A155" s="308"/>
      <c r="B155" s="293"/>
      <c r="C155" s="294">
        <v>15</v>
      </c>
      <c r="D155" s="294" t="s">
        <v>20</v>
      </c>
      <c r="E155" s="84" t="s">
        <v>16</v>
      </c>
      <c r="F155" s="30">
        <f>AVERAGE(F153:F154)</f>
        <v>88</v>
      </c>
      <c r="G155" s="30">
        <f t="shared" ref="G155:S155" si="49">AVERAGE(G153:G154)</f>
        <v>73.5</v>
      </c>
      <c r="H155" s="30">
        <f t="shared" si="49"/>
        <v>59.5</v>
      </c>
      <c r="I155" s="30">
        <f t="shared" si="49"/>
        <v>74</v>
      </c>
      <c r="J155" s="30">
        <f t="shared" si="49"/>
        <v>72</v>
      </c>
      <c r="K155" s="30">
        <f t="shared" si="49"/>
        <v>79</v>
      </c>
      <c r="L155" s="30">
        <f t="shared" si="49"/>
        <v>78</v>
      </c>
      <c r="M155" s="30">
        <f t="shared" si="49"/>
        <v>75</v>
      </c>
      <c r="N155" s="30">
        <f t="shared" si="49"/>
        <v>81.5</v>
      </c>
      <c r="O155" s="30">
        <f t="shared" si="49"/>
        <v>87.5</v>
      </c>
      <c r="P155" s="30">
        <f t="shared" si="49"/>
        <v>91.5</v>
      </c>
      <c r="Q155" s="30">
        <f t="shared" si="49"/>
        <v>859.5</v>
      </c>
      <c r="R155" s="30">
        <f t="shared" si="49"/>
        <v>78.136363636363626</v>
      </c>
      <c r="S155" s="30">
        <f t="shared" si="49"/>
        <v>20</v>
      </c>
      <c r="T155" s="44">
        <f>AVERAGE(T153:T154)</f>
        <v>0</v>
      </c>
      <c r="U155" s="44">
        <f>AVERAGE(U153:U154)</f>
        <v>0</v>
      </c>
    </row>
    <row r="156" spans="1:21" ht="18" customHeight="1" x14ac:dyDescent="0.25">
      <c r="A156" s="308">
        <v>51</v>
      </c>
      <c r="B156" s="319"/>
      <c r="C156" s="316"/>
      <c r="D156" s="316"/>
      <c r="E156" s="84" t="s">
        <v>21</v>
      </c>
      <c r="F156" s="30">
        <f>'10A Sem 1'!E54</f>
        <v>0</v>
      </c>
      <c r="G156" s="30">
        <f>'10A Sem 1'!F54</f>
        <v>0</v>
      </c>
      <c r="H156" s="30">
        <f>'10A Sem 1'!G54</f>
        <v>0</v>
      </c>
      <c r="I156" s="30">
        <f>'10A Sem 1'!H54</f>
        <v>0</v>
      </c>
      <c r="J156" s="30">
        <f>'10A Sem 1'!I54</f>
        <v>0</v>
      </c>
      <c r="K156" s="30">
        <f>'10A Sem 1'!J54</f>
        <v>0</v>
      </c>
      <c r="L156" s="30">
        <f>'10A Sem 1'!K54</f>
        <v>0</v>
      </c>
      <c r="M156" s="30">
        <f>'10A Sem 1'!L54</f>
        <v>0</v>
      </c>
      <c r="N156" s="30">
        <f>'10A Sem 1'!M54</f>
        <v>0</v>
      </c>
      <c r="O156" s="30">
        <f>'10A Sem 1'!N54</f>
        <v>0</v>
      </c>
      <c r="P156" s="30">
        <f>'10A Sem 1'!O54</f>
        <v>0</v>
      </c>
      <c r="Q156" s="30">
        <f>'10A Sem 1'!P54</f>
        <v>0</v>
      </c>
      <c r="R156" s="30">
        <f>'10A Sem 1'!Q54</f>
        <v>0</v>
      </c>
      <c r="S156" s="190">
        <f>'10A Sem 1'!R54</f>
        <v>0</v>
      </c>
      <c r="T156" s="190">
        <f>'10A Sem 1'!S54</f>
        <v>0</v>
      </c>
      <c r="U156" s="190">
        <f>'10A Sem 1'!T54</f>
        <v>0</v>
      </c>
    </row>
    <row r="157" spans="1:21" ht="18" customHeight="1" x14ac:dyDescent="0.25">
      <c r="A157" s="308"/>
      <c r="B157" s="320"/>
      <c r="C157" s="317"/>
      <c r="D157" s="317"/>
      <c r="E157" s="84" t="s">
        <v>22</v>
      </c>
      <c r="F157" s="30">
        <f>'10A Sem 2'!E54</f>
        <v>0</v>
      </c>
      <c r="G157" s="30">
        <f>'10A Sem 2'!F54</f>
        <v>0</v>
      </c>
      <c r="H157" s="30">
        <f>'10A Sem 2'!G54</f>
        <v>0</v>
      </c>
      <c r="I157" s="30">
        <f>'10A Sem 2'!H54</f>
        <v>0</v>
      </c>
      <c r="J157" s="30">
        <f>'10A Sem 2'!I54</f>
        <v>0</v>
      </c>
      <c r="K157" s="30">
        <f>'10A Sem 2'!J54</f>
        <v>0</v>
      </c>
      <c r="L157" s="30">
        <f>'10A Sem 2'!K54</f>
        <v>0</v>
      </c>
      <c r="M157" s="30">
        <f>'10A Sem 2'!L54</f>
        <v>0</v>
      </c>
      <c r="N157" s="30">
        <f>'10A Sem 2'!M54</f>
        <v>0</v>
      </c>
      <c r="O157" s="30">
        <f>'10A Sem 2'!N54</f>
        <v>0</v>
      </c>
      <c r="P157" s="30">
        <f>'10A Sem 2'!O54</f>
        <v>0</v>
      </c>
      <c r="Q157" s="30">
        <f>'10A Sem 2'!P54</f>
        <v>0</v>
      </c>
      <c r="R157" s="30">
        <f>'10A Sem 2'!Q54</f>
        <v>0</v>
      </c>
      <c r="S157" s="190">
        <f>'10A Sem 2'!R54</f>
        <v>0</v>
      </c>
      <c r="T157" s="190">
        <f>'10A Sem 2'!S54</f>
        <v>0</v>
      </c>
      <c r="U157" s="190">
        <f>'10A Sem 2'!T54</f>
        <v>0</v>
      </c>
    </row>
    <row r="158" spans="1:21" ht="18" customHeight="1" x14ac:dyDescent="0.25">
      <c r="A158" s="308"/>
      <c r="B158" s="321"/>
      <c r="C158" s="318"/>
      <c r="D158" s="318"/>
      <c r="E158" s="84" t="s">
        <v>16</v>
      </c>
      <c r="F158" s="30">
        <f>AVERAGE(F156:F157)</f>
        <v>0</v>
      </c>
      <c r="G158" s="30">
        <f t="shared" ref="G158:S158" si="50">AVERAGE(G156:G157)</f>
        <v>0</v>
      </c>
      <c r="H158" s="30">
        <f t="shared" si="50"/>
        <v>0</v>
      </c>
      <c r="I158" s="30">
        <f t="shared" si="50"/>
        <v>0</v>
      </c>
      <c r="J158" s="30">
        <f t="shared" si="50"/>
        <v>0</v>
      </c>
      <c r="K158" s="30">
        <f t="shared" si="50"/>
        <v>0</v>
      </c>
      <c r="L158" s="30">
        <f t="shared" si="50"/>
        <v>0</v>
      </c>
      <c r="M158" s="30">
        <f t="shared" si="50"/>
        <v>0</v>
      </c>
      <c r="N158" s="30">
        <f t="shared" si="50"/>
        <v>0</v>
      </c>
      <c r="O158" s="30">
        <f t="shared" si="50"/>
        <v>0</v>
      </c>
      <c r="P158" s="30">
        <f t="shared" si="50"/>
        <v>0</v>
      </c>
      <c r="Q158" s="30">
        <f t="shared" si="50"/>
        <v>0</v>
      </c>
      <c r="R158" s="30">
        <f t="shared" si="50"/>
        <v>0</v>
      </c>
      <c r="S158" s="30">
        <f t="shared" si="50"/>
        <v>0</v>
      </c>
      <c r="T158" s="44">
        <f>AVERAGE(T156:T157)</f>
        <v>0</v>
      </c>
      <c r="U158" s="44">
        <f>AVERAGE(U156:U157)</f>
        <v>0</v>
      </c>
    </row>
    <row r="159" spans="1:21" ht="18" customHeight="1" x14ac:dyDescent="0.25">
      <c r="A159" s="313">
        <v>52</v>
      </c>
      <c r="B159" s="310"/>
      <c r="C159" s="308"/>
      <c r="D159" s="309"/>
      <c r="E159" s="84" t="s">
        <v>21</v>
      </c>
      <c r="F159" s="30">
        <f>'10A Sem 1'!E55</f>
        <v>0</v>
      </c>
      <c r="G159" s="30">
        <f>'10A Sem 1'!F55</f>
        <v>0</v>
      </c>
      <c r="H159" s="30">
        <f>'10A Sem 1'!G55</f>
        <v>0</v>
      </c>
      <c r="I159" s="30">
        <f>'10A Sem 1'!H55</f>
        <v>0</v>
      </c>
      <c r="J159" s="30">
        <f>'10A Sem 1'!I55</f>
        <v>0</v>
      </c>
      <c r="K159" s="30">
        <f>'10A Sem 1'!J55</f>
        <v>0</v>
      </c>
      <c r="L159" s="30">
        <f>'10A Sem 1'!K55</f>
        <v>0</v>
      </c>
      <c r="M159" s="30">
        <f>'10A Sem 1'!L55</f>
        <v>0</v>
      </c>
      <c r="N159" s="30">
        <f>'10A Sem 1'!M55</f>
        <v>0</v>
      </c>
      <c r="O159" s="30">
        <f>'10A Sem 1'!N55</f>
        <v>0</v>
      </c>
      <c r="P159" s="30">
        <f>'10A Sem 1'!O55</f>
        <v>0</v>
      </c>
      <c r="Q159" s="30">
        <f>'10A Sem 1'!P55</f>
        <v>0</v>
      </c>
      <c r="R159" s="30">
        <f>'10A Sem 1'!Q55</f>
        <v>0</v>
      </c>
      <c r="S159" s="190">
        <f>'10A Sem 1'!R55</f>
        <v>0</v>
      </c>
      <c r="T159" s="190">
        <f>'10A Sem 1'!S55</f>
        <v>0</v>
      </c>
      <c r="U159" s="190">
        <f>'10A Sem 1'!T55</f>
        <v>0</v>
      </c>
    </row>
    <row r="160" spans="1:21" ht="18" customHeight="1" x14ac:dyDescent="0.25">
      <c r="A160" s="314"/>
      <c r="B160" s="311"/>
      <c r="C160" s="308"/>
      <c r="D160" s="309"/>
      <c r="E160" s="84" t="s">
        <v>22</v>
      </c>
      <c r="F160" s="30">
        <f>'10A Sem 2'!E55</f>
        <v>0</v>
      </c>
      <c r="G160" s="30">
        <f>'10A Sem 2'!F55</f>
        <v>0</v>
      </c>
      <c r="H160" s="30">
        <f>'10A Sem 2'!G55</f>
        <v>0</v>
      </c>
      <c r="I160" s="30">
        <f>'10A Sem 2'!H55</f>
        <v>0</v>
      </c>
      <c r="J160" s="30">
        <f>'10A Sem 2'!I55</f>
        <v>0</v>
      </c>
      <c r="K160" s="30">
        <f>'10A Sem 2'!J55</f>
        <v>0</v>
      </c>
      <c r="L160" s="30">
        <f>'10A Sem 2'!K55</f>
        <v>0</v>
      </c>
      <c r="M160" s="30">
        <f>'10A Sem 2'!L55</f>
        <v>0</v>
      </c>
      <c r="N160" s="30">
        <f>'10A Sem 2'!M55</f>
        <v>0</v>
      </c>
      <c r="O160" s="30">
        <f>'10A Sem 2'!N55</f>
        <v>0</v>
      </c>
      <c r="P160" s="30">
        <f>'10A Sem 2'!O55</f>
        <v>0</v>
      </c>
      <c r="Q160" s="30">
        <f>'10A Sem 2'!P55</f>
        <v>0</v>
      </c>
      <c r="R160" s="30">
        <f>'10A Sem 2'!Q55</f>
        <v>0</v>
      </c>
      <c r="S160" s="190">
        <f>'10A Sem 2'!R55</f>
        <v>0</v>
      </c>
      <c r="T160" s="190">
        <f>'10A Sem 2'!S55</f>
        <v>0</v>
      </c>
      <c r="U160" s="190">
        <f>'10A Sem 2'!T55</f>
        <v>0</v>
      </c>
    </row>
    <row r="161" spans="1:21" ht="18" customHeight="1" x14ac:dyDescent="0.25">
      <c r="A161" s="315"/>
      <c r="B161" s="312"/>
      <c r="C161" s="308"/>
      <c r="D161" s="309"/>
      <c r="E161" s="84" t="s">
        <v>16</v>
      </c>
      <c r="F161" s="30">
        <f>AVERAGE(F159:F160)</f>
        <v>0</v>
      </c>
      <c r="G161" s="30">
        <f t="shared" ref="G161:S161" si="51">AVERAGE(G159:G160)</f>
        <v>0</v>
      </c>
      <c r="H161" s="30">
        <f t="shared" si="51"/>
        <v>0</v>
      </c>
      <c r="I161" s="30">
        <f t="shared" si="51"/>
        <v>0</v>
      </c>
      <c r="J161" s="30">
        <f t="shared" si="51"/>
        <v>0</v>
      </c>
      <c r="K161" s="30">
        <f t="shared" si="51"/>
        <v>0</v>
      </c>
      <c r="L161" s="30">
        <f t="shared" si="51"/>
        <v>0</v>
      </c>
      <c r="M161" s="30">
        <f t="shared" si="51"/>
        <v>0</v>
      </c>
      <c r="N161" s="30">
        <f t="shared" si="51"/>
        <v>0</v>
      </c>
      <c r="O161" s="30">
        <f t="shared" si="51"/>
        <v>0</v>
      </c>
      <c r="P161" s="30">
        <f t="shared" si="51"/>
        <v>0</v>
      </c>
      <c r="Q161" s="30">
        <f t="shared" si="51"/>
        <v>0</v>
      </c>
      <c r="R161" s="30">
        <f t="shared" si="51"/>
        <v>0</v>
      </c>
      <c r="S161" s="30">
        <f t="shared" si="51"/>
        <v>0</v>
      </c>
      <c r="T161" s="44">
        <f>AVERAGE(T159:T160)</f>
        <v>0</v>
      </c>
      <c r="U161" s="44">
        <f>AVERAGE(U159:U160)</f>
        <v>0</v>
      </c>
    </row>
    <row r="162" spans="1:21" ht="18" customHeight="1" x14ac:dyDescent="0.25">
      <c r="A162" s="313">
        <v>53</v>
      </c>
      <c r="B162" s="309"/>
      <c r="C162" s="309"/>
      <c r="D162" s="309"/>
      <c r="E162" s="84" t="s">
        <v>21</v>
      </c>
      <c r="F162" s="41">
        <f>'10A Sem 1'!E56</f>
        <v>0</v>
      </c>
      <c r="G162" s="41">
        <f>'10A Sem 1'!F56</f>
        <v>0</v>
      </c>
      <c r="H162" s="41">
        <f>'10A Sem 1'!G56</f>
        <v>0</v>
      </c>
      <c r="I162" s="41">
        <f>'10A Sem 1'!H56</f>
        <v>0</v>
      </c>
      <c r="J162" s="41">
        <f>'10A Sem 1'!I56</f>
        <v>0</v>
      </c>
      <c r="K162" s="41">
        <f>'10A Sem 1'!J56</f>
        <v>0</v>
      </c>
      <c r="L162" s="41">
        <f>'10A Sem 1'!K56</f>
        <v>0</v>
      </c>
      <c r="M162" s="41">
        <f>'10A Sem 1'!L56</f>
        <v>0</v>
      </c>
      <c r="N162" s="41">
        <f>'10A Sem 1'!M56</f>
        <v>0</v>
      </c>
      <c r="O162" s="41">
        <f>'10A Sem 1'!N56</f>
        <v>0</v>
      </c>
      <c r="P162" s="41">
        <f>'10A Sem 1'!O56</f>
        <v>0</v>
      </c>
      <c r="Q162" s="41">
        <f>'10A Sem 1'!P56</f>
        <v>0</v>
      </c>
      <c r="R162" s="41">
        <f>'10A Sem 1'!Q56</f>
        <v>0</v>
      </c>
      <c r="S162" s="44">
        <f>'10A Sem 1'!R56</f>
        <v>0</v>
      </c>
      <c r="T162" s="44">
        <f>'10A Sem 1'!S56</f>
        <v>0</v>
      </c>
      <c r="U162" s="44">
        <f>'10A Sem 1'!T56</f>
        <v>0</v>
      </c>
    </row>
    <row r="163" spans="1:21" ht="18" customHeight="1" x14ac:dyDescent="0.25">
      <c r="A163" s="314"/>
      <c r="B163" s="309"/>
      <c r="C163" s="309"/>
      <c r="D163" s="309"/>
      <c r="E163" s="84" t="s">
        <v>22</v>
      </c>
      <c r="F163" s="41">
        <f>'10A Sem 2'!E56</f>
        <v>0</v>
      </c>
      <c r="G163" s="41">
        <f>'10A Sem 2'!F56</f>
        <v>0</v>
      </c>
      <c r="H163" s="41">
        <f>'10A Sem 2'!G56</f>
        <v>0</v>
      </c>
      <c r="I163" s="41">
        <f>'10A Sem 2'!H56</f>
        <v>0</v>
      </c>
      <c r="J163" s="41">
        <f>'10A Sem 2'!I56</f>
        <v>0</v>
      </c>
      <c r="K163" s="41">
        <f>'10A Sem 2'!J56</f>
        <v>0</v>
      </c>
      <c r="L163" s="41">
        <f>'10A Sem 2'!K56</f>
        <v>0</v>
      </c>
      <c r="M163" s="41">
        <f>'10A Sem 2'!L56</f>
        <v>0</v>
      </c>
      <c r="N163" s="41">
        <f>'10A Sem 2'!M56</f>
        <v>0</v>
      </c>
      <c r="O163" s="41">
        <f>'10A Sem 2'!N56</f>
        <v>0</v>
      </c>
      <c r="P163" s="41">
        <f>'10A Sem 2'!O56</f>
        <v>0</v>
      </c>
      <c r="Q163" s="41">
        <f>'10A Sem 2'!P56</f>
        <v>0</v>
      </c>
      <c r="R163" s="41">
        <f>'10A Sem 2'!Q56</f>
        <v>0</v>
      </c>
      <c r="S163" s="44">
        <f>'10A Sem 2'!R56</f>
        <v>0</v>
      </c>
      <c r="T163" s="44">
        <f>'10A Sem 2'!S56</f>
        <v>0</v>
      </c>
      <c r="U163" s="44">
        <f>'10A Sem 2'!T56</f>
        <v>0</v>
      </c>
    </row>
    <row r="164" spans="1:21" ht="18" customHeight="1" x14ac:dyDescent="0.25">
      <c r="A164" s="315"/>
      <c r="B164" s="309"/>
      <c r="C164" s="309"/>
      <c r="D164" s="309"/>
      <c r="E164" s="84" t="s">
        <v>16</v>
      </c>
      <c r="F164" s="41">
        <f>AVERAGE(F162:F163)</f>
        <v>0</v>
      </c>
      <c r="G164" s="41">
        <f t="shared" ref="G164:S164" si="52">AVERAGE(G162:G163)</f>
        <v>0</v>
      </c>
      <c r="H164" s="41">
        <f t="shared" si="52"/>
        <v>0</v>
      </c>
      <c r="I164" s="41">
        <f t="shared" si="52"/>
        <v>0</v>
      </c>
      <c r="J164" s="41">
        <f t="shared" si="52"/>
        <v>0</v>
      </c>
      <c r="K164" s="41">
        <f t="shared" si="52"/>
        <v>0</v>
      </c>
      <c r="L164" s="41">
        <f t="shared" si="52"/>
        <v>0</v>
      </c>
      <c r="M164" s="41">
        <f t="shared" si="52"/>
        <v>0</v>
      </c>
      <c r="N164" s="41">
        <f t="shared" si="52"/>
        <v>0</v>
      </c>
      <c r="O164" s="41">
        <f t="shared" si="52"/>
        <v>0</v>
      </c>
      <c r="P164" s="41">
        <f t="shared" si="52"/>
        <v>0</v>
      </c>
      <c r="Q164" s="41">
        <f t="shared" si="52"/>
        <v>0</v>
      </c>
      <c r="R164" s="41">
        <f t="shared" si="52"/>
        <v>0</v>
      </c>
      <c r="S164" s="41">
        <f t="shared" si="52"/>
        <v>0</v>
      </c>
      <c r="T164" s="44">
        <f>AVERAGE(T162:T163)</f>
        <v>0</v>
      </c>
      <c r="U164" s="44">
        <f>AVERAGE(U162:U163)</f>
        <v>0</v>
      </c>
    </row>
    <row r="165" spans="1:21" ht="18" customHeight="1" x14ac:dyDescent="0.25">
      <c r="A165" s="313">
        <v>54</v>
      </c>
      <c r="B165" s="309"/>
      <c r="C165" s="326"/>
      <c r="D165" s="326"/>
      <c r="E165" s="84" t="s">
        <v>21</v>
      </c>
      <c r="F165" s="41">
        <f>'10A Sem 1'!E57</f>
        <v>0</v>
      </c>
      <c r="G165" s="41">
        <f>'10A Sem 1'!F57</f>
        <v>0</v>
      </c>
      <c r="H165" s="41">
        <f>'10A Sem 1'!G57</f>
        <v>0</v>
      </c>
      <c r="I165" s="41">
        <f>'10A Sem 1'!H57</f>
        <v>0</v>
      </c>
      <c r="J165" s="41">
        <f>'10A Sem 1'!I57</f>
        <v>0</v>
      </c>
      <c r="K165" s="41">
        <f>'10A Sem 1'!J57</f>
        <v>0</v>
      </c>
      <c r="L165" s="41">
        <f>'10A Sem 1'!K57</f>
        <v>0</v>
      </c>
      <c r="M165" s="41">
        <f>'10A Sem 1'!L57</f>
        <v>0</v>
      </c>
      <c r="N165" s="41">
        <f>'10A Sem 1'!M57</f>
        <v>0</v>
      </c>
      <c r="O165" s="41">
        <f>'10A Sem 1'!N57</f>
        <v>0</v>
      </c>
      <c r="P165" s="41">
        <f>'10A Sem 1'!O57</f>
        <v>0</v>
      </c>
      <c r="Q165" s="41">
        <f>'10A Sem 1'!P57</f>
        <v>0</v>
      </c>
      <c r="R165" s="41">
        <f>'10A Sem 1'!Q57</f>
        <v>0</v>
      </c>
      <c r="S165" s="44">
        <f>'10A Sem 1'!R57</f>
        <v>0</v>
      </c>
      <c r="T165" s="44">
        <f>'10A Sem 1'!S57</f>
        <v>0</v>
      </c>
      <c r="U165" s="44">
        <f>'10A Sem 1'!T57</f>
        <v>0</v>
      </c>
    </row>
    <row r="166" spans="1:21" ht="18" customHeight="1" x14ac:dyDescent="0.25">
      <c r="A166" s="314"/>
      <c r="B166" s="309"/>
      <c r="C166" s="326"/>
      <c r="D166" s="326"/>
      <c r="E166" s="84" t="s">
        <v>22</v>
      </c>
      <c r="F166" s="41">
        <f>'10A Sem 2'!E57</f>
        <v>0</v>
      </c>
      <c r="G166" s="41">
        <f>'10A Sem 2'!F57</f>
        <v>0</v>
      </c>
      <c r="H166" s="41">
        <f>'10A Sem 2'!G57</f>
        <v>0</v>
      </c>
      <c r="I166" s="41">
        <f>'10A Sem 2'!H57</f>
        <v>0</v>
      </c>
      <c r="J166" s="41">
        <f>'10A Sem 2'!I57</f>
        <v>0</v>
      </c>
      <c r="K166" s="41">
        <f>'10A Sem 2'!J57</f>
        <v>0</v>
      </c>
      <c r="L166" s="41">
        <f>'10A Sem 2'!K57</f>
        <v>0</v>
      </c>
      <c r="M166" s="41">
        <f>'10A Sem 2'!L57</f>
        <v>0</v>
      </c>
      <c r="N166" s="41">
        <f>'10A Sem 2'!M57</f>
        <v>0</v>
      </c>
      <c r="O166" s="41">
        <f>'10A Sem 2'!N57</f>
        <v>0</v>
      </c>
      <c r="P166" s="41">
        <f>'10A Sem 2'!O57</f>
        <v>0</v>
      </c>
      <c r="Q166" s="41">
        <f>'10A Sem 2'!P57</f>
        <v>0</v>
      </c>
      <c r="R166" s="41">
        <f>'10A Sem 2'!Q57</f>
        <v>0</v>
      </c>
      <c r="S166" s="44">
        <f>'10A Sem 2'!R57</f>
        <v>0</v>
      </c>
      <c r="T166" s="44">
        <f>'10A Sem 2'!S57</f>
        <v>0</v>
      </c>
      <c r="U166" s="44">
        <f>'10A Sem 2'!T57</f>
        <v>0</v>
      </c>
    </row>
    <row r="167" spans="1:21" ht="18" customHeight="1" x14ac:dyDescent="0.25">
      <c r="A167" s="315"/>
      <c r="B167" s="309"/>
      <c r="C167" s="326"/>
      <c r="D167" s="326"/>
      <c r="E167" s="84" t="s">
        <v>16</v>
      </c>
      <c r="F167" s="41">
        <f>AVERAGE(F165:F166)</f>
        <v>0</v>
      </c>
      <c r="G167" s="41">
        <f t="shared" ref="G167:S167" si="53">AVERAGE(G165:G166)</f>
        <v>0</v>
      </c>
      <c r="H167" s="41">
        <f t="shared" si="53"/>
        <v>0</v>
      </c>
      <c r="I167" s="41">
        <f t="shared" si="53"/>
        <v>0</v>
      </c>
      <c r="J167" s="41">
        <f t="shared" si="53"/>
        <v>0</v>
      </c>
      <c r="K167" s="41">
        <f t="shared" si="53"/>
        <v>0</v>
      </c>
      <c r="L167" s="41">
        <f t="shared" si="53"/>
        <v>0</v>
      </c>
      <c r="M167" s="41">
        <f t="shared" si="53"/>
        <v>0</v>
      </c>
      <c r="N167" s="41">
        <f t="shared" si="53"/>
        <v>0</v>
      </c>
      <c r="O167" s="41">
        <f t="shared" si="53"/>
        <v>0</v>
      </c>
      <c r="P167" s="41">
        <f t="shared" si="53"/>
        <v>0</v>
      </c>
      <c r="Q167" s="41">
        <f t="shared" si="53"/>
        <v>0</v>
      </c>
      <c r="R167" s="41">
        <f t="shared" si="53"/>
        <v>0</v>
      </c>
      <c r="S167" s="41">
        <f t="shared" si="53"/>
        <v>0</v>
      </c>
      <c r="T167" s="44">
        <f>AVERAGE(T165:T166)</f>
        <v>0</v>
      </c>
      <c r="U167" s="44">
        <f>AVERAGE(U165:U166)</f>
        <v>0</v>
      </c>
    </row>
    <row r="168" spans="1:21" ht="18" customHeight="1" x14ac:dyDescent="0.25">
      <c r="A168" s="313">
        <v>55</v>
      </c>
      <c r="B168" s="326"/>
      <c r="C168" s="326"/>
      <c r="D168" s="326"/>
      <c r="E168" s="84" t="s">
        <v>21</v>
      </c>
      <c r="F168" s="41">
        <f>'10A Sem 1'!E58</f>
        <v>0</v>
      </c>
      <c r="G168" s="41">
        <f>'10A Sem 1'!F58</f>
        <v>0</v>
      </c>
      <c r="H168" s="41">
        <f>'10A Sem 1'!G58</f>
        <v>0</v>
      </c>
      <c r="I168" s="41">
        <f>'10A Sem 1'!H58</f>
        <v>0</v>
      </c>
      <c r="J168" s="41">
        <f>'10A Sem 1'!I58</f>
        <v>0</v>
      </c>
      <c r="K168" s="41">
        <f>'10A Sem 1'!J58</f>
        <v>0</v>
      </c>
      <c r="L168" s="41">
        <f>'10A Sem 1'!K58</f>
        <v>0</v>
      </c>
      <c r="M168" s="41">
        <f>'10A Sem 1'!L58</f>
        <v>0</v>
      </c>
      <c r="N168" s="41">
        <f>'10A Sem 1'!M58</f>
        <v>0</v>
      </c>
      <c r="O168" s="41">
        <f>'10A Sem 1'!N58</f>
        <v>0</v>
      </c>
      <c r="P168" s="41">
        <f>'10A Sem 1'!O58</f>
        <v>0</v>
      </c>
      <c r="Q168" s="41">
        <f>'10A Sem 1'!P58</f>
        <v>0</v>
      </c>
      <c r="R168" s="41">
        <f>'10A Sem 1'!Q58</f>
        <v>0</v>
      </c>
      <c r="S168" s="44">
        <f>'10A Sem 1'!R58</f>
        <v>0</v>
      </c>
      <c r="T168" s="44">
        <f>'10A Sem 1'!S58</f>
        <v>0</v>
      </c>
      <c r="U168" s="44">
        <f>'10A Sem 1'!T58</f>
        <v>0</v>
      </c>
    </row>
    <row r="169" spans="1:21" ht="18" customHeight="1" x14ac:dyDescent="0.25">
      <c r="A169" s="314"/>
      <c r="B169" s="326"/>
      <c r="C169" s="326"/>
      <c r="D169" s="326"/>
      <c r="E169" s="84" t="s">
        <v>22</v>
      </c>
      <c r="F169" s="41">
        <f>'10A Sem 2'!E58</f>
        <v>0</v>
      </c>
      <c r="G169" s="41">
        <f>'10A Sem 2'!F58</f>
        <v>0</v>
      </c>
      <c r="H169" s="41">
        <f>'10A Sem 2'!G58</f>
        <v>0</v>
      </c>
      <c r="I169" s="41">
        <f>'10A Sem 2'!H58</f>
        <v>0</v>
      </c>
      <c r="J169" s="41">
        <f>'10A Sem 2'!I58</f>
        <v>0</v>
      </c>
      <c r="K169" s="41">
        <f>'10A Sem 2'!J58</f>
        <v>0</v>
      </c>
      <c r="L169" s="41">
        <f>'10A Sem 2'!K58</f>
        <v>0</v>
      </c>
      <c r="M169" s="41">
        <f>'10A Sem 2'!L58</f>
        <v>0</v>
      </c>
      <c r="N169" s="41">
        <f>'10A Sem 2'!M58</f>
        <v>0</v>
      </c>
      <c r="O169" s="41">
        <f>'10A Sem 2'!N58</f>
        <v>0</v>
      </c>
      <c r="P169" s="41">
        <f>'10A Sem 2'!O58</f>
        <v>0</v>
      </c>
      <c r="Q169" s="41">
        <f>'10A Sem 2'!P58</f>
        <v>0</v>
      </c>
      <c r="R169" s="41">
        <f>'10A Sem 2'!Q58</f>
        <v>0</v>
      </c>
      <c r="S169" s="44">
        <f>'10A Sem 2'!R58</f>
        <v>0</v>
      </c>
      <c r="T169" s="44">
        <f>'10A Sem 2'!S58</f>
        <v>0</v>
      </c>
      <c r="U169" s="44">
        <f>'10A Sem 2'!T58</f>
        <v>0</v>
      </c>
    </row>
    <row r="170" spans="1:21" ht="19.5" customHeight="1" x14ac:dyDescent="0.25">
      <c r="A170" s="315"/>
      <c r="B170" s="326"/>
      <c r="C170" s="326"/>
      <c r="D170" s="326"/>
      <c r="E170" s="84" t="s">
        <v>16</v>
      </c>
      <c r="F170" s="41">
        <f>AVERAGE(F168:F169)</f>
        <v>0</v>
      </c>
      <c r="G170" s="41">
        <f t="shared" ref="G170:S170" si="54">AVERAGE(G168:G169)</f>
        <v>0</v>
      </c>
      <c r="H170" s="41">
        <f t="shared" si="54"/>
        <v>0</v>
      </c>
      <c r="I170" s="41">
        <f t="shared" si="54"/>
        <v>0</v>
      </c>
      <c r="J170" s="41">
        <f t="shared" si="54"/>
        <v>0</v>
      </c>
      <c r="K170" s="41">
        <f t="shared" si="54"/>
        <v>0</v>
      </c>
      <c r="L170" s="41">
        <f t="shared" si="54"/>
        <v>0</v>
      </c>
      <c r="M170" s="41">
        <f t="shared" si="54"/>
        <v>0</v>
      </c>
      <c r="N170" s="41">
        <f t="shared" si="54"/>
        <v>0</v>
      </c>
      <c r="O170" s="41">
        <f t="shared" si="54"/>
        <v>0</v>
      </c>
      <c r="P170" s="41">
        <f t="shared" si="54"/>
        <v>0</v>
      </c>
      <c r="Q170" s="41">
        <f t="shared" si="54"/>
        <v>0</v>
      </c>
      <c r="R170" s="41">
        <f t="shared" si="54"/>
        <v>0</v>
      </c>
      <c r="S170" s="41">
        <f t="shared" si="54"/>
        <v>0</v>
      </c>
      <c r="T170" s="44">
        <f>AVERAGE(T168:T169)</f>
        <v>0</v>
      </c>
      <c r="U170" s="44">
        <f>AVERAGE(U168:U169)</f>
        <v>0</v>
      </c>
    </row>
    <row r="171" spans="1:21" ht="18.75" customHeight="1" x14ac:dyDescent="0.25">
      <c r="C171"/>
      <c r="D171"/>
    </row>
    <row r="172" spans="1:21" ht="18" customHeight="1" x14ac:dyDescent="0.25">
      <c r="C172"/>
      <c r="D172"/>
    </row>
    <row r="173" spans="1:21" ht="18" customHeight="1" x14ac:dyDescent="0.25">
      <c r="C173"/>
      <c r="D173"/>
    </row>
    <row r="174" spans="1:21" ht="18" customHeight="1" x14ac:dyDescent="0.25">
      <c r="C174"/>
      <c r="D174"/>
    </row>
    <row r="175" spans="1:21" ht="18" customHeight="1" x14ac:dyDescent="0.25">
      <c r="C175"/>
      <c r="D175"/>
    </row>
    <row r="176" spans="1:21" ht="18" customHeight="1" x14ac:dyDescent="0.25">
      <c r="C176"/>
      <c r="D176"/>
    </row>
    <row r="177" spans="1:4" ht="18" customHeight="1" x14ac:dyDescent="0.25">
      <c r="C177"/>
      <c r="D177"/>
    </row>
    <row r="178" spans="1:4" ht="18" customHeight="1" x14ac:dyDescent="0.25">
      <c r="C178"/>
      <c r="D178"/>
    </row>
    <row r="179" spans="1:4" ht="18" customHeight="1" x14ac:dyDescent="0.25">
      <c r="C179"/>
      <c r="D179"/>
    </row>
    <row r="180" spans="1:4" ht="18" customHeight="1" x14ac:dyDescent="0.25">
      <c r="C180"/>
      <c r="D180"/>
    </row>
    <row r="181" spans="1:4" ht="18" customHeight="1" x14ac:dyDescent="0.25">
      <c r="C181"/>
      <c r="D181"/>
    </row>
    <row r="182" spans="1:4" ht="18" customHeight="1" x14ac:dyDescent="0.25">
      <c r="C182"/>
      <c r="D182"/>
    </row>
    <row r="183" spans="1:4" ht="18" customHeight="1" x14ac:dyDescent="0.25">
      <c r="C183"/>
      <c r="D183"/>
    </row>
    <row r="184" spans="1:4" ht="18" customHeight="1" x14ac:dyDescent="0.25">
      <c r="C184"/>
      <c r="D184"/>
    </row>
    <row r="185" spans="1:4" ht="18" customHeight="1" x14ac:dyDescent="0.25">
      <c r="C185"/>
      <c r="D185"/>
    </row>
    <row r="186" spans="1:4" ht="18" customHeight="1" x14ac:dyDescent="0.25">
      <c r="C186"/>
      <c r="D186"/>
    </row>
    <row r="187" spans="1:4" ht="18" customHeight="1" x14ac:dyDescent="0.25">
      <c r="A187" s="8"/>
      <c r="C187"/>
      <c r="D187"/>
    </row>
    <row r="188" spans="1:4" ht="18" customHeight="1" x14ac:dyDescent="0.25">
      <c r="A188" s="8"/>
      <c r="C188"/>
      <c r="D188"/>
    </row>
    <row r="189" spans="1:4" ht="18" customHeight="1" x14ac:dyDescent="0.25">
      <c r="A189" s="8"/>
      <c r="C189"/>
      <c r="D189"/>
    </row>
    <row r="190" spans="1:4" ht="18" customHeight="1" x14ac:dyDescent="0.25">
      <c r="A190" s="8"/>
      <c r="C190" s="9"/>
      <c r="D190" s="9"/>
    </row>
    <row r="191" spans="1:4" ht="18" customHeight="1" x14ac:dyDescent="0.25">
      <c r="A191" s="8"/>
      <c r="B191" s="9"/>
      <c r="C191" s="9"/>
      <c r="D191" s="9"/>
    </row>
    <row r="192" spans="1:4" ht="18" customHeight="1" x14ac:dyDescent="0.25">
      <c r="A192" s="8"/>
      <c r="B192" s="9"/>
      <c r="C192" s="9"/>
      <c r="D192" s="9"/>
    </row>
    <row r="193" spans="1:5" ht="18" customHeight="1" x14ac:dyDescent="0.25">
      <c r="A193" s="8"/>
      <c r="B193" s="9"/>
      <c r="C193" s="9"/>
      <c r="D193" s="9"/>
    </row>
    <row r="194" spans="1:5" ht="18" customHeight="1" x14ac:dyDescent="0.25">
      <c r="A194" s="8"/>
      <c r="B194" s="9"/>
      <c r="C194" s="9"/>
      <c r="D194" s="9"/>
    </row>
    <row r="195" spans="1:5" ht="18" customHeight="1" x14ac:dyDescent="0.25">
      <c r="A195" s="8"/>
      <c r="B195" s="9"/>
      <c r="C195" s="9"/>
      <c r="D195" s="9"/>
    </row>
    <row r="196" spans="1:5" ht="18" customHeight="1" x14ac:dyDescent="0.25">
      <c r="A196" s="8"/>
      <c r="B196" s="9"/>
      <c r="C196" s="9"/>
      <c r="D196" s="9"/>
    </row>
    <row r="197" spans="1:5" ht="18" customHeight="1" x14ac:dyDescent="0.25">
      <c r="A197" s="8"/>
      <c r="B197" s="9"/>
      <c r="C197" s="9"/>
      <c r="D197" s="9"/>
    </row>
    <row r="198" spans="1:5" ht="18.75" customHeight="1" x14ac:dyDescent="0.25">
      <c r="A198" s="8"/>
      <c r="B198" s="9"/>
      <c r="C198" s="9"/>
      <c r="D198" s="9"/>
    </row>
    <row r="199" spans="1:5" ht="18.75" customHeight="1" x14ac:dyDescent="0.25">
      <c r="A199" s="8"/>
      <c r="B199" s="9"/>
      <c r="C199" s="9"/>
      <c r="D199" s="9"/>
    </row>
    <row r="200" spans="1:5" ht="18.75" customHeight="1" x14ac:dyDescent="0.25">
      <c r="A200" s="8"/>
      <c r="B200" s="9"/>
      <c r="C200" s="9"/>
      <c r="D200" s="9"/>
    </row>
    <row r="201" spans="1:5" ht="18.75" customHeight="1" x14ac:dyDescent="0.25">
      <c r="B201" s="9"/>
      <c r="C201" s="9"/>
      <c r="D201" s="9"/>
    </row>
    <row r="202" spans="1:5" ht="18.75" customHeight="1" x14ac:dyDescent="0.25">
      <c r="B202" s="9"/>
      <c r="C202" s="9"/>
      <c r="D202" s="9"/>
    </row>
    <row r="203" spans="1:5" ht="18.75" customHeight="1" x14ac:dyDescent="0.25">
      <c r="A203" s="7"/>
      <c r="B203" s="9"/>
      <c r="C203" s="9"/>
      <c r="D203" s="9"/>
    </row>
    <row r="204" spans="1:5" ht="18.75" customHeight="1" x14ac:dyDescent="0.25">
      <c r="A204" s="7"/>
      <c r="B204" s="9"/>
      <c r="C204"/>
      <c r="D204"/>
    </row>
    <row r="205" spans="1:5" ht="18.75" customHeight="1" x14ac:dyDescent="0.25">
      <c r="A205" s="7"/>
      <c r="C205"/>
      <c r="D205"/>
    </row>
    <row r="206" spans="1:5" ht="18.75" customHeight="1" x14ac:dyDescent="0.25">
      <c r="A206" s="7"/>
      <c r="C206" s="6"/>
      <c r="D206" s="6"/>
      <c r="E206" s="6"/>
    </row>
    <row r="207" spans="1:5" ht="18.75" customHeight="1" x14ac:dyDescent="0.25">
      <c r="A207" s="7"/>
      <c r="B207" s="6"/>
      <c r="C207" s="6"/>
      <c r="D207" s="6"/>
      <c r="E207" s="6"/>
    </row>
    <row r="208" spans="1:5" ht="18.75" customHeight="1" x14ac:dyDescent="0.25">
      <c r="A208" s="7"/>
      <c r="B208" s="6"/>
      <c r="C208" s="6"/>
      <c r="D208" s="6"/>
      <c r="E208" s="6"/>
    </row>
    <row r="209" spans="1:5" ht="18.75" customHeight="1" x14ac:dyDescent="0.25">
      <c r="A209" s="7"/>
      <c r="B209" s="6"/>
      <c r="C209" s="6"/>
      <c r="D209" s="6"/>
      <c r="E209" s="6"/>
    </row>
    <row r="210" spans="1:5" ht="18.75" customHeight="1" x14ac:dyDescent="0.25">
      <c r="A210" s="7"/>
      <c r="B210" s="6"/>
      <c r="C210" s="6"/>
      <c r="D210" s="6"/>
      <c r="E210" s="6"/>
    </row>
    <row r="211" spans="1:5" ht="18.75" customHeight="1" x14ac:dyDescent="0.25">
      <c r="A211" s="7"/>
      <c r="B211" s="6"/>
      <c r="C211" s="6"/>
      <c r="D211" s="6"/>
      <c r="E211" s="6"/>
    </row>
    <row r="212" spans="1:5" ht="18.75" customHeight="1" x14ac:dyDescent="0.25">
      <c r="A212" s="7"/>
      <c r="B212" s="6"/>
      <c r="C212" s="6"/>
      <c r="D212" s="6"/>
      <c r="E212" s="6"/>
    </row>
    <row r="213" spans="1:5" ht="18.75" customHeight="1" x14ac:dyDescent="0.25">
      <c r="A213" s="7"/>
      <c r="B213" s="6"/>
      <c r="C213" s="6"/>
      <c r="D213" s="6"/>
      <c r="E213" s="6"/>
    </row>
    <row r="214" spans="1:5" ht="18.75" customHeight="1" x14ac:dyDescent="0.25">
      <c r="A214" s="7"/>
      <c r="B214" s="6"/>
      <c r="C214" s="6"/>
      <c r="D214" s="6"/>
      <c r="E214" s="6"/>
    </row>
    <row r="215" spans="1:5" ht="18.75" customHeight="1" x14ac:dyDescent="0.25">
      <c r="A215" s="7"/>
      <c r="B215" s="6"/>
      <c r="C215" s="6"/>
      <c r="D215" s="6"/>
      <c r="E215" s="6"/>
    </row>
    <row r="216" spans="1:5" ht="18.75" customHeight="1" x14ac:dyDescent="0.25">
      <c r="A216" s="7"/>
      <c r="B216" s="6"/>
      <c r="C216" s="6"/>
      <c r="D216" s="6"/>
      <c r="E216" s="6"/>
    </row>
    <row r="217" spans="1:5" ht="18.75" customHeight="1" x14ac:dyDescent="0.25">
      <c r="A217" s="7"/>
      <c r="B217" s="6"/>
      <c r="C217" s="6"/>
      <c r="D217" s="6"/>
      <c r="E217" s="6"/>
    </row>
    <row r="218" spans="1:5" ht="18.75" customHeight="1" x14ac:dyDescent="0.25">
      <c r="A218" s="7"/>
      <c r="B218" s="6"/>
      <c r="C218" s="6"/>
      <c r="D218" s="6"/>
      <c r="E218" s="6"/>
    </row>
    <row r="219" spans="1:5" ht="18.75" customHeight="1" x14ac:dyDescent="0.25">
      <c r="A219" s="7"/>
      <c r="B219" s="6"/>
      <c r="C219" s="6"/>
      <c r="D219" s="6"/>
      <c r="E219" s="6"/>
    </row>
    <row r="220" spans="1:5" ht="15.75" x14ac:dyDescent="0.25">
      <c r="A220" s="7"/>
      <c r="B220" s="6"/>
      <c r="C220" s="6"/>
      <c r="D220" s="6"/>
      <c r="E220" s="6"/>
    </row>
    <row r="221" spans="1:5" ht="15.75" x14ac:dyDescent="0.25">
      <c r="A221" s="7"/>
      <c r="B221" s="6"/>
      <c r="C221" s="6"/>
      <c r="D221" s="6"/>
      <c r="E221" s="6"/>
    </row>
    <row r="222" spans="1:5" ht="15.75" x14ac:dyDescent="0.25">
      <c r="A222" s="7"/>
      <c r="B222" s="6"/>
      <c r="C222" s="6"/>
      <c r="D222" s="6"/>
      <c r="E222" s="6"/>
    </row>
    <row r="223" spans="1:5" ht="19.5" customHeight="1" x14ac:dyDescent="0.25">
      <c r="A223" s="7"/>
      <c r="B223" s="6"/>
      <c r="C223" s="6"/>
      <c r="D223" s="6"/>
      <c r="E223" s="6"/>
    </row>
    <row r="224" spans="1:5" ht="15.75" x14ac:dyDescent="0.25">
      <c r="A224" s="7"/>
      <c r="B224" s="6"/>
      <c r="C224" s="6"/>
      <c r="D224" s="6"/>
      <c r="E224" s="6"/>
    </row>
    <row r="225" spans="1:5" ht="15.75" x14ac:dyDescent="0.25">
      <c r="A225" s="7"/>
      <c r="B225" s="6"/>
      <c r="C225" s="6"/>
      <c r="D225" s="6"/>
      <c r="E225" s="6"/>
    </row>
    <row r="226" spans="1:5" ht="16.5" customHeight="1" x14ac:dyDescent="0.25">
      <c r="A226" s="7"/>
      <c r="B226" s="6"/>
      <c r="C226" s="6"/>
      <c r="D226" s="6"/>
      <c r="E226" s="6"/>
    </row>
    <row r="227" spans="1:5" ht="15.75" x14ac:dyDescent="0.25">
      <c r="A227" s="7"/>
      <c r="B227" s="6"/>
      <c r="C227" s="6"/>
      <c r="D227" s="6"/>
      <c r="E227" s="6"/>
    </row>
    <row r="228" spans="1:5" ht="15.75" x14ac:dyDescent="0.25">
      <c r="B228" s="6"/>
      <c r="C228" s="6"/>
      <c r="D228" s="6"/>
      <c r="E228" s="6"/>
    </row>
    <row r="229" spans="1:5" ht="15.75" x14ac:dyDescent="0.25">
      <c r="B229" s="6"/>
      <c r="C229" s="6"/>
      <c r="D229" s="6"/>
      <c r="E229" s="6"/>
    </row>
    <row r="230" spans="1:5" ht="15.75" x14ac:dyDescent="0.25">
      <c r="B230" s="6"/>
      <c r="C230" s="6"/>
      <c r="D230" s="6"/>
      <c r="E230" s="6"/>
    </row>
    <row r="231" spans="1:5" ht="15.75" x14ac:dyDescent="0.25">
      <c r="B231" s="6"/>
      <c r="C231"/>
      <c r="D231"/>
    </row>
    <row r="232" spans="1:5" x14ac:dyDescent="0.25">
      <c r="C232"/>
      <c r="D232"/>
    </row>
    <row r="233" spans="1:5" x14ac:dyDescent="0.25">
      <c r="C233"/>
      <c r="D233"/>
    </row>
    <row r="234" spans="1:5" x14ac:dyDescent="0.25">
      <c r="C234"/>
      <c r="D234"/>
    </row>
    <row r="235" spans="1:5" ht="17.25" customHeight="1" x14ac:dyDescent="0.25">
      <c r="C235"/>
      <c r="D235"/>
    </row>
    <row r="236" spans="1:5" x14ac:dyDescent="0.25">
      <c r="C236"/>
      <c r="D236"/>
    </row>
    <row r="237" spans="1:5" x14ac:dyDescent="0.25">
      <c r="C237"/>
      <c r="D237"/>
    </row>
    <row r="238" spans="1:5" ht="19.5" customHeight="1" x14ac:dyDescent="0.25">
      <c r="C238"/>
      <c r="D238"/>
    </row>
    <row r="239" spans="1:5" x14ac:dyDescent="0.25">
      <c r="C239"/>
      <c r="D239"/>
    </row>
    <row r="240" spans="1:5" x14ac:dyDescent="0.25">
      <c r="C240"/>
      <c r="D240"/>
    </row>
    <row r="241" spans="3:4" x14ac:dyDescent="0.25">
      <c r="C241"/>
      <c r="D241"/>
    </row>
    <row r="242" spans="3:4" x14ac:dyDescent="0.25">
      <c r="C242"/>
      <c r="D242"/>
    </row>
    <row r="243" spans="3:4" x14ac:dyDescent="0.25">
      <c r="C243"/>
      <c r="D243"/>
    </row>
    <row r="244" spans="3:4" x14ac:dyDescent="0.25">
      <c r="C244"/>
      <c r="D244"/>
    </row>
    <row r="245" spans="3:4" x14ac:dyDescent="0.25">
      <c r="C245"/>
      <c r="D245"/>
    </row>
    <row r="246" spans="3:4" x14ac:dyDescent="0.25">
      <c r="C246"/>
      <c r="D246"/>
    </row>
    <row r="247" spans="3:4" x14ac:dyDescent="0.25">
      <c r="C247"/>
      <c r="D247"/>
    </row>
    <row r="248" spans="3:4" x14ac:dyDescent="0.25">
      <c r="C248"/>
      <c r="D248"/>
    </row>
    <row r="249" spans="3:4" x14ac:dyDescent="0.25">
      <c r="C249"/>
      <c r="D249"/>
    </row>
    <row r="250" spans="3:4" x14ac:dyDescent="0.25">
      <c r="C250"/>
      <c r="D250"/>
    </row>
    <row r="251" spans="3:4" x14ac:dyDescent="0.25">
      <c r="C251"/>
      <c r="D251"/>
    </row>
    <row r="252" spans="3:4" x14ac:dyDescent="0.25">
      <c r="C252"/>
      <c r="D252"/>
    </row>
    <row r="253" spans="3:4" x14ac:dyDescent="0.25">
      <c r="C253"/>
      <c r="D253"/>
    </row>
    <row r="254" spans="3:4" x14ac:dyDescent="0.25">
      <c r="C254"/>
      <c r="D254"/>
    </row>
    <row r="255" spans="3:4" x14ac:dyDescent="0.25">
      <c r="C255"/>
      <c r="D255"/>
    </row>
    <row r="256" spans="3:4" x14ac:dyDescent="0.25">
      <c r="C256"/>
      <c r="D256"/>
    </row>
    <row r="257" spans="3:4" x14ac:dyDescent="0.25">
      <c r="C257"/>
      <c r="D257"/>
    </row>
  </sheetData>
  <mergeCells count="222">
    <mergeCell ref="A162:A164"/>
    <mergeCell ref="B162:B164"/>
    <mergeCell ref="C162:C164"/>
    <mergeCell ref="D162:D164"/>
    <mergeCell ref="A165:A167"/>
    <mergeCell ref="B165:B167"/>
    <mergeCell ref="C165:C167"/>
    <mergeCell ref="D165:D167"/>
    <mergeCell ref="A168:A170"/>
    <mergeCell ref="B168:B170"/>
    <mergeCell ref="C168:C170"/>
    <mergeCell ref="D168:D170"/>
    <mergeCell ref="A1:U1"/>
    <mergeCell ref="A3:U3"/>
    <mergeCell ref="A6:A8"/>
    <mergeCell ref="B6:B8"/>
    <mergeCell ref="C6:C8"/>
    <mergeCell ref="D6:D8"/>
    <mergeCell ref="A15:A17"/>
    <mergeCell ref="B15:B17"/>
    <mergeCell ref="C15:C17"/>
    <mergeCell ref="D15:D17"/>
    <mergeCell ref="A18:A20"/>
    <mergeCell ref="B18:B20"/>
    <mergeCell ref="A9:A11"/>
    <mergeCell ref="B9:B11"/>
    <mergeCell ref="C9:C11"/>
    <mergeCell ref="D9:D11"/>
    <mergeCell ref="A12:A14"/>
    <mergeCell ref="B12:B14"/>
    <mergeCell ref="C12:C14"/>
    <mergeCell ref="D12:D14"/>
    <mergeCell ref="C18:C20"/>
    <mergeCell ref="D18:D20"/>
    <mergeCell ref="A27:A29"/>
    <mergeCell ref="B27:B29"/>
    <mergeCell ref="C27:C29"/>
    <mergeCell ref="D27:D29"/>
    <mergeCell ref="A30:A32"/>
    <mergeCell ref="B30:B32"/>
    <mergeCell ref="C30:C32"/>
    <mergeCell ref="D30:D32"/>
    <mergeCell ref="A21:A23"/>
    <mergeCell ref="B21:B23"/>
    <mergeCell ref="C21:C23"/>
    <mergeCell ref="D21:D23"/>
    <mergeCell ref="A24:A26"/>
    <mergeCell ref="B24:B26"/>
    <mergeCell ref="C24:C26"/>
    <mergeCell ref="D24:D26"/>
    <mergeCell ref="A39:A41"/>
    <mergeCell ref="B39:B41"/>
    <mergeCell ref="C39:C41"/>
    <mergeCell ref="D39:D41"/>
    <mergeCell ref="A42:A44"/>
    <mergeCell ref="B42:B44"/>
    <mergeCell ref="C42:C44"/>
    <mergeCell ref="D42:D44"/>
    <mergeCell ref="A33:A35"/>
    <mergeCell ref="B33:B35"/>
    <mergeCell ref="C33:C35"/>
    <mergeCell ref="D33:D35"/>
    <mergeCell ref="A36:A38"/>
    <mergeCell ref="B36:B38"/>
    <mergeCell ref="C36:C38"/>
    <mergeCell ref="D36:D38"/>
    <mergeCell ref="A51:A53"/>
    <mergeCell ref="B51:B53"/>
    <mergeCell ref="C51:C53"/>
    <mergeCell ref="D51:D53"/>
    <mergeCell ref="A54:A56"/>
    <mergeCell ref="B54:B56"/>
    <mergeCell ref="C54:C56"/>
    <mergeCell ref="D54:D56"/>
    <mergeCell ref="A45:A47"/>
    <mergeCell ref="B45:B47"/>
    <mergeCell ref="C45:C47"/>
    <mergeCell ref="D45:D47"/>
    <mergeCell ref="A48:A50"/>
    <mergeCell ref="B48:B50"/>
    <mergeCell ref="C48:C50"/>
    <mergeCell ref="D48:D50"/>
    <mergeCell ref="A63:A65"/>
    <mergeCell ref="B63:B65"/>
    <mergeCell ref="C63:C65"/>
    <mergeCell ref="D63:D65"/>
    <mergeCell ref="A66:A68"/>
    <mergeCell ref="B66:B68"/>
    <mergeCell ref="C66:C68"/>
    <mergeCell ref="D66:D68"/>
    <mergeCell ref="A57:A59"/>
    <mergeCell ref="B57:B59"/>
    <mergeCell ref="C57:C59"/>
    <mergeCell ref="D57:D59"/>
    <mergeCell ref="A60:A62"/>
    <mergeCell ref="B60:B62"/>
    <mergeCell ref="C60:C62"/>
    <mergeCell ref="D60:D62"/>
    <mergeCell ref="A75:A77"/>
    <mergeCell ref="B75:B77"/>
    <mergeCell ref="C75:C77"/>
    <mergeCell ref="D75:D77"/>
    <mergeCell ref="A78:A80"/>
    <mergeCell ref="B78:B80"/>
    <mergeCell ref="C78:C80"/>
    <mergeCell ref="D78:D80"/>
    <mergeCell ref="A69:A71"/>
    <mergeCell ref="B69:B71"/>
    <mergeCell ref="C69:C71"/>
    <mergeCell ref="D69:D71"/>
    <mergeCell ref="A72:A74"/>
    <mergeCell ref="B72:B74"/>
    <mergeCell ref="C72:C74"/>
    <mergeCell ref="D72:D74"/>
    <mergeCell ref="A87:A89"/>
    <mergeCell ref="B87:B89"/>
    <mergeCell ref="C87:C89"/>
    <mergeCell ref="D87:D89"/>
    <mergeCell ref="A90:A92"/>
    <mergeCell ref="B90:B92"/>
    <mergeCell ref="C90:C92"/>
    <mergeCell ref="D90:D92"/>
    <mergeCell ref="A81:A83"/>
    <mergeCell ref="B81:B83"/>
    <mergeCell ref="C81:C83"/>
    <mergeCell ref="D81:D83"/>
    <mergeCell ref="A84:A86"/>
    <mergeCell ref="B84:B86"/>
    <mergeCell ref="C84:C86"/>
    <mergeCell ref="D84:D86"/>
    <mergeCell ref="A99:A101"/>
    <mergeCell ref="B99:B101"/>
    <mergeCell ref="C99:C101"/>
    <mergeCell ref="D99:D101"/>
    <mergeCell ref="A102:A104"/>
    <mergeCell ref="B102:B104"/>
    <mergeCell ref="C102:C104"/>
    <mergeCell ref="D102:D104"/>
    <mergeCell ref="A93:A95"/>
    <mergeCell ref="B93:B95"/>
    <mergeCell ref="C93:C95"/>
    <mergeCell ref="D93:D95"/>
    <mergeCell ref="A96:A98"/>
    <mergeCell ref="B96:B98"/>
    <mergeCell ref="C96:C98"/>
    <mergeCell ref="D96:D98"/>
    <mergeCell ref="A111:A113"/>
    <mergeCell ref="B111:B113"/>
    <mergeCell ref="C111:C113"/>
    <mergeCell ref="D111:D113"/>
    <mergeCell ref="A114:A116"/>
    <mergeCell ref="B114:B116"/>
    <mergeCell ref="C114:C116"/>
    <mergeCell ref="D114:D116"/>
    <mergeCell ref="A105:A107"/>
    <mergeCell ref="B105:B107"/>
    <mergeCell ref="C105:C107"/>
    <mergeCell ref="D105:D107"/>
    <mergeCell ref="A108:A110"/>
    <mergeCell ref="B108:B110"/>
    <mergeCell ref="C108:C110"/>
    <mergeCell ref="D108:D110"/>
    <mergeCell ref="A123:A125"/>
    <mergeCell ref="B123:B125"/>
    <mergeCell ref="C123:C125"/>
    <mergeCell ref="D123:D125"/>
    <mergeCell ref="A126:A128"/>
    <mergeCell ref="B126:B128"/>
    <mergeCell ref="C126:C128"/>
    <mergeCell ref="D126:D128"/>
    <mergeCell ref="A117:A119"/>
    <mergeCell ref="B117:B119"/>
    <mergeCell ref="C117:C119"/>
    <mergeCell ref="D117:D119"/>
    <mergeCell ref="A120:A122"/>
    <mergeCell ref="B120:B122"/>
    <mergeCell ref="C120:C122"/>
    <mergeCell ref="D120:D122"/>
    <mergeCell ref="A135:A137"/>
    <mergeCell ref="B135:B137"/>
    <mergeCell ref="C135:C137"/>
    <mergeCell ref="D135:D137"/>
    <mergeCell ref="A138:A140"/>
    <mergeCell ref="B138:B140"/>
    <mergeCell ref="C138:C140"/>
    <mergeCell ref="D138:D140"/>
    <mergeCell ref="A129:A131"/>
    <mergeCell ref="B129:B131"/>
    <mergeCell ref="C129:C131"/>
    <mergeCell ref="D129:D131"/>
    <mergeCell ref="A132:A134"/>
    <mergeCell ref="B132:B134"/>
    <mergeCell ref="C132:C134"/>
    <mergeCell ref="D132:D134"/>
    <mergeCell ref="A147:A149"/>
    <mergeCell ref="B147:B149"/>
    <mergeCell ref="C147:C149"/>
    <mergeCell ref="D147:D149"/>
    <mergeCell ref="A150:A152"/>
    <mergeCell ref="B150:B152"/>
    <mergeCell ref="C150:C152"/>
    <mergeCell ref="D150:D152"/>
    <mergeCell ref="A141:A143"/>
    <mergeCell ref="B141:B143"/>
    <mergeCell ref="C141:C143"/>
    <mergeCell ref="D141:D143"/>
    <mergeCell ref="A144:A146"/>
    <mergeCell ref="B144:B146"/>
    <mergeCell ref="C144:C146"/>
    <mergeCell ref="D144:D146"/>
    <mergeCell ref="C159:C161"/>
    <mergeCell ref="D159:D161"/>
    <mergeCell ref="B159:B161"/>
    <mergeCell ref="A159:A161"/>
    <mergeCell ref="A153:A155"/>
    <mergeCell ref="B153:B155"/>
    <mergeCell ref="D153:D155"/>
    <mergeCell ref="C153:C155"/>
    <mergeCell ref="C156:C158"/>
    <mergeCell ref="D156:D158"/>
    <mergeCell ref="B156:B158"/>
    <mergeCell ref="A156:A158"/>
  </mergeCells>
  <pageMargins left="0.7" right="0.7" top="0.75" bottom="0.75" header="0.3" footer="0.3"/>
  <pageSetup paperSize="9" scale="75" orientation="landscape" r:id="rId1"/>
  <ignoredErrors>
    <ignoredError sqref="S8:S14 S15:S170"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58"/>
  <sheetViews>
    <sheetView workbookViewId="0">
      <selection activeCell="B4" sqref="B4:B53"/>
    </sheetView>
  </sheetViews>
  <sheetFormatPr defaultRowHeight="15" x14ac:dyDescent="0.25"/>
  <cols>
    <col min="1" max="1" width="6.7109375" style="14" customWidth="1"/>
    <col min="2" max="2" width="35.140625" bestFit="1" customWidth="1"/>
    <col min="3" max="3" width="4.7109375" customWidth="1"/>
    <col min="4" max="4" width="4.140625" customWidth="1"/>
    <col min="5" max="15" width="7.7109375" customWidth="1"/>
    <col min="16" max="17" width="7.7109375" style="14" customWidth="1"/>
    <col min="18" max="18" width="10.85546875" style="14" customWidth="1"/>
    <col min="19" max="20" width="7.7109375" style="14" customWidth="1"/>
  </cols>
  <sheetData>
    <row r="1" spans="1:20" ht="20.25" x14ac:dyDescent="0.25">
      <c r="A1" s="272" t="s">
        <v>44</v>
      </c>
      <c r="B1" s="273"/>
      <c r="C1" s="273"/>
      <c r="D1" s="273"/>
      <c r="E1" s="273"/>
      <c r="F1" s="273"/>
      <c r="G1" s="273"/>
      <c r="H1" s="273"/>
      <c r="I1" s="273"/>
      <c r="J1" s="273"/>
      <c r="K1" s="273"/>
      <c r="L1" s="273"/>
      <c r="M1" s="273"/>
      <c r="N1" s="273"/>
      <c r="O1" s="273"/>
      <c r="P1" s="273"/>
      <c r="Q1" s="273"/>
      <c r="R1" s="273"/>
      <c r="S1" s="273"/>
      <c r="T1" s="274"/>
    </row>
    <row r="2" spans="1:20" ht="18" thickBot="1" x14ac:dyDescent="0.3">
      <c r="A2" s="275" t="s">
        <v>45</v>
      </c>
      <c r="B2" s="275"/>
      <c r="C2" s="275"/>
      <c r="D2" s="275"/>
      <c r="E2" s="275"/>
      <c r="F2" s="275"/>
      <c r="G2" s="275"/>
      <c r="H2" s="275"/>
      <c r="I2" s="275"/>
      <c r="J2" s="275"/>
      <c r="K2" s="275"/>
      <c r="L2" s="275"/>
      <c r="M2" s="275"/>
      <c r="N2" s="275"/>
      <c r="O2" s="275"/>
      <c r="P2" s="275"/>
      <c r="Q2" s="275"/>
      <c r="R2" s="275"/>
      <c r="S2" s="275"/>
      <c r="T2" s="275"/>
    </row>
    <row r="3" spans="1:20" ht="67.5" customHeight="1" thickBot="1" x14ac:dyDescent="0.3">
      <c r="A3" s="21" t="s">
        <v>24</v>
      </c>
      <c r="B3" s="22" t="s">
        <v>1</v>
      </c>
      <c r="C3" s="23" t="s">
        <v>2</v>
      </c>
      <c r="D3" s="22" t="s">
        <v>3</v>
      </c>
      <c r="E3" s="25" t="s">
        <v>4</v>
      </c>
      <c r="F3" s="25" t="s">
        <v>5</v>
      </c>
      <c r="G3" s="25" t="s">
        <v>6</v>
      </c>
      <c r="H3" s="25" t="s">
        <v>7</v>
      </c>
      <c r="I3" s="25" t="s">
        <v>8</v>
      </c>
      <c r="J3" s="25" t="s">
        <v>9</v>
      </c>
      <c r="K3" s="26" t="s">
        <v>10</v>
      </c>
      <c r="L3" s="25" t="s">
        <v>11</v>
      </c>
      <c r="M3" s="27" t="s">
        <v>12</v>
      </c>
      <c r="N3" s="27" t="s">
        <v>13</v>
      </c>
      <c r="O3" s="25" t="s">
        <v>14</v>
      </c>
      <c r="P3" s="27" t="s">
        <v>15</v>
      </c>
      <c r="Q3" s="25" t="s">
        <v>16</v>
      </c>
      <c r="R3" s="25" t="s">
        <v>17</v>
      </c>
      <c r="S3" s="26" t="s">
        <v>18</v>
      </c>
      <c r="T3" s="28" t="s">
        <v>19</v>
      </c>
    </row>
    <row r="4" spans="1:20" ht="20.100000000000001" customHeight="1" x14ac:dyDescent="0.25">
      <c r="A4" s="154">
        <v>1</v>
      </c>
      <c r="B4" s="142"/>
      <c r="C4" s="156">
        <v>15</v>
      </c>
      <c r="D4" s="156" t="s">
        <v>20</v>
      </c>
      <c r="E4" s="155">
        <v>74</v>
      </c>
      <c r="F4" s="47">
        <v>50</v>
      </c>
      <c r="G4" s="47">
        <v>51</v>
      </c>
      <c r="H4" s="47">
        <v>58</v>
      </c>
      <c r="I4" s="85">
        <v>44</v>
      </c>
      <c r="J4" s="47">
        <v>45</v>
      </c>
      <c r="K4" s="47">
        <v>53</v>
      </c>
      <c r="L4" s="47">
        <v>58</v>
      </c>
      <c r="M4" s="47">
        <v>63</v>
      </c>
      <c r="N4" s="47">
        <v>72</v>
      </c>
      <c r="O4" s="47">
        <v>83</v>
      </c>
      <c r="P4" s="58">
        <f>SUM(E4:O4)</f>
        <v>651</v>
      </c>
      <c r="Q4" s="33">
        <f>AVERAGE(E4:O4)</f>
        <v>59.18181818181818</v>
      </c>
      <c r="R4" s="15">
        <f>RANK(Q4,$Q$4:$Q$53)</f>
        <v>47</v>
      </c>
      <c r="S4" s="24"/>
      <c r="T4" s="24"/>
    </row>
    <row r="5" spans="1:20" ht="20.100000000000001" customHeight="1" x14ac:dyDescent="0.25">
      <c r="A5" s="121">
        <v>2</v>
      </c>
      <c r="B5" s="142"/>
      <c r="C5" s="156">
        <v>15</v>
      </c>
      <c r="D5" s="156" t="s">
        <v>20</v>
      </c>
      <c r="E5" s="155">
        <v>94</v>
      </c>
      <c r="F5" s="47">
        <v>92</v>
      </c>
      <c r="G5" s="47">
        <v>95</v>
      </c>
      <c r="H5" s="47">
        <v>97</v>
      </c>
      <c r="I5" s="85">
        <v>95</v>
      </c>
      <c r="J5" s="47">
        <v>97</v>
      </c>
      <c r="K5" s="47">
        <v>98</v>
      </c>
      <c r="L5" s="47">
        <v>96</v>
      </c>
      <c r="M5" s="47">
        <v>95</v>
      </c>
      <c r="N5" s="47">
        <v>98</v>
      </c>
      <c r="O5" s="47">
        <v>99</v>
      </c>
      <c r="P5" s="58">
        <f t="shared" ref="P5:P53" si="0">SUM(E5:O5)</f>
        <v>1056</v>
      </c>
      <c r="Q5" s="33">
        <f t="shared" ref="Q5:Q53" si="1">AVERAGE(E5:O5)</f>
        <v>96</v>
      </c>
      <c r="R5" s="15">
        <f t="shared" ref="R5:R53" si="2">RANK(Q5,$Q$4:$Q$53)</f>
        <v>1</v>
      </c>
      <c r="S5" s="15"/>
      <c r="T5" s="15"/>
    </row>
    <row r="6" spans="1:20" ht="20.100000000000001" customHeight="1" x14ac:dyDescent="0.25">
      <c r="A6" s="137">
        <v>3</v>
      </c>
      <c r="B6" s="142"/>
      <c r="C6" s="156">
        <v>17</v>
      </c>
      <c r="D6" s="156" t="s">
        <v>20</v>
      </c>
      <c r="E6" s="155">
        <v>79</v>
      </c>
      <c r="F6" s="47">
        <v>87</v>
      </c>
      <c r="G6" s="47">
        <v>88</v>
      </c>
      <c r="H6" s="47">
        <v>81</v>
      </c>
      <c r="I6" s="85">
        <v>84</v>
      </c>
      <c r="J6" s="47">
        <v>86</v>
      </c>
      <c r="K6" s="47">
        <v>75</v>
      </c>
      <c r="L6" s="47">
        <v>70</v>
      </c>
      <c r="M6" s="47">
        <v>71</v>
      </c>
      <c r="N6" s="47">
        <v>75</v>
      </c>
      <c r="O6" s="47">
        <v>83</v>
      </c>
      <c r="P6" s="58">
        <f t="shared" si="0"/>
        <v>879</v>
      </c>
      <c r="Q6" s="33">
        <f t="shared" si="1"/>
        <v>79.909090909090907</v>
      </c>
      <c r="R6" s="15">
        <f t="shared" si="2"/>
        <v>18</v>
      </c>
      <c r="S6" s="15"/>
      <c r="T6" s="15"/>
    </row>
    <row r="7" spans="1:20" ht="20.100000000000001" customHeight="1" x14ac:dyDescent="0.25">
      <c r="A7" s="121">
        <v>4</v>
      </c>
      <c r="B7" s="142"/>
      <c r="C7" s="156">
        <v>15</v>
      </c>
      <c r="D7" s="156" t="s">
        <v>20</v>
      </c>
      <c r="E7" s="155">
        <v>88</v>
      </c>
      <c r="F7" s="47">
        <v>82</v>
      </c>
      <c r="G7" s="47">
        <v>75</v>
      </c>
      <c r="H7" s="47">
        <v>74</v>
      </c>
      <c r="I7" s="85">
        <v>68</v>
      </c>
      <c r="J7" s="47">
        <v>93</v>
      </c>
      <c r="K7" s="47">
        <v>79</v>
      </c>
      <c r="L7" s="47">
        <v>89</v>
      </c>
      <c r="M7" s="47">
        <v>81</v>
      </c>
      <c r="N7" s="47">
        <v>99</v>
      </c>
      <c r="O7" s="47">
        <v>98</v>
      </c>
      <c r="P7" s="58">
        <f t="shared" si="0"/>
        <v>926</v>
      </c>
      <c r="Q7" s="33">
        <f t="shared" si="1"/>
        <v>84.181818181818187</v>
      </c>
      <c r="R7" s="15">
        <f t="shared" si="2"/>
        <v>13</v>
      </c>
      <c r="S7" s="15"/>
      <c r="T7" s="15"/>
    </row>
    <row r="8" spans="1:20" ht="20.100000000000001" customHeight="1" x14ac:dyDescent="0.25">
      <c r="A8" s="121">
        <v>5</v>
      </c>
      <c r="B8" s="142"/>
      <c r="C8" s="156">
        <v>16</v>
      </c>
      <c r="D8" s="156" t="s">
        <v>23</v>
      </c>
      <c r="E8" s="155">
        <v>84</v>
      </c>
      <c r="F8" s="47">
        <v>60</v>
      </c>
      <c r="G8" s="47">
        <v>62</v>
      </c>
      <c r="H8" s="47">
        <v>62</v>
      </c>
      <c r="I8" s="85">
        <v>52</v>
      </c>
      <c r="J8" s="47">
        <v>53</v>
      </c>
      <c r="K8" s="47">
        <v>66</v>
      </c>
      <c r="L8" s="47">
        <v>63</v>
      </c>
      <c r="M8" s="47">
        <v>64</v>
      </c>
      <c r="N8" s="47">
        <v>82</v>
      </c>
      <c r="O8" s="47">
        <v>80</v>
      </c>
      <c r="P8" s="58">
        <f t="shared" si="0"/>
        <v>728</v>
      </c>
      <c r="Q8" s="33">
        <f t="shared" si="1"/>
        <v>66.181818181818187</v>
      </c>
      <c r="R8" s="15">
        <f t="shared" si="2"/>
        <v>34</v>
      </c>
      <c r="S8" s="15"/>
      <c r="T8" s="15"/>
    </row>
    <row r="9" spans="1:20" ht="20.100000000000001" customHeight="1" x14ac:dyDescent="0.25">
      <c r="A9" s="137">
        <v>6</v>
      </c>
      <c r="B9" s="142"/>
      <c r="C9" s="156">
        <v>16</v>
      </c>
      <c r="D9" s="156" t="s">
        <v>23</v>
      </c>
      <c r="E9" s="155">
        <v>80</v>
      </c>
      <c r="F9" s="47">
        <v>50</v>
      </c>
      <c r="G9" s="47">
        <v>65</v>
      </c>
      <c r="H9" s="47">
        <v>59</v>
      </c>
      <c r="I9" s="85">
        <v>51</v>
      </c>
      <c r="J9" s="47">
        <v>56</v>
      </c>
      <c r="K9" s="47">
        <v>62</v>
      </c>
      <c r="L9" s="47">
        <v>50</v>
      </c>
      <c r="M9" s="47">
        <v>61</v>
      </c>
      <c r="N9" s="47">
        <v>76</v>
      </c>
      <c r="O9" s="47">
        <v>88</v>
      </c>
      <c r="P9" s="58">
        <f t="shared" si="0"/>
        <v>698</v>
      </c>
      <c r="Q9" s="33">
        <f t="shared" si="1"/>
        <v>63.454545454545453</v>
      </c>
      <c r="R9" s="15">
        <f t="shared" si="2"/>
        <v>40</v>
      </c>
      <c r="S9" s="15"/>
      <c r="T9" s="15"/>
    </row>
    <row r="10" spans="1:20" ht="20.100000000000001" customHeight="1" x14ac:dyDescent="0.25">
      <c r="A10" s="121">
        <v>7</v>
      </c>
      <c r="B10" s="142"/>
      <c r="C10" s="156">
        <v>16</v>
      </c>
      <c r="D10" s="156" t="s">
        <v>20</v>
      </c>
      <c r="E10" s="155">
        <v>67</v>
      </c>
      <c r="F10" s="47">
        <v>76</v>
      </c>
      <c r="G10" s="47">
        <v>56</v>
      </c>
      <c r="H10" s="47">
        <v>55</v>
      </c>
      <c r="I10" s="85">
        <v>45</v>
      </c>
      <c r="J10" s="47">
        <v>47</v>
      </c>
      <c r="K10" s="47">
        <v>52</v>
      </c>
      <c r="L10" s="47">
        <v>57</v>
      </c>
      <c r="M10" s="47">
        <v>56</v>
      </c>
      <c r="N10" s="47">
        <v>78</v>
      </c>
      <c r="O10" s="47">
        <v>82</v>
      </c>
      <c r="P10" s="58">
        <f t="shared" si="0"/>
        <v>671</v>
      </c>
      <c r="Q10" s="33">
        <f t="shared" si="1"/>
        <v>61</v>
      </c>
      <c r="R10" s="15">
        <f t="shared" si="2"/>
        <v>43</v>
      </c>
      <c r="S10" s="15"/>
      <c r="T10" s="15"/>
    </row>
    <row r="11" spans="1:20" ht="20.100000000000001" customHeight="1" x14ac:dyDescent="0.25">
      <c r="A11" s="121">
        <v>8</v>
      </c>
      <c r="B11" s="142"/>
      <c r="C11" s="156">
        <v>16</v>
      </c>
      <c r="D11" s="156" t="s">
        <v>23</v>
      </c>
      <c r="E11" s="155">
        <v>85</v>
      </c>
      <c r="F11" s="47">
        <v>90</v>
      </c>
      <c r="G11" s="47">
        <v>68</v>
      </c>
      <c r="H11" s="47">
        <v>75</v>
      </c>
      <c r="I11" s="85">
        <v>65</v>
      </c>
      <c r="J11" s="47">
        <v>90</v>
      </c>
      <c r="K11" s="47">
        <v>80</v>
      </c>
      <c r="L11" s="47">
        <v>83</v>
      </c>
      <c r="M11" s="47">
        <v>84</v>
      </c>
      <c r="N11" s="47">
        <v>98</v>
      </c>
      <c r="O11" s="47">
        <v>91</v>
      </c>
      <c r="P11" s="58">
        <f t="shared" si="0"/>
        <v>909</v>
      </c>
      <c r="Q11" s="33">
        <f t="shared" si="1"/>
        <v>82.63636363636364</v>
      </c>
      <c r="R11" s="15">
        <f t="shared" si="2"/>
        <v>14</v>
      </c>
      <c r="S11" s="15"/>
      <c r="T11" s="15"/>
    </row>
    <row r="12" spans="1:20" ht="20.100000000000001" customHeight="1" x14ac:dyDescent="0.25">
      <c r="A12" s="137">
        <v>9</v>
      </c>
      <c r="B12" s="142"/>
      <c r="C12" s="156">
        <v>15</v>
      </c>
      <c r="D12" s="156" t="s">
        <v>23</v>
      </c>
      <c r="E12" s="155">
        <v>66</v>
      </c>
      <c r="F12" s="47">
        <v>57</v>
      </c>
      <c r="G12" s="47">
        <v>54</v>
      </c>
      <c r="H12" s="47">
        <v>60</v>
      </c>
      <c r="I12" s="85">
        <v>52</v>
      </c>
      <c r="J12" s="47">
        <v>53</v>
      </c>
      <c r="K12" s="47">
        <v>56</v>
      </c>
      <c r="L12" s="47">
        <v>52</v>
      </c>
      <c r="M12" s="47">
        <v>53</v>
      </c>
      <c r="N12" s="47">
        <v>75</v>
      </c>
      <c r="O12" s="47">
        <v>78</v>
      </c>
      <c r="P12" s="58">
        <f t="shared" si="0"/>
        <v>656</v>
      </c>
      <c r="Q12" s="33">
        <f t="shared" si="1"/>
        <v>59.636363636363633</v>
      </c>
      <c r="R12" s="15">
        <f t="shared" si="2"/>
        <v>46</v>
      </c>
      <c r="S12" s="15"/>
      <c r="T12" s="15"/>
    </row>
    <row r="13" spans="1:20" ht="20.100000000000001" customHeight="1" x14ac:dyDescent="0.25">
      <c r="A13" s="121">
        <v>10</v>
      </c>
      <c r="B13" s="142"/>
      <c r="C13" s="156">
        <v>15</v>
      </c>
      <c r="D13" s="156" t="s">
        <v>23</v>
      </c>
      <c r="E13" s="155">
        <v>90</v>
      </c>
      <c r="F13" s="47">
        <v>87</v>
      </c>
      <c r="G13" s="47">
        <v>85</v>
      </c>
      <c r="H13" s="47">
        <v>88</v>
      </c>
      <c r="I13" s="85">
        <v>87</v>
      </c>
      <c r="J13" s="47">
        <v>92</v>
      </c>
      <c r="K13" s="47">
        <v>90</v>
      </c>
      <c r="L13" s="47">
        <v>83</v>
      </c>
      <c r="M13" s="47">
        <v>87</v>
      </c>
      <c r="N13" s="47">
        <v>98</v>
      </c>
      <c r="O13" s="47">
        <v>98</v>
      </c>
      <c r="P13" s="58">
        <f t="shared" si="0"/>
        <v>985</v>
      </c>
      <c r="Q13" s="33">
        <f t="shared" si="1"/>
        <v>89.545454545454547</v>
      </c>
      <c r="R13" s="15">
        <f t="shared" si="2"/>
        <v>6</v>
      </c>
      <c r="S13" s="15"/>
      <c r="T13" s="15"/>
    </row>
    <row r="14" spans="1:20" ht="20.100000000000001" customHeight="1" x14ac:dyDescent="0.25">
      <c r="A14" s="137">
        <v>11</v>
      </c>
      <c r="B14" s="142"/>
      <c r="C14" s="156">
        <v>16</v>
      </c>
      <c r="D14" s="156" t="s">
        <v>23</v>
      </c>
      <c r="E14" s="214"/>
      <c r="F14" s="215"/>
      <c r="G14" s="215"/>
      <c r="H14" s="215"/>
      <c r="I14" s="218"/>
      <c r="J14" s="215"/>
      <c r="K14" s="215"/>
      <c r="L14" s="215"/>
      <c r="M14" s="215"/>
      <c r="N14" s="215"/>
      <c r="O14" s="215"/>
      <c r="P14" s="58">
        <f t="shared" si="0"/>
        <v>0</v>
      </c>
      <c r="Q14" s="33"/>
      <c r="R14" s="15"/>
      <c r="S14" s="15"/>
      <c r="T14" s="15"/>
    </row>
    <row r="15" spans="1:20" ht="20.100000000000001" customHeight="1" x14ac:dyDescent="0.25">
      <c r="A15" s="137">
        <v>12</v>
      </c>
      <c r="B15" s="142"/>
      <c r="C15" s="156">
        <v>15</v>
      </c>
      <c r="D15" s="156" t="s">
        <v>23</v>
      </c>
      <c r="E15" s="155">
        <v>71</v>
      </c>
      <c r="F15" s="47">
        <v>57</v>
      </c>
      <c r="G15" s="47">
        <v>54</v>
      </c>
      <c r="H15" s="47">
        <v>57</v>
      </c>
      <c r="I15" s="85">
        <v>50</v>
      </c>
      <c r="J15" s="47">
        <v>51</v>
      </c>
      <c r="K15" s="47">
        <v>50</v>
      </c>
      <c r="L15" s="47">
        <v>50</v>
      </c>
      <c r="M15" s="47">
        <v>66</v>
      </c>
      <c r="N15" s="47">
        <v>79</v>
      </c>
      <c r="O15" s="47">
        <v>84</v>
      </c>
      <c r="P15" s="58">
        <f t="shared" si="0"/>
        <v>669</v>
      </c>
      <c r="Q15" s="33">
        <f t="shared" si="1"/>
        <v>60.81818181818182</v>
      </c>
      <c r="R15" s="15">
        <f t="shared" si="2"/>
        <v>44</v>
      </c>
      <c r="S15" s="15"/>
      <c r="T15" s="15"/>
    </row>
    <row r="16" spans="1:20" ht="20.100000000000001" customHeight="1" x14ac:dyDescent="0.25">
      <c r="A16" s="137">
        <v>13</v>
      </c>
      <c r="B16" s="142"/>
      <c r="C16" s="156">
        <v>15</v>
      </c>
      <c r="D16" s="156" t="s">
        <v>23</v>
      </c>
      <c r="E16" s="155">
        <v>71</v>
      </c>
      <c r="F16" s="47">
        <v>61</v>
      </c>
      <c r="G16" s="47">
        <v>52</v>
      </c>
      <c r="H16" s="47">
        <v>57</v>
      </c>
      <c r="I16" s="85">
        <v>52</v>
      </c>
      <c r="J16" s="47">
        <v>60</v>
      </c>
      <c r="K16" s="47">
        <v>59</v>
      </c>
      <c r="L16" s="47">
        <v>70</v>
      </c>
      <c r="M16" s="47">
        <v>72</v>
      </c>
      <c r="N16" s="47">
        <v>80</v>
      </c>
      <c r="O16" s="47">
        <v>77</v>
      </c>
      <c r="P16" s="58">
        <f t="shared" si="0"/>
        <v>711</v>
      </c>
      <c r="Q16" s="33">
        <f t="shared" si="1"/>
        <v>64.63636363636364</v>
      </c>
      <c r="R16" s="15">
        <f t="shared" si="2"/>
        <v>39</v>
      </c>
      <c r="S16" s="15"/>
      <c r="T16" s="15"/>
    </row>
    <row r="17" spans="1:20" ht="20.100000000000001" customHeight="1" x14ac:dyDescent="0.25">
      <c r="A17" s="121">
        <v>14</v>
      </c>
      <c r="B17" s="142"/>
      <c r="C17" s="156">
        <v>17</v>
      </c>
      <c r="D17" s="156" t="s">
        <v>23</v>
      </c>
      <c r="E17" s="155">
        <v>87</v>
      </c>
      <c r="F17" s="47">
        <v>70</v>
      </c>
      <c r="G17" s="47">
        <v>68</v>
      </c>
      <c r="H17" s="47">
        <v>75</v>
      </c>
      <c r="I17" s="85">
        <v>52</v>
      </c>
      <c r="J17" s="47">
        <v>70</v>
      </c>
      <c r="K17" s="47">
        <v>77</v>
      </c>
      <c r="L17" s="47">
        <v>63</v>
      </c>
      <c r="M17" s="47">
        <v>91</v>
      </c>
      <c r="N17" s="47">
        <v>85</v>
      </c>
      <c r="O17" s="47">
        <v>100</v>
      </c>
      <c r="P17" s="58">
        <f t="shared" si="0"/>
        <v>838</v>
      </c>
      <c r="Q17" s="33">
        <f t="shared" si="1"/>
        <v>76.181818181818187</v>
      </c>
      <c r="R17" s="15">
        <f t="shared" si="2"/>
        <v>23</v>
      </c>
      <c r="S17" s="15"/>
      <c r="T17" s="15"/>
    </row>
    <row r="18" spans="1:20" ht="20.100000000000001" customHeight="1" x14ac:dyDescent="0.25">
      <c r="A18" s="137">
        <v>15</v>
      </c>
      <c r="B18" s="142"/>
      <c r="C18" s="156">
        <v>15</v>
      </c>
      <c r="D18" s="156" t="s">
        <v>23</v>
      </c>
      <c r="E18" s="155">
        <v>85</v>
      </c>
      <c r="F18" s="47">
        <v>64</v>
      </c>
      <c r="G18" s="47">
        <v>74</v>
      </c>
      <c r="H18" s="47">
        <v>65</v>
      </c>
      <c r="I18" s="85">
        <v>57</v>
      </c>
      <c r="J18" s="47">
        <v>64</v>
      </c>
      <c r="K18" s="47">
        <v>71</v>
      </c>
      <c r="L18" s="47">
        <v>63</v>
      </c>
      <c r="M18" s="47">
        <v>74</v>
      </c>
      <c r="N18" s="47">
        <v>80</v>
      </c>
      <c r="O18" s="47">
        <v>89</v>
      </c>
      <c r="P18" s="58">
        <f t="shared" si="0"/>
        <v>786</v>
      </c>
      <c r="Q18" s="33">
        <f t="shared" si="1"/>
        <v>71.454545454545453</v>
      </c>
      <c r="R18" s="15">
        <f t="shared" si="2"/>
        <v>29</v>
      </c>
      <c r="S18" s="15"/>
      <c r="T18" s="15"/>
    </row>
    <row r="19" spans="1:20" ht="20.100000000000001" customHeight="1" x14ac:dyDescent="0.25">
      <c r="A19" s="121">
        <v>16</v>
      </c>
      <c r="B19" s="142"/>
      <c r="C19" s="156">
        <v>16</v>
      </c>
      <c r="D19" s="156" t="s">
        <v>32</v>
      </c>
      <c r="E19" s="155">
        <v>78</v>
      </c>
      <c r="F19" s="47">
        <v>46</v>
      </c>
      <c r="G19" s="47">
        <v>55</v>
      </c>
      <c r="H19" s="47">
        <v>64</v>
      </c>
      <c r="I19" s="86">
        <v>50</v>
      </c>
      <c r="J19" s="47">
        <v>59</v>
      </c>
      <c r="K19" s="47">
        <v>68</v>
      </c>
      <c r="L19" s="47">
        <v>60</v>
      </c>
      <c r="M19" s="47">
        <v>66</v>
      </c>
      <c r="N19" s="47">
        <v>86</v>
      </c>
      <c r="O19" s="47">
        <v>90</v>
      </c>
      <c r="P19" s="58">
        <f t="shared" si="0"/>
        <v>722</v>
      </c>
      <c r="Q19" s="33">
        <f t="shared" si="1"/>
        <v>65.63636363636364</v>
      </c>
      <c r="R19" s="15">
        <f t="shared" si="2"/>
        <v>37</v>
      </c>
      <c r="S19" s="15"/>
      <c r="T19" s="15"/>
    </row>
    <row r="20" spans="1:20" ht="20.100000000000001" customHeight="1" x14ac:dyDescent="0.25">
      <c r="A20" s="121">
        <v>17</v>
      </c>
      <c r="B20" s="142"/>
      <c r="C20" s="156">
        <v>16</v>
      </c>
      <c r="D20" s="156" t="s">
        <v>23</v>
      </c>
      <c r="E20" s="155">
        <v>78</v>
      </c>
      <c r="F20" s="47">
        <v>60</v>
      </c>
      <c r="G20" s="47">
        <v>93</v>
      </c>
      <c r="H20" s="47">
        <v>94</v>
      </c>
      <c r="I20" s="85">
        <v>95</v>
      </c>
      <c r="J20" s="47">
        <v>98</v>
      </c>
      <c r="K20" s="47">
        <v>95</v>
      </c>
      <c r="L20" s="47">
        <v>75</v>
      </c>
      <c r="M20" s="47">
        <v>85</v>
      </c>
      <c r="N20" s="47">
        <v>99</v>
      </c>
      <c r="O20" s="47">
        <v>100</v>
      </c>
      <c r="P20" s="58">
        <f t="shared" si="0"/>
        <v>972</v>
      </c>
      <c r="Q20" s="33">
        <f t="shared" si="1"/>
        <v>88.36363636363636</v>
      </c>
      <c r="R20" s="15">
        <f t="shared" si="2"/>
        <v>9</v>
      </c>
      <c r="S20" s="15"/>
      <c r="T20" s="15"/>
    </row>
    <row r="21" spans="1:20" ht="20.100000000000001" customHeight="1" x14ac:dyDescent="0.25">
      <c r="A21" s="121">
        <v>18</v>
      </c>
      <c r="B21" s="142"/>
      <c r="C21" s="156">
        <v>16</v>
      </c>
      <c r="D21" s="156" t="s">
        <v>23</v>
      </c>
      <c r="E21" s="155">
        <v>66</v>
      </c>
      <c r="F21" s="47">
        <v>58</v>
      </c>
      <c r="G21" s="47">
        <v>39</v>
      </c>
      <c r="H21" s="47">
        <v>49</v>
      </c>
      <c r="I21" s="85">
        <v>38</v>
      </c>
      <c r="J21" s="47">
        <v>45</v>
      </c>
      <c r="K21" s="47">
        <v>48</v>
      </c>
      <c r="L21" s="47">
        <v>71</v>
      </c>
      <c r="M21" s="47">
        <v>58</v>
      </c>
      <c r="N21" s="47">
        <v>61</v>
      </c>
      <c r="O21" s="47">
        <v>76</v>
      </c>
      <c r="P21" s="58">
        <f t="shared" si="0"/>
        <v>609</v>
      </c>
      <c r="Q21" s="33">
        <f t="shared" si="1"/>
        <v>55.363636363636367</v>
      </c>
      <c r="R21" s="15">
        <f t="shared" si="2"/>
        <v>49</v>
      </c>
      <c r="S21" s="15"/>
      <c r="T21" s="15"/>
    </row>
    <row r="22" spans="1:20" ht="20.100000000000001" customHeight="1" x14ac:dyDescent="0.25">
      <c r="A22" s="137">
        <v>19</v>
      </c>
      <c r="B22" s="142"/>
      <c r="C22" s="156">
        <v>17</v>
      </c>
      <c r="D22" s="156" t="s">
        <v>20</v>
      </c>
      <c r="E22" s="155">
        <v>70</v>
      </c>
      <c r="F22" s="47">
        <v>55</v>
      </c>
      <c r="G22" s="47">
        <v>63</v>
      </c>
      <c r="H22" s="47">
        <v>64</v>
      </c>
      <c r="I22" s="85">
        <v>60</v>
      </c>
      <c r="J22" s="47">
        <v>53</v>
      </c>
      <c r="K22" s="47">
        <v>58</v>
      </c>
      <c r="L22" s="47">
        <v>68</v>
      </c>
      <c r="M22" s="47">
        <v>66</v>
      </c>
      <c r="N22" s="47">
        <v>76</v>
      </c>
      <c r="O22" s="47">
        <v>90</v>
      </c>
      <c r="P22" s="58">
        <f t="shared" si="0"/>
        <v>723</v>
      </c>
      <c r="Q22" s="33">
        <f t="shared" si="1"/>
        <v>65.727272727272734</v>
      </c>
      <c r="R22" s="15">
        <f t="shared" si="2"/>
        <v>36</v>
      </c>
      <c r="S22" s="15"/>
      <c r="T22" s="15"/>
    </row>
    <row r="23" spans="1:20" ht="20.100000000000001" customHeight="1" x14ac:dyDescent="0.25">
      <c r="A23" s="137">
        <v>20</v>
      </c>
      <c r="B23" s="142"/>
      <c r="C23" s="156">
        <v>15</v>
      </c>
      <c r="D23" s="156" t="s">
        <v>20</v>
      </c>
      <c r="E23" s="155">
        <v>90</v>
      </c>
      <c r="F23" s="47">
        <v>75</v>
      </c>
      <c r="G23" s="47">
        <v>87</v>
      </c>
      <c r="H23" s="47">
        <v>82</v>
      </c>
      <c r="I23" s="85">
        <v>82</v>
      </c>
      <c r="J23" s="47">
        <v>86</v>
      </c>
      <c r="K23" s="47">
        <v>87</v>
      </c>
      <c r="L23" s="47">
        <v>87</v>
      </c>
      <c r="M23" s="47">
        <v>87</v>
      </c>
      <c r="N23" s="47">
        <v>96</v>
      </c>
      <c r="O23" s="47">
        <v>96</v>
      </c>
      <c r="P23" s="58">
        <f t="shared" si="0"/>
        <v>955</v>
      </c>
      <c r="Q23" s="33">
        <f t="shared" si="1"/>
        <v>86.818181818181813</v>
      </c>
      <c r="R23" s="15">
        <f t="shared" si="2"/>
        <v>11</v>
      </c>
      <c r="S23" s="15"/>
      <c r="T23" s="15"/>
    </row>
    <row r="24" spans="1:20" ht="20.100000000000001" customHeight="1" x14ac:dyDescent="0.25">
      <c r="A24" s="137">
        <v>21</v>
      </c>
      <c r="B24" s="142"/>
      <c r="C24" s="156">
        <v>16</v>
      </c>
      <c r="D24" s="156" t="s">
        <v>23</v>
      </c>
      <c r="E24" s="155">
        <v>68</v>
      </c>
      <c r="F24" s="47">
        <v>60</v>
      </c>
      <c r="G24" s="47">
        <v>37</v>
      </c>
      <c r="H24" s="47">
        <v>52</v>
      </c>
      <c r="I24" s="85">
        <v>50</v>
      </c>
      <c r="J24" s="47">
        <v>46</v>
      </c>
      <c r="K24" s="47">
        <v>45</v>
      </c>
      <c r="L24" s="47">
        <v>60</v>
      </c>
      <c r="M24" s="47">
        <v>57</v>
      </c>
      <c r="N24" s="47">
        <v>65</v>
      </c>
      <c r="O24" s="47">
        <v>76</v>
      </c>
      <c r="P24" s="58">
        <f t="shared" si="0"/>
        <v>616</v>
      </c>
      <c r="Q24" s="33">
        <f t="shared" si="1"/>
        <v>56</v>
      </c>
      <c r="R24" s="15">
        <f t="shared" si="2"/>
        <v>48</v>
      </c>
      <c r="S24" s="15"/>
      <c r="T24" s="15"/>
    </row>
    <row r="25" spans="1:20" ht="20.100000000000001" customHeight="1" x14ac:dyDescent="0.25">
      <c r="A25" s="121">
        <v>22</v>
      </c>
      <c r="B25" s="142"/>
      <c r="C25" s="156">
        <v>14</v>
      </c>
      <c r="D25" s="156" t="s">
        <v>23</v>
      </c>
      <c r="E25" s="155">
        <v>79</v>
      </c>
      <c r="F25" s="47">
        <v>58</v>
      </c>
      <c r="G25" s="47">
        <v>51</v>
      </c>
      <c r="H25" s="47">
        <v>63</v>
      </c>
      <c r="I25" s="85">
        <v>50</v>
      </c>
      <c r="J25" s="47">
        <v>60</v>
      </c>
      <c r="K25" s="47">
        <v>64</v>
      </c>
      <c r="L25" s="47">
        <v>68</v>
      </c>
      <c r="M25" s="47">
        <v>65</v>
      </c>
      <c r="N25" s="47">
        <v>93</v>
      </c>
      <c r="O25" s="47">
        <v>89</v>
      </c>
      <c r="P25" s="58">
        <f t="shared" si="0"/>
        <v>740</v>
      </c>
      <c r="Q25" s="33">
        <f t="shared" si="1"/>
        <v>67.272727272727266</v>
      </c>
      <c r="R25" s="15">
        <f t="shared" si="2"/>
        <v>32</v>
      </c>
      <c r="S25" s="15"/>
      <c r="T25" s="15"/>
    </row>
    <row r="26" spans="1:20" ht="20.100000000000001" customHeight="1" x14ac:dyDescent="0.25">
      <c r="A26" s="121">
        <v>23</v>
      </c>
      <c r="B26" s="142"/>
      <c r="C26" s="156">
        <v>14</v>
      </c>
      <c r="D26" s="156" t="s">
        <v>20</v>
      </c>
      <c r="E26" s="155">
        <v>95</v>
      </c>
      <c r="F26" s="47">
        <v>72</v>
      </c>
      <c r="G26" s="47">
        <v>95</v>
      </c>
      <c r="H26" s="47">
        <v>92</v>
      </c>
      <c r="I26" s="85">
        <v>89</v>
      </c>
      <c r="J26" s="47">
        <v>89</v>
      </c>
      <c r="K26" s="47">
        <v>85</v>
      </c>
      <c r="L26" s="47">
        <v>81</v>
      </c>
      <c r="M26" s="47">
        <v>88</v>
      </c>
      <c r="N26" s="47">
        <v>98</v>
      </c>
      <c r="O26" s="47">
        <v>91</v>
      </c>
      <c r="P26" s="58">
        <f t="shared" si="0"/>
        <v>975</v>
      </c>
      <c r="Q26" s="33">
        <f t="shared" si="1"/>
        <v>88.63636363636364</v>
      </c>
      <c r="R26" s="15">
        <f t="shared" si="2"/>
        <v>8</v>
      </c>
      <c r="S26" s="15"/>
      <c r="T26" s="15"/>
    </row>
    <row r="27" spans="1:20" ht="20.100000000000001" customHeight="1" x14ac:dyDescent="0.25">
      <c r="A27" s="137">
        <v>24</v>
      </c>
      <c r="B27" s="142"/>
      <c r="C27" s="156">
        <v>15</v>
      </c>
      <c r="D27" s="156" t="s">
        <v>23</v>
      </c>
      <c r="E27" s="155">
        <v>59</v>
      </c>
      <c r="F27" s="47">
        <v>72</v>
      </c>
      <c r="G27" s="47">
        <v>41</v>
      </c>
      <c r="H27" s="47">
        <v>53</v>
      </c>
      <c r="I27" s="85">
        <v>46</v>
      </c>
      <c r="J27" s="47">
        <v>57</v>
      </c>
      <c r="K27" s="47">
        <v>52</v>
      </c>
      <c r="L27" s="47">
        <v>54</v>
      </c>
      <c r="M27" s="47">
        <v>65</v>
      </c>
      <c r="N27" s="47">
        <v>89</v>
      </c>
      <c r="O27" s="47">
        <v>77</v>
      </c>
      <c r="P27" s="58">
        <f t="shared" si="0"/>
        <v>665</v>
      </c>
      <c r="Q27" s="33">
        <f t="shared" si="1"/>
        <v>60.454545454545453</v>
      </c>
      <c r="R27" s="15">
        <f t="shared" si="2"/>
        <v>45</v>
      </c>
      <c r="S27" s="15"/>
      <c r="T27" s="15"/>
    </row>
    <row r="28" spans="1:20" ht="20.100000000000001" customHeight="1" x14ac:dyDescent="0.25">
      <c r="A28" s="121">
        <v>25</v>
      </c>
      <c r="B28" s="142"/>
      <c r="C28" s="156">
        <v>17</v>
      </c>
      <c r="D28" s="156" t="s">
        <v>23</v>
      </c>
      <c r="E28" s="155">
        <v>96</v>
      </c>
      <c r="F28" s="47">
        <v>65</v>
      </c>
      <c r="G28" s="85">
        <v>78</v>
      </c>
      <c r="H28" s="47">
        <v>65</v>
      </c>
      <c r="I28" s="85">
        <v>84</v>
      </c>
      <c r="J28" s="47">
        <v>88</v>
      </c>
      <c r="K28" s="47">
        <v>76</v>
      </c>
      <c r="L28" s="47">
        <v>84</v>
      </c>
      <c r="M28" s="47">
        <v>88</v>
      </c>
      <c r="N28" s="47">
        <v>94</v>
      </c>
      <c r="O28" s="47">
        <v>91</v>
      </c>
      <c r="P28" s="58">
        <f t="shared" si="0"/>
        <v>909</v>
      </c>
      <c r="Q28" s="33">
        <f t="shared" si="1"/>
        <v>82.63636363636364</v>
      </c>
      <c r="R28" s="15">
        <f t="shared" si="2"/>
        <v>14</v>
      </c>
      <c r="S28" s="15"/>
      <c r="T28" s="15"/>
    </row>
    <row r="29" spans="1:20" ht="20.100000000000001" customHeight="1" x14ac:dyDescent="0.25">
      <c r="A29" s="137">
        <v>26</v>
      </c>
      <c r="B29" s="142"/>
      <c r="C29" s="156">
        <v>15</v>
      </c>
      <c r="D29" s="156" t="s">
        <v>23</v>
      </c>
      <c r="E29" s="155">
        <v>89</v>
      </c>
      <c r="F29" s="47">
        <v>78</v>
      </c>
      <c r="G29" s="85">
        <v>89</v>
      </c>
      <c r="H29" s="47">
        <v>100</v>
      </c>
      <c r="I29" s="85">
        <v>92</v>
      </c>
      <c r="J29" s="47">
        <v>95</v>
      </c>
      <c r="K29" s="47">
        <v>98</v>
      </c>
      <c r="L29" s="47">
        <v>88</v>
      </c>
      <c r="M29" s="47">
        <v>85</v>
      </c>
      <c r="N29" s="47">
        <v>100</v>
      </c>
      <c r="O29" s="47">
        <v>100</v>
      </c>
      <c r="P29" s="58">
        <f t="shared" si="0"/>
        <v>1014</v>
      </c>
      <c r="Q29" s="33">
        <f t="shared" si="1"/>
        <v>92.181818181818187</v>
      </c>
      <c r="R29" s="15">
        <f t="shared" si="2"/>
        <v>2</v>
      </c>
      <c r="S29" s="15"/>
      <c r="T29" s="15"/>
    </row>
    <row r="30" spans="1:20" ht="20.100000000000001" customHeight="1" x14ac:dyDescent="0.25">
      <c r="A30" s="137">
        <v>27</v>
      </c>
      <c r="B30" s="142"/>
      <c r="C30" s="156">
        <v>17</v>
      </c>
      <c r="D30" s="156" t="s">
        <v>23</v>
      </c>
      <c r="E30" s="155">
        <v>60</v>
      </c>
      <c r="F30" s="47">
        <v>71</v>
      </c>
      <c r="G30" s="85">
        <v>55</v>
      </c>
      <c r="H30" s="47">
        <v>60</v>
      </c>
      <c r="I30" s="85">
        <v>55</v>
      </c>
      <c r="J30" s="47">
        <v>58</v>
      </c>
      <c r="K30" s="47">
        <v>63</v>
      </c>
      <c r="L30" s="47">
        <v>63</v>
      </c>
      <c r="M30" s="47">
        <v>60</v>
      </c>
      <c r="N30" s="47">
        <v>80</v>
      </c>
      <c r="O30" s="47">
        <v>94</v>
      </c>
      <c r="P30" s="58">
        <f t="shared" si="0"/>
        <v>719</v>
      </c>
      <c r="Q30" s="33">
        <f t="shared" si="1"/>
        <v>65.36363636363636</v>
      </c>
      <c r="R30" s="15">
        <f t="shared" si="2"/>
        <v>38</v>
      </c>
      <c r="S30" s="15"/>
      <c r="T30" s="15"/>
    </row>
    <row r="31" spans="1:20" ht="20.100000000000001" customHeight="1" x14ac:dyDescent="0.25">
      <c r="A31" s="137">
        <v>28</v>
      </c>
      <c r="B31" s="142"/>
      <c r="C31" s="156">
        <v>16</v>
      </c>
      <c r="D31" s="156" t="s">
        <v>20</v>
      </c>
      <c r="E31" s="155">
        <v>93</v>
      </c>
      <c r="F31" s="47">
        <v>62</v>
      </c>
      <c r="G31" s="47">
        <v>85</v>
      </c>
      <c r="H31" s="47">
        <v>72</v>
      </c>
      <c r="I31" s="85">
        <v>75</v>
      </c>
      <c r="J31" s="47">
        <v>59</v>
      </c>
      <c r="K31" s="47">
        <v>54</v>
      </c>
      <c r="L31" s="47">
        <v>75</v>
      </c>
      <c r="M31" s="47">
        <v>68</v>
      </c>
      <c r="N31" s="47">
        <v>80</v>
      </c>
      <c r="O31" s="47">
        <v>80</v>
      </c>
      <c r="P31" s="58">
        <f t="shared" si="0"/>
        <v>803</v>
      </c>
      <c r="Q31" s="33">
        <f t="shared" si="1"/>
        <v>73</v>
      </c>
      <c r="R31" s="15">
        <f t="shared" si="2"/>
        <v>26</v>
      </c>
      <c r="S31" s="15"/>
      <c r="T31" s="15"/>
    </row>
    <row r="32" spans="1:20" ht="20.100000000000001" customHeight="1" x14ac:dyDescent="0.25">
      <c r="A32" s="121">
        <v>29</v>
      </c>
      <c r="B32" s="142"/>
      <c r="C32" s="156">
        <v>16</v>
      </c>
      <c r="D32" s="156" t="s">
        <v>23</v>
      </c>
      <c r="E32" s="155">
        <v>79</v>
      </c>
      <c r="F32" s="47">
        <v>65</v>
      </c>
      <c r="G32" s="47">
        <v>60</v>
      </c>
      <c r="H32" s="47">
        <v>57</v>
      </c>
      <c r="I32" s="47">
        <v>58</v>
      </c>
      <c r="J32" s="47">
        <v>70</v>
      </c>
      <c r="K32" s="47">
        <v>65</v>
      </c>
      <c r="L32" s="47">
        <v>80</v>
      </c>
      <c r="M32" s="47">
        <v>78</v>
      </c>
      <c r="N32" s="47">
        <v>93</v>
      </c>
      <c r="O32" s="47">
        <v>86</v>
      </c>
      <c r="P32" s="58">
        <f t="shared" si="0"/>
        <v>791</v>
      </c>
      <c r="Q32" s="33">
        <f t="shared" si="1"/>
        <v>71.909090909090907</v>
      </c>
      <c r="R32" s="15">
        <f t="shared" si="2"/>
        <v>28</v>
      </c>
      <c r="S32" s="15"/>
      <c r="T32" s="15"/>
    </row>
    <row r="33" spans="1:20" ht="20.100000000000001" customHeight="1" x14ac:dyDescent="0.25">
      <c r="A33" s="137">
        <v>30</v>
      </c>
      <c r="B33" s="159"/>
      <c r="C33" s="160">
        <v>16</v>
      </c>
      <c r="D33" s="160" t="s">
        <v>23</v>
      </c>
      <c r="E33" s="155">
        <v>87</v>
      </c>
      <c r="F33" s="47">
        <v>76</v>
      </c>
      <c r="G33" s="47">
        <v>76</v>
      </c>
      <c r="H33" s="47">
        <v>72</v>
      </c>
      <c r="I33" s="85">
        <v>59</v>
      </c>
      <c r="J33" s="47">
        <v>79</v>
      </c>
      <c r="K33" s="47">
        <v>67</v>
      </c>
      <c r="L33" s="47">
        <v>57</v>
      </c>
      <c r="M33" s="47">
        <v>82</v>
      </c>
      <c r="N33" s="47">
        <v>71</v>
      </c>
      <c r="O33" s="47">
        <v>85</v>
      </c>
      <c r="P33" s="58">
        <f t="shared" si="0"/>
        <v>811</v>
      </c>
      <c r="Q33" s="33">
        <f t="shared" si="1"/>
        <v>73.727272727272734</v>
      </c>
      <c r="R33" s="15">
        <f t="shared" si="2"/>
        <v>24</v>
      </c>
      <c r="S33" s="15"/>
      <c r="T33" s="15"/>
    </row>
    <row r="34" spans="1:20" ht="20.100000000000001" customHeight="1" x14ac:dyDescent="0.25">
      <c r="A34" s="121">
        <v>31</v>
      </c>
      <c r="B34" s="142"/>
      <c r="C34" s="156">
        <v>16</v>
      </c>
      <c r="D34" s="156" t="s">
        <v>23</v>
      </c>
      <c r="E34" s="155">
        <v>85</v>
      </c>
      <c r="F34" s="47">
        <v>56</v>
      </c>
      <c r="G34" s="47">
        <v>69</v>
      </c>
      <c r="H34" s="47">
        <v>70</v>
      </c>
      <c r="I34" s="85">
        <v>61</v>
      </c>
      <c r="J34" s="47">
        <v>77</v>
      </c>
      <c r="K34" s="47">
        <v>69</v>
      </c>
      <c r="L34" s="47">
        <v>67</v>
      </c>
      <c r="M34" s="47">
        <v>77</v>
      </c>
      <c r="N34" s="47">
        <v>90</v>
      </c>
      <c r="O34" s="47">
        <v>87</v>
      </c>
      <c r="P34" s="58">
        <f t="shared" si="0"/>
        <v>808</v>
      </c>
      <c r="Q34" s="33">
        <f t="shared" si="1"/>
        <v>73.454545454545453</v>
      </c>
      <c r="R34" s="15">
        <f t="shared" si="2"/>
        <v>25</v>
      </c>
      <c r="S34" s="15"/>
      <c r="T34" s="15"/>
    </row>
    <row r="35" spans="1:20" ht="20.100000000000001" customHeight="1" x14ac:dyDescent="0.25">
      <c r="A35" s="121">
        <v>32</v>
      </c>
      <c r="B35" s="142"/>
      <c r="C35" s="156">
        <v>16</v>
      </c>
      <c r="D35" s="156" t="s">
        <v>23</v>
      </c>
      <c r="E35" s="155">
        <v>76</v>
      </c>
      <c r="F35" s="47">
        <v>81</v>
      </c>
      <c r="G35" s="47">
        <v>60</v>
      </c>
      <c r="H35" s="47">
        <v>71</v>
      </c>
      <c r="I35" s="85">
        <v>59</v>
      </c>
      <c r="J35" s="47">
        <v>79</v>
      </c>
      <c r="K35" s="47">
        <v>72</v>
      </c>
      <c r="L35" s="47">
        <v>75</v>
      </c>
      <c r="M35" s="47">
        <v>80</v>
      </c>
      <c r="N35" s="47">
        <v>98</v>
      </c>
      <c r="O35" s="47">
        <v>88</v>
      </c>
      <c r="P35" s="58">
        <f t="shared" si="0"/>
        <v>839</v>
      </c>
      <c r="Q35" s="33">
        <f t="shared" si="1"/>
        <v>76.272727272727266</v>
      </c>
      <c r="R35" s="15">
        <f t="shared" si="2"/>
        <v>22</v>
      </c>
      <c r="S35" s="15"/>
      <c r="T35" s="15"/>
    </row>
    <row r="36" spans="1:20" ht="20.100000000000001" customHeight="1" x14ac:dyDescent="0.25">
      <c r="A36" s="121">
        <v>33</v>
      </c>
      <c r="B36" s="142"/>
      <c r="C36" s="156">
        <v>16</v>
      </c>
      <c r="D36" s="156" t="s">
        <v>23</v>
      </c>
      <c r="E36" s="155">
        <v>79</v>
      </c>
      <c r="F36" s="47">
        <v>66</v>
      </c>
      <c r="G36" s="47">
        <v>74</v>
      </c>
      <c r="H36" s="47">
        <v>60</v>
      </c>
      <c r="I36" s="85">
        <v>53</v>
      </c>
      <c r="J36" s="47">
        <v>49</v>
      </c>
      <c r="K36" s="47">
        <v>63</v>
      </c>
      <c r="L36" s="47">
        <v>61</v>
      </c>
      <c r="M36" s="47">
        <v>70</v>
      </c>
      <c r="N36" s="47">
        <v>72</v>
      </c>
      <c r="O36" s="47">
        <v>80</v>
      </c>
      <c r="P36" s="58">
        <f t="shared" si="0"/>
        <v>727</v>
      </c>
      <c r="Q36" s="33">
        <f t="shared" si="1"/>
        <v>66.090909090909093</v>
      </c>
      <c r="R36" s="15">
        <f t="shared" si="2"/>
        <v>35</v>
      </c>
      <c r="S36" s="15"/>
      <c r="T36" s="15"/>
    </row>
    <row r="37" spans="1:20" ht="20.100000000000001" customHeight="1" x14ac:dyDescent="0.25">
      <c r="A37" s="137">
        <v>34</v>
      </c>
      <c r="B37" s="142"/>
      <c r="C37" s="156">
        <v>16</v>
      </c>
      <c r="D37" s="156" t="s">
        <v>23</v>
      </c>
      <c r="E37" s="155">
        <v>70</v>
      </c>
      <c r="F37" s="47">
        <v>60</v>
      </c>
      <c r="G37" s="47">
        <v>75</v>
      </c>
      <c r="H37" s="47">
        <v>68</v>
      </c>
      <c r="I37" s="85">
        <v>66</v>
      </c>
      <c r="J37" s="47">
        <v>58</v>
      </c>
      <c r="K37" s="47">
        <v>58</v>
      </c>
      <c r="L37" s="47">
        <v>68</v>
      </c>
      <c r="M37" s="47">
        <v>68</v>
      </c>
      <c r="N37" s="47">
        <v>88</v>
      </c>
      <c r="O37" s="47">
        <v>85</v>
      </c>
      <c r="P37" s="58">
        <f t="shared" si="0"/>
        <v>764</v>
      </c>
      <c r="Q37" s="33">
        <f t="shared" si="1"/>
        <v>69.454545454545453</v>
      </c>
      <c r="R37" s="15">
        <f t="shared" si="2"/>
        <v>31</v>
      </c>
      <c r="S37" s="15"/>
      <c r="T37" s="15"/>
    </row>
    <row r="38" spans="1:20" ht="20.100000000000001" customHeight="1" x14ac:dyDescent="0.25">
      <c r="A38" s="137">
        <v>35</v>
      </c>
      <c r="B38" s="142"/>
      <c r="C38" s="156">
        <v>16</v>
      </c>
      <c r="D38" s="156" t="s">
        <v>20</v>
      </c>
      <c r="E38" s="155">
        <v>80</v>
      </c>
      <c r="F38" s="47">
        <v>56</v>
      </c>
      <c r="G38" s="47">
        <v>50</v>
      </c>
      <c r="H38" s="47">
        <v>56</v>
      </c>
      <c r="I38" s="85">
        <v>51</v>
      </c>
      <c r="J38" s="47">
        <v>59</v>
      </c>
      <c r="K38" s="47">
        <v>57</v>
      </c>
      <c r="L38" s="47">
        <v>66</v>
      </c>
      <c r="M38" s="47">
        <v>62</v>
      </c>
      <c r="N38" s="47">
        <v>65</v>
      </c>
      <c r="O38" s="47">
        <v>78</v>
      </c>
      <c r="P38" s="58">
        <f t="shared" si="0"/>
        <v>680</v>
      </c>
      <c r="Q38" s="33">
        <f t="shared" si="1"/>
        <v>61.81818181818182</v>
      </c>
      <c r="R38" s="15">
        <f t="shared" si="2"/>
        <v>41</v>
      </c>
      <c r="S38" s="15"/>
      <c r="T38" s="15"/>
    </row>
    <row r="39" spans="1:20" ht="20.100000000000001" customHeight="1" x14ac:dyDescent="0.25">
      <c r="A39" s="137">
        <v>36</v>
      </c>
      <c r="B39" s="142"/>
      <c r="C39" s="156">
        <v>15</v>
      </c>
      <c r="D39" s="156" t="s">
        <v>23</v>
      </c>
      <c r="E39" s="155">
        <v>87</v>
      </c>
      <c r="F39" s="47">
        <v>69</v>
      </c>
      <c r="G39" s="47">
        <v>77</v>
      </c>
      <c r="H39" s="47">
        <v>68</v>
      </c>
      <c r="I39" s="85">
        <v>70</v>
      </c>
      <c r="J39" s="47">
        <v>67</v>
      </c>
      <c r="K39" s="47">
        <v>82</v>
      </c>
      <c r="L39" s="47">
        <v>65</v>
      </c>
      <c r="M39" s="47">
        <v>73</v>
      </c>
      <c r="N39" s="47">
        <v>96</v>
      </c>
      <c r="O39" s="47">
        <v>91</v>
      </c>
      <c r="P39" s="58">
        <f t="shared" si="0"/>
        <v>845</v>
      </c>
      <c r="Q39" s="33">
        <f t="shared" si="1"/>
        <v>76.818181818181813</v>
      </c>
      <c r="R39" s="15">
        <f t="shared" si="2"/>
        <v>21</v>
      </c>
      <c r="S39" s="15"/>
      <c r="T39" s="15"/>
    </row>
    <row r="40" spans="1:20" ht="20.100000000000001" customHeight="1" x14ac:dyDescent="0.25">
      <c r="A40" s="121">
        <v>37</v>
      </c>
      <c r="B40" s="142"/>
      <c r="C40" s="156">
        <v>16</v>
      </c>
      <c r="D40" s="156" t="s">
        <v>20</v>
      </c>
      <c r="E40" s="155">
        <v>93</v>
      </c>
      <c r="F40" s="47">
        <v>90</v>
      </c>
      <c r="G40" s="47">
        <v>85</v>
      </c>
      <c r="H40" s="47">
        <v>85</v>
      </c>
      <c r="I40" s="85">
        <v>82</v>
      </c>
      <c r="J40" s="47">
        <v>94</v>
      </c>
      <c r="K40" s="47">
        <v>86</v>
      </c>
      <c r="L40" s="47">
        <v>83</v>
      </c>
      <c r="M40" s="47">
        <v>89</v>
      </c>
      <c r="N40" s="47">
        <v>98</v>
      </c>
      <c r="O40" s="47">
        <v>91</v>
      </c>
      <c r="P40" s="58">
        <f t="shared" si="0"/>
        <v>976</v>
      </c>
      <c r="Q40" s="33">
        <f t="shared" si="1"/>
        <v>88.727272727272734</v>
      </c>
      <c r="R40" s="15">
        <f t="shared" si="2"/>
        <v>7</v>
      </c>
      <c r="S40" s="15"/>
      <c r="T40" s="15"/>
    </row>
    <row r="41" spans="1:20" ht="20.100000000000001" customHeight="1" x14ac:dyDescent="0.25">
      <c r="A41" s="121">
        <v>38</v>
      </c>
      <c r="B41" s="161"/>
      <c r="C41" s="156">
        <v>15</v>
      </c>
      <c r="D41" s="156" t="s">
        <v>20</v>
      </c>
      <c r="E41" s="155">
        <v>92</v>
      </c>
      <c r="F41" s="47">
        <v>87</v>
      </c>
      <c r="G41" s="47">
        <v>90</v>
      </c>
      <c r="H41" s="47">
        <v>95</v>
      </c>
      <c r="I41" s="85">
        <v>87</v>
      </c>
      <c r="J41" s="47">
        <v>91</v>
      </c>
      <c r="K41" s="47">
        <v>89</v>
      </c>
      <c r="L41" s="47">
        <v>96</v>
      </c>
      <c r="M41" s="47">
        <v>90</v>
      </c>
      <c r="N41" s="47">
        <v>100</v>
      </c>
      <c r="O41" s="47">
        <v>97</v>
      </c>
      <c r="P41" s="58">
        <f t="shared" si="0"/>
        <v>1014</v>
      </c>
      <c r="Q41" s="33">
        <f t="shared" si="1"/>
        <v>92.181818181818187</v>
      </c>
      <c r="R41" s="15">
        <f t="shared" si="2"/>
        <v>2</v>
      </c>
      <c r="S41" s="15"/>
      <c r="T41" s="15"/>
    </row>
    <row r="42" spans="1:20" ht="20.100000000000001" customHeight="1" x14ac:dyDescent="0.25">
      <c r="A42" s="137">
        <v>39</v>
      </c>
      <c r="B42" s="142"/>
      <c r="C42" s="156">
        <v>15</v>
      </c>
      <c r="D42" s="156" t="s">
        <v>20</v>
      </c>
      <c r="E42" s="155">
        <v>85</v>
      </c>
      <c r="F42" s="47">
        <v>84</v>
      </c>
      <c r="G42" s="47">
        <v>81</v>
      </c>
      <c r="H42" s="47">
        <v>77</v>
      </c>
      <c r="I42" s="85">
        <v>67</v>
      </c>
      <c r="J42" s="47">
        <v>83</v>
      </c>
      <c r="K42" s="47">
        <v>74</v>
      </c>
      <c r="L42" s="47">
        <v>76</v>
      </c>
      <c r="M42" s="47">
        <v>87</v>
      </c>
      <c r="N42" s="47">
        <v>92</v>
      </c>
      <c r="O42" s="47">
        <v>94</v>
      </c>
      <c r="P42" s="58">
        <f t="shared" si="0"/>
        <v>900</v>
      </c>
      <c r="Q42" s="33">
        <f t="shared" si="1"/>
        <v>81.818181818181813</v>
      </c>
      <c r="R42" s="15">
        <f t="shared" si="2"/>
        <v>17</v>
      </c>
      <c r="S42" s="15"/>
      <c r="T42" s="15"/>
    </row>
    <row r="43" spans="1:20" ht="20.100000000000001" customHeight="1" x14ac:dyDescent="0.25">
      <c r="A43" s="121">
        <v>40</v>
      </c>
      <c r="B43" s="142"/>
      <c r="C43" s="156">
        <v>16</v>
      </c>
      <c r="D43" s="156" t="s">
        <v>20</v>
      </c>
      <c r="E43" s="155">
        <v>95</v>
      </c>
      <c r="F43" s="47">
        <v>73</v>
      </c>
      <c r="G43" s="47">
        <v>82</v>
      </c>
      <c r="H43" s="47">
        <v>91</v>
      </c>
      <c r="I43" s="85">
        <v>83</v>
      </c>
      <c r="J43" s="47">
        <v>91</v>
      </c>
      <c r="K43" s="47">
        <v>80</v>
      </c>
      <c r="L43" s="47">
        <v>83</v>
      </c>
      <c r="M43" s="47">
        <v>87</v>
      </c>
      <c r="N43" s="47">
        <v>98</v>
      </c>
      <c r="O43" s="47">
        <v>96</v>
      </c>
      <c r="P43" s="58">
        <f t="shared" si="0"/>
        <v>959</v>
      </c>
      <c r="Q43" s="33">
        <f t="shared" si="1"/>
        <v>87.181818181818187</v>
      </c>
      <c r="R43" s="15">
        <f t="shared" si="2"/>
        <v>10</v>
      </c>
      <c r="S43" s="15"/>
      <c r="T43" s="15"/>
    </row>
    <row r="44" spans="1:20" ht="20.100000000000001" customHeight="1" x14ac:dyDescent="0.25">
      <c r="A44" s="137">
        <v>41</v>
      </c>
      <c r="B44" s="142"/>
      <c r="C44" s="156">
        <v>16</v>
      </c>
      <c r="D44" s="156" t="s">
        <v>20</v>
      </c>
      <c r="E44" s="155">
        <v>92</v>
      </c>
      <c r="F44" s="47">
        <v>84</v>
      </c>
      <c r="G44" s="47">
        <v>82</v>
      </c>
      <c r="H44" s="47">
        <v>81</v>
      </c>
      <c r="I44" s="85">
        <v>76</v>
      </c>
      <c r="J44" s="47">
        <v>85</v>
      </c>
      <c r="K44" s="47">
        <v>84</v>
      </c>
      <c r="L44" s="47">
        <v>90</v>
      </c>
      <c r="M44" s="47">
        <v>88</v>
      </c>
      <c r="N44" s="47">
        <v>92</v>
      </c>
      <c r="O44" s="47">
        <v>92</v>
      </c>
      <c r="P44" s="58">
        <f t="shared" si="0"/>
        <v>946</v>
      </c>
      <c r="Q44" s="33">
        <f t="shared" si="1"/>
        <v>86</v>
      </c>
      <c r="R44" s="15">
        <f t="shared" si="2"/>
        <v>12</v>
      </c>
      <c r="S44" s="15"/>
      <c r="T44" s="15"/>
    </row>
    <row r="45" spans="1:20" ht="20.100000000000001" customHeight="1" x14ac:dyDescent="0.25">
      <c r="A45" s="137">
        <v>42</v>
      </c>
      <c r="B45" s="142"/>
      <c r="C45" s="156">
        <v>15</v>
      </c>
      <c r="D45" s="156" t="s">
        <v>20</v>
      </c>
      <c r="E45" s="155">
        <v>67</v>
      </c>
      <c r="F45" s="47">
        <v>64</v>
      </c>
      <c r="G45" s="47">
        <v>52</v>
      </c>
      <c r="H45" s="47">
        <v>53</v>
      </c>
      <c r="I45" s="85">
        <v>56</v>
      </c>
      <c r="J45" s="47">
        <v>69</v>
      </c>
      <c r="K45" s="47">
        <v>61</v>
      </c>
      <c r="L45" s="47">
        <v>61</v>
      </c>
      <c r="M45" s="47">
        <v>71</v>
      </c>
      <c r="N45" s="47">
        <v>96</v>
      </c>
      <c r="O45" s="47">
        <v>85</v>
      </c>
      <c r="P45" s="58">
        <f t="shared" si="0"/>
        <v>735</v>
      </c>
      <c r="Q45" s="33">
        <f t="shared" si="1"/>
        <v>66.818181818181813</v>
      </c>
      <c r="R45" s="15">
        <f t="shared" si="2"/>
        <v>33</v>
      </c>
      <c r="S45" s="15"/>
      <c r="T45" s="15"/>
    </row>
    <row r="46" spans="1:20" ht="20.100000000000001" customHeight="1" x14ac:dyDescent="0.3">
      <c r="A46" s="137">
        <v>43</v>
      </c>
      <c r="B46" s="142"/>
      <c r="C46" s="156">
        <v>16</v>
      </c>
      <c r="D46" s="156" t="s">
        <v>23</v>
      </c>
      <c r="E46" s="155">
        <v>83</v>
      </c>
      <c r="F46" s="47">
        <v>51</v>
      </c>
      <c r="G46" s="87">
        <v>60</v>
      </c>
      <c r="H46" s="47">
        <v>70</v>
      </c>
      <c r="I46" s="85">
        <v>72</v>
      </c>
      <c r="J46" s="47">
        <v>81</v>
      </c>
      <c r="K46" s="47">
        <v>68</v>
      </c>
      <c r="L46" s="47">
        <v>80</v>
      </c>
      <c r="M46" s="47">
        <v>64</v>
      </c>
      <c r="N46" s="47">
        <v>81</v>
      </c>
      <c r="O46" s="47">
        <v>86</v>
      </c>
      <c r="P46" s="58">
        <f t="shared" si="0"/>
        <v>796</v>
      </c>
      <c r="Q46" s="33">
        <f t="shared" si="1"/>
        <v>72.36363636363636</v>
      </c>
      <c r="R46" s="15">
        <f t="shared" si="2"/>
        <v>27</v>
      </c>
      <c r="S46" s="15"/>
      <c r="T46" s="15"/>
    </row>
    <row r="47" spans="1:20" ht="20.100000000000001" customHeight="1" x14ac:dyDescent="0.3">
      <c r="A47" s="121">
        <v>44</v>
      </c>
      <c r="B47" s="142"/>
      <c r="C47" s="156">
        <v>15</v>
      </c>
      <c r="D47" s="156" t="s">
        <v>23</v>
      </c>
      <c r="E47" s="155">
        <v>90</v>
      </c>
      <c r="F47" s="47">
        <v>69</v>
      </c>
      <c r="G47" s="87">
        <v>86</v>
      </c>
      <c r="H47" s="47">
        <v>78</v>
      </c>
      <c r="I47" s="85">
        <v>79</v>
      </c>
      <c r="J47" s="47">
        <v>81</v>
      </c>
      <c r="K47" s="47">
        <v>76</v>
      </c>
      <c r="L47" s="47">
        <v>76</v>
      </c>
      <c r="M47" s="47">
        <v>86</v>
      </c>
      <c r="N47" s="47">
        <v>94</v>
      </c>
      <c r="O47" s="47">
        <v>91</v>
      </c>
      <c r="P47" s="58">
        <f t="shared" si="0"/>
        <v>906</v>
      </c>
      <c r="Q47" s="33">
        <f t="shared" si="1"/>
        <v>82.36363636363636</v>
      </c>
      <c r="R47" s="15">
        <f t="shared" si="2"/>
        <v>16</v>
      </c>
      <c r="S47" s="15"/>
      <c r="T47" s="15"/>
    </row>
    <row r="48" spans="1:20" ht="20.100000000000001" customHeight="1" x14ac:dyDescent="0.3">
      <c r="A48" s="137">
        <v>45</v>
      </c>
      <c r="B48" s="142"/>
      <c r="C48" s="156">
        <v>16</v>
      </c>
      <c r="D48" s="156" t="s">
        <v>23</v>
      </c>
      <c r="E48" s="155">
        <v>89</v>
      </c>
      <c r="F48" s="47">
        <v>93</v>
      </c>
      <c r="G48" s="87">
        <v>89</v>
      </c>
      <c r="H48" s="47">
        <v>87</v>
      </c>
      <c r="I48" s="85">
        <v>86</v>
      </c>
      <c r="J48" s="47">
        <v>98</v>
      </c>
      <c r="K48" s="47">
        <v>82</v>
      </c>
      <c r="L48" s="47">
        <v>91</v>
      </c>
      <c r="M48" s="47">
        <v>95</v>
      </c>
      <c r="N48" s="47">
        <v>100</v>
      </c>
      <c r="O48" s="47">
        <v>90</v>
      </c>
      <c r="P48" s="58">
        <f t="shared" si="0"/>
        <v>1000</v>
      </c>
      <c r="Q48" s="33">
        <f t="shared" si="1"/>
        <v>90.909090909090907</v>
      </c>
      <c r="R48" s="15">
        <f t="shared" si="2"/>
        <v>5</v>
      </c>
      <c r="S48" s="15"/>
      <c r="T48" s="15"/>
    </row>
    <row r="49" spans="1:20" ht="20.100000000000001" customHeight="1" x14ac:dyDescent="0.25">
      <c r="A49" s="121">
        <v>46</v>
      </c>
      <c r="B49" s="142"/>
      <c r="C49" s="156">
        <v>16</v>
      </c>
      <c r="D49" s="156" t="s">
        <v>23</v>
      </c>
      <c r="E49" s="155">
        <v>84</v>
      </c>
      <c r="F49" s="47">
        <v>76</v>
      </c>
      <c r="G49" s="47">
        <v>81</v>
      </c>
      <c r="H49" s="47">
        <v>71</v>
      </c>
      <c r="I49" s="85">
        <v>79</v>
      </c>
      <c r="J49" s="47">
        <v>76</v>
      </c>
      <c r="K49" s="47">
        <v>78</v>
      </c>
      <c r="L49" s="47">
        <v>74</v>
      </c>
      <c r="M49" s="47">
        <v>81</v>
      </c>
      <c r="N49" s="47">
        <v>90</v>
      </c>
      <c r="O49" s="47">
        <v>81</v>
      </c>
      <c r="P49" s="58">
        <f t="shared" si="0"/>
        <v>871</v>
      </c>
      <c r="Q49" s="33">
        <f t="shared" si="1"/>
        <v>79.181818181818187</v>
      </c>
      <c r="R49" s="15">
        <f t="shared" si="2"/>
        <v>19</v>
      </c>
      <c r="S49" s="15"/>
      <c r="T49" s="15"/>
    </row>
    <row r="50" spans="1:20" ht="20.100000000000001" customHeight="1" x14ac:dyDescent="0.25">
      <c r="A50" s="121">
        <v>47</v>
      </c>
      <c r="B50" s="142"/>
      <c r="C50" s="156">
        <v>15</v>
      </c>
      <c r="D50" s="156" t="s">
        <v>20</v>
      </c>
      <c r="E50" s="155">
        <v>74</v>
      </c>
      <c r="F50" s="47">
        <v>46</v>
      </c>
      <c r="G50" s="47">
        <v>71</v>
      </c>
      <c r="H50" s="47">
        <v>62</v>
      </c>
      <c r="I50" s="47">
        <v>51</v>
      </c>
      <c r="J50" s="47">
        <v>48</v>
      </c>
      <c r="K50" s="47">
        <v>46</v>
      </c>
      <c r="L50" s="47">
        <v>64</v>
      </c>
      <c r="M50" s="47">
        <v>56</v>
      </c>
      <c r="N50" s="47">
        <v>78</v>
      </c>
      <c r="O50" s="47">
        <v>84</v>
      </c>
      <c r="P50" s="58">
        <f t="shared" si="0"/>
        <v>680</v>
      </c>
      <c r="Q50" s="33">
        <f t="shared" si="1"/>
        <v>61.81818181818182</v>
      </c>
      <c r="R50" s="15">
        <f t="shared" si="2"/>
        <v>41</v>
      </c>
      <c r="S50" s="15"/>
      <c r="T50" s="15"/>
    </row>
    <row r="51" spans="1:20" ht="20.100000000000001" customHeight="1" x14ac:dyDescent="0.25">
      <c r="A51" s="121">
        <v>48</v>
      </c>
      <c r="B51" s="142"/>
      <c r="C51" s="156">
        <v>16</v>
      </c>
      <c r="D51" s="156" t="s">
        <v>20</v>
      </c>
      <c r="E51" s="155">
        <v>66</v>
      </c>
      <c r="F51" s="47">
        <v>69</v>
      </c>
      <c r="G51" s="47">
        <v>66</v>
      </c>
      <c r="H51" s="47">
        <v>73</v>
      </c>
      <c r="I51" s="85">
        <v>64</v>
      </c>
      <c r="J51" s="47">
        <v>70</v>
      </c>
      <c r="K51" s="47">
        <v>61</v>
      </c>
      <c r="L51" s="47">
        <v>66</v>
      </c>
      <c r="M51" s="47">
        <v>59</v>
      </c>
      <c r="N51" s="47">
        <v>88</v>
      </c>
      <c r="O51" s="47">
        <v>88</v>
      </c>
      <c r="P51" s="58">
        <f t="shared" si="0"/>
        <v>770</v>
      </c>
      <c r="Q51" s="33">
        <f t="shared" si="1"/>
        <v>70</v>
      </c>
      <c r="R51" s="15">
        <f t="shared" si="2"/>
        <v>30</v>
      </c>
      <c r="S51" s="15"/>
      <c r="T51" s="15"/>
    </row>
    <row r="52" spans="1:20" ht="19.5" customHeight="1" x14ac:dyDescent="0.25">
      <c r="A52" s="137">
        <v>49</v>
      </c>
      <c r="B52" s="142"/>
      <c r="C52" s="156">
        <v>15</v>
      </c>
      <c r="D52" s="156" t="s">
        <v>20</v>
      </c>
      <c r="E52" s="155">
        <v>88</v>
      </c>
      <c r="F52" s="47">
        <v>77</v>
      </c>
      <c r="G52" s="47">
        <v>87</v>
      </c>
      <c r="H52" s="47">
        <v>91</v>
      </c>
      <c r="I52" s="85">
        <v>94</v>
      </c>
      <c r="J52" s="47">
        <v>97</v>
      </c>
      <c r="K52" s="47">
        <v>91</v>
      </c>
      <c r="L52" s="47">
        <v>93</v>
      </c>
      <c r="M52" s="47">
        <v>90</v>
      </c>
      <c r="N52" s="47">
        <v>99</v>
      </c>
      <c r="O52" s="47">
        <v>100</v>
      </c>
      <c r="P52" s="58">
        <f t="shared" si="0"/>
        <v>1007</v>
      </c>
      <c r="Q52" s="33">
        <f t="shared" si="1"/>
        <v>91.545454545454547</v>
      </c>
      <c r="R52" s="15">
        <f t="shared" si="2"/>
        <v>4</v>
      </c>
      <c r="S52" s="15"/>
      <c r="T52" s="15"/>
    </row>
    <row r="53" spans="1:20" ht="19.5" customHeight="1" x14ac:dyDescent="0.25">
      <c r="A53" s="157">
        <v>50</v>
      </c>
      <c r="B53" s="142"/>
      <c r="C53" s="156">
        <v>15</v>
      </c>
      <c r="D53" s="156" t="s">
        <v>20</v>
      </c>
      <c r="E53" s="158">
        <v>96</v>
      </c>
      <c r="F53" s="98">
        <v>69</v>
      </c>
      <c r="G53" s="98">
        <v>55</v>
      </c>
      <c r="H53" s="98">
        <v>80</v>
      </c>
      <c r="I53" s="98">
        <v>67</v>
      </c>
      <c r="J53" s="98">
        <v>77</v>
      </c>
      <c r="K53" s="98">
        <v>76</v>
      </c>
      <c r="L53" s="98">
        <v>70</v>
      </c>
      <c r="M53" s="98">
        <v>76</v>
      </c>
      <c r="N53" s="98">
        <v>90</v>
      </c>
      <c r="O53" s="98">
        <v>91</v>
      </c>
      <c r="P53" s="58">
        <f t="shared" si="0"/>
        <v>847</v>
      </c>
      <c r="Q53" s="33">
        <f t="shared" si="1"/>
        <v>77</v>
      </c>
      <c r="R53" s="15">
        <f t="shared" si="2"/>
        <v>20</v>
      </c>
      <c r="S53" s="98"/>
      <c r="T53" s="98"/>
    </row>
    <row r="54" spans="1:20" ht="19.5" customHeight="1" x14ac:dyDescent="0.25">
      <c r="A54" s="157">
        <v>51</v>
      </c>
      <c r="B54" s="126"/>
      <c r="C54" s="164"/>
      <c r="D54" s="164"/>
      <c r="E54" s="158"/>
      <c r="F54" s="98"/>
      <c r="G54" s="98"/>
      <c r="H54" s="98"/>
      <c r="I54" s="98"/>
      <c r="J54" s="98"/>
      <c r="K54" s="98"/>
      <c r="L54" s="98"/>
      <c r="M54" s="98"/>
      <c r="N54" s="98"/>
      <c r="O54" s="98"/>
      <c r="P54" s="58"/>
      <c r="Q54" s="33"/>
      <c r="R54" s="15"/>
      <c r="S54" s="98"/>
      <c r="T54" s="98"/>
    </row>
    <row r="55" spans="1:20" ht="19.5" customHeight="1" x14ac:dyDescent="0.25">
      <c r="A55" s="162">
        <v>52</v>
      </c>
      <c r="B55" s="165"/>
      <c r="C55" s="166"/>
      <c r="D55" s="166"/>
      <c r="E55" s="163"/>
      <c r="F55" s="114"/>
      <c r="G55" s="114"/>
      <c r="H55" s="114"/>
      <c r="I55" s="114"/>
      <c r="J55" s="114"/>
      <c r="K55" s="114"/>
      <c r="L55" s="114"/>
      <c r="M55" s="114"/>
      <c r="N55" s="114"/>
      <c r="O55" s="114"/>
      <c r="P55" s="115"/>
      <c r="Q55" s="116"/>
      <c r="R55" s="117"/>
      <c r="S55" s="114"/>
      <c r="T55" s="114"/>
    </row>
    <row r="56" spans="1:20" ht="19.5" customHeight="1" x14ac:dyDescent="0.25">
      <c r="A56" s="91">
        <v>53</v>
      </c>
      <c r="B56" s="112"/>
      <c r="C56" s="112"/>
      <c r="D56" s="112"/>
      <c r="E56" s="20"/>
      <c r="F56" s="20"/>
      <c r="G56" s="20"/>
      <c r="H56" s="20"/>
      <c r="I56" s="20"/>
      <c r="J56" s="20"/>
      <c r="K56" s="20"/>
      <c r="L56" s="20"/>
      <c r="M56" s="20"/>
      <c r="N56" s="20"/>
      <c r="O56" s="20"/>
      <c r="P56" s="15"/>
      <c r="Q56" s="15"/>
      <c r="R56" s="15"/>
      <c r="S56" s="15"/>
      <c r="T56" s="15"/>
    </row>
    <row r="57" spans="1:20" ht="19.5" customHeight="1" x14ac:dyDescent="0.25">
      <c r="A57" s="113">
        <v>54</v>
      </c>
      <c r="B57" s="112"/>
      <c r="C57" s="112"/>
      <c r="D57" s="112"/>
      <c r="E57" s="20"/>
      <c r="F57" s="20"/>
      <c r="G57" s="20"/>
      <c r="H57" s="20"/>
      <c r="I57" s="20"/>
      <c r="J57" s="20"/>
      <c r="K57" s="20"/>
      <c r="L57" s="20"/>
      <c r="M57" s="20"/>
      <c r="N57" s="20"/>
      <c r="O57" s="20"/>
      <c r="P57" s="15"/>
      <c r="Q57" s="15"/>
      <c r="R57" s="15"/>
      <c r="S57" s="15"/>
      <c r="T57" s="15"/>
    </row>
    <row r="58" spans="1:20" ht="19.5" customHeight="1" x14ac:dyDescent="0.25">
      <c r="A58" s="91">
        <v>55</v>
      </c>
      <c r="B58" s="112"/>
      <c r="C58" s="112"/>
      <c r="D58" s="112"/>
      <c r="E58" s="20"/>
      <c r="F58" s="20"/>
      <c r="G58" s="20"/>
      <c r="H58" s="20"/>
      <c r="I58" s="20"/>
      <c r="J58" s="20"/>
      <c r="K58" s="20"/>
      <c r="L58" s="20"/>
      <c r="M58" s="20"/>
      <c r="N58" s="20"/>
      <c r="O58" s="20"/>
      <c r="P58" s="15"/>
      <c r="Q58" s="15"/>
      <c r="R58" s="15"/>
      <c r="S58" s="15"/>
      <c r="T58" s="15"/>
    </row>
  </sheetData>
  <mergeCells count="2">
    <mergeCell ref="A1:T1"/>
    <mergeCell ref="A2:T2"/>
  </mergeCells>
  <conditionalFormatting sqref="E4:O53">
    <cfRule type="cellIs" dxfId="6" priority="1" operator="lessThan">
      <formula>50</formula>
    </cfRule>
  </conditionalFormatting>
  <pageMargins left="0.7" right="0.7" top="0.75" bottom="0.75" header="0.3" footer="0.3"/>
  <pageSetup paperSize="9" scale="73" fitToHeight="0" orientation="landscape"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58"/>
  <sheetViews>
    <sheetView workbookViewId="0">
      <selection activeCell="B4" sqref="B4:B53"/>
    </sheetView>
  </sheetViews>
  <sheetFormatPr defaultRowHeight="15" x14ac:dyDescent="0.25"/>
  <cols>
    <col min="1" max="1" width="6.7109375" style="14" customWidth="1"/>
    <col min="2" max="2" width="35.140625" bestFit="1" customWidth="1"/>
    <col min="3" max="3" width="4.7109375" customWidth="1"/>
    <col min="4" max="4" width="4.140625" customWidth="1"/>
    <col min="5" max="16" width="7.7109375" customWidth="1"/>
    <col min="17" max="17" width="9.140625" customWidth="1"/>
    <col min="18" max="20" width="7.7109375" customWidth="1"/>
  </cols>
  <sheetData>
    <row r="1" spans="1:20" ht="20.25" x14ac:dyDescent="0.25">
      <c r="A1" s="272" t="s">
        <v>44</v>
      </c>
      <c r="B1" s="273"/>
      <c r="C1" s="273"/>
      <c r="D1" s="273"/>
      <c r="E1" s="273"/>
      <c r="F1" s="273"/>
      <c r="G1" s="273"/>
      <c r="H1" s="273"/>
      <c r="I1" s="273"/>
      <c r="J1" s="273"/>
      <c r="K1" s="273"/>
      <c r="L1" s="273"/>
      <c r="M1" s="273"/>
      <c r="N1" s="273"/>
      <c r="O1" s="273"/>
      <c r="P1" s="273"/>
      <c r="Q1" s="273"/>
      <c r="R1" s="273"/>
      <c r="S1" s="273"/>
      <c r="T1" s="274"/>
    </row>
    <row r="2" spans="1:20" ht="18" thickBot="1" x14ac:dyDescent="0.3">
      <c r="A2" s="275" t="s">
        <v>46</v>
      </c>
      <c r="B2" s="275"/>
      <c r="C2" s="275"/>
      <c r="D2" s="275"/>
      <c r="E2" s="275"/>
      <c r="F2" s="275"/>
      <c r="G2" s="275"/>
      <c r="H2" s="275"/>
      <c r="I2" s="275"/>
      <c r="J2" s="275"/>
      <c r="K2" s="275"/>
      <c r="L2" s="275"/>
      <c r="M2" s="275"/>
      <c r="N2" s="275"/>
      <c r="O2" s="275"/>
      <c r="P2" s="275"/>
      <c r="Q2" s="275"/>
      <c r="R2" s="275"/>
      <c r="S2" s="275"/>
      <c r="T2" s="275"/>
    </row>
    <row r="3" spans="1:20" ht="67.5" customHeight="1" thickBot="1" x14ac:dyDescent="0.3">
      <c r="A3" s="21" t="s">
        <v>24</v>
      </c>
      <c r="B3" s="22" t="s">
        <v>1</v>
      </c>
      <c r="C3" s="23" t="s">
        <v>2</v>
      </c>
      <c r="D3" s="22" t="s">
        <v>3</v>
      </c>
      <c r="E3" s="25" t="s">
        <v>4</v>
      </c>
      <c r="F3" s="25" t="s">
        <v>5</v>
      </c>
      <c r="G3" s="25" t="s">
        <v>6</v>
      </c>
      <c r="H3" s="25" t="s">
        <v>7</v>
      </c>
      <c r="I3" s="25" t="s">
        <v>8</v>
      </c>
      <c r="J3" s="25" t="s">
        <v>9</v>
      </c>
      <c r="K3" s="26" t="s">
        <v>10</v>
      </c>
      <c r="L3" s="25" t="s">
        <v>11</v>
      </c>
      <c r="M3" s="27" t="s">
        <v>12</v>
      </c>
      <c r="N3" s="27" t="s">
        <v>13</v>
      </c>
      <c r="O3" s="25" t="s">
        <v>14</v>
      </c>
      <c r="P3" s="27" t="s">
        <v>15</v>
      </c>
      <c r="Q3" s="25" t="s">
        <v>16</v>
      </c>
      <c r="R3" s="25" t="s">
        <v>17</v>
      </c>
      <c r="S3" s="26" t="s">
        <v>18</v>
      </c>
      <c r="T3" s="28" t="s">
        <v>19</v>
      </c>
    </row>
    <row r="4" spans="1:20" ht="20.100000000000001" customHeight="1" x14ac:dyDescent="0.25">
      <c r="A4" s="136">
        <v>1</v>
      </c>
      <c r="B4" s="142"/>
      <c r="C4" s="156">
        <v>15</v>
      </c>
      <c r="D4" s="156" t="s">
        <v>20</v>
      </c>
      <c r="E4" s="20">
        <v>77</v>
      </c>
      <c r="F4" s="20">
        <v>56</v>
      </c>
      <c r="G4" s="20">
        <v>44</v>
      </c>
      <c r="H4" s="20">
        <v>50</v>
      </c>
      <c r="I4" s="20">
        <v>48</v>
      </c>
      <c r="J4" s="20">
        <v>51</v>
      </c>
      <c r="K4" s="20">
        <v>56</v>
      </c>
      <c r="L4" s="20">
        <v>55</v>
      </c>
      <c r="M4" s="20">
        <v>67</v>
      </c>
      <c r="N4" s="20">
        <v>73</v>
      </c>
      <c r="O4" s="20">
        <v>90</v>
      </c>
      <c r="P4" s="20">
        <f>SUM(E4:O4)</f>
        <v>667</v>
      </c>
      <c r="Q4" s="70">
        <f>AVERAGE(E4:O4)</f>
        <v>60.636363636363633</v>
      </c>
      <c r="R4" s="20">
        <f>RANK(Q4,$Q$4:$Q$54)</f>
        <v>46</v>
      </c>
      <c r="S4" s="20"/>
      <c r="T4" s="20"/>
    </row>
    <row r="5" spans="1:20" ht="20.100000000000001" customHeight="1" x14ac:dyDescent="0.25">
      <c r="A5" s="121">
        <v>2</v>
      </c>
      <c r="B5" s="142"/>
      <c r="C5" s="156">
        <v>15</v>
      </c>
      <c r="D5" s="156" t="s">
        <v>20</v>
      </c>
      <c r="E5" s="20">
        <v>89</v>
      </c>
      <c r="F5" s="20">
        <v>95</v>
      </c>
      <c r="G5" s="20">
        <v>95</v>
      </c>
      <c r="H5" s="20">
        <v>93</v>
      </c>
      <c r="I5" s="20">
        <v>87</v>
      </c>
      <c r="J5" s="20">
        <v>94</v>
      </c>
      <c r="K5" s="20">
        <v>96</v>
      </c>
      <c r="L5" s="20">
        <v>95</v>
      </c>
      <c r="M5" s="20">
        <v>100</v>
      </c>
      <c r="N5" s="20">
        <v>99</v>
      </c>
      <c r="O5" s="20">
        <v>100</v>
      </c>
      <c r="P5" s="20">
        <f t="shared" ref="P5:P53" si="0">SUM(E5:O5)</f>
        <v>1043</v>
      </c>
      <c r="Q5" s="70">
        <f t="shared" ref="Q5:Q53" si="1">AVERAGE(E5:O5)</f>
        <v>94.818181818181813</v>
      </c>
      <c r="R5" s="20">
        <f t="shared" ref="R5:R53" si="2">RANK(Q5,$Q$4:$Q$54)</f>
        <v>2</v>
      </c>
      <c r="S5" s="20"/>
      <c r="T5" s="20"/>
    </row>
    <row r="6" spans="1:20" ht="20.100000000000001" customHeight="1" x14ac:dyDescent="0.25">
      <c r="A6" s="137">
        <v>3</v>
      </c>
      <c r="B6" s="142"/>
      <c r="C6" s="156">
        <v>17</v>
      </c>
      <c r="D6" s="156" t="s">
        <v>20</v>
      </c>
      <c r="E6" s="20">
        <v>72</v>
      </c>
      <c r="F6" s="20">
        <v>90</v>
      </c>
      <c r="G6" s="20">
        <v>90</v>
      </c>
      <c r="H6" s="20">
        <v>74</v>
      </c>
      <c r="I6" s="20">
        <v>72</v>
      </c>
      <c r="J6" s="20">
        <v>81</v>
      </c>
      <c r="K6" s="20">
        <v>84</v>
      </c>
      <c r="L6" s="20">
        <v>68</v>
      </c>
      <c r="M6" s="20">
        <v>91</v>
      </c>
      <c r="N6" s="20">
        <v>79</v>
      </c>
      <c r="O6" s="20">
        <v>75</v>
      </c>
      <c r="P6" s="20">
        <f t="shared" si="0"/>
        <v>876</v>
      </c>
      <c r="Q6" s="70">
        <f t="shared" si="1"/>
        <v>79.63636363636364</v>
      </c>
      <c r="R6" s="20">
        <f t="shared" si="2"/>
        <v>19</v>
      </c>
      <c r="S6" s="20"/>
      <c r="T6" s="20"/>
    </row>
    <row r="7" spans="1:20" ht="20.100000000000001" customHeight="1" x14ac:dyDescent="0.25">
      <c r="A7" s="121">
        <v>4</v>
      </c>
      <c r="B7" s="142"/>
      <c r="C7" s="156">
        <v>15</v>
      </c>
      <c r="D7" s="156" t="s">
        <v>20</v>
      </c>
      <c r="E7" s="20">
        <v>78</v>
      </c>
      <c r="F7" s="20">
        <v>84</v>
      </c>
      <c r="G7" s="20">
        <v>61</v>
      </c>
      <c r="H7" s="20">
        <v>62</v>
      </c>
      <c r="I7" s="20">
        <v>69</v>
      </c>
      <c r="J7" s="20">
        <v>88</v>
      </c>
      <c r="K7" s="20">
        <v>85</v>
      </c>
      <c r="L7" s="20">
        <v>88</v>
      </c>
      <c r="M7" s="20">
        <v>90</v>
      </c>
      <c r="N7" s="20">
        <v>94</v>
      </c>
      <c r="O7" s="20">
        <v>92</v>
      </c>
      <c r="P7" s="20">
        <f t="shared" si="0"/>
        <v>891</v>
      </c>
      <c r="Q7" s="70">
        <f t="shared" si="1"/>
        <v>81</v>
      </c>
      <c r="R7" s="20">
        <f t="shared" si="2"/>
        <v>18</v>
      </c>
      <c r="S7" s="20"/>
      <c r="T7" s="20"/>
    </row>
    <row r="8" spans="1:20" ht="20.100000000000001" customHeight="1" x14ac:dyDescent="0.25">
      <c r="A8" s="121">
        <v>5</v>
      </c>
      <c r="B8" s="142"/>
      <c r="C8" s="156">
        <v>16</v>
      </c>
      <c r="D8" s="156" t="s">
        <v>23</v>
      </c>
      <c r="E8" s="20">
        <v>83</v>
      </c>
      <c r="F8" s="20">
        <v>69</v>
      </c>
      <c r="G8" s="20">
        <v>46</v>
      </c>
      <c r="H8" s="20">
        <v>60</v>
      </c>
      <c r="I8" s="20">
        <v>70</v>
      </c>
      <c r="J8" s="20">
        <v>72</v>
      </c>
      <c r="K8" s="20">
        <v>78</v>
      </c>
      <c r="L8" s="20">
        <v>72</v>
      </c>
      <c r="M8" s="20">
        <v>84</v>
      </c>
      <c r="N8" s="20">
        <v>81</v>
      </c>
      <c r="O8" s="20">
        <v>95</v>
      </c>
      <c r="P8" s="20">
        <f t="shared" si="0"/>
        <v>810</v>
      </c>
      <c r="Q8" s="70">
        <f t="shared" si="1"/>
        <v>73.63636363636364</v>
      </c>
      <c r="R8" s="20">
        <f t="shared" si="2"/>
        <v>26</v>
      </c>
      <c r="S8" s="20"/>
      <c r="T8" s="20"/>
    </row>
    <row r="9" spans="1:20" ht="20.100000000000001" customHeight="1" x14ac:dyDescent="0.25">
      <c r="A9" s="137">
        <v>6</v>
      </c>
      <c r="B9" s="142"/>
      <c r="C9" s="156">
        <v>16</v>
      </c>
      <c r="D9" s="156" t="s">
        <v>23</v>
      </c>
      <c r="E9" s="20">
        <v>72</v>
      </c>
      <c r="F9" s="20">
        <v>52</v>
      </c>
      <c r="G9" s="20">
        <v>53</v>
      </c>
      <c r="H9" s="20">
        <v>44</v>
      </c>
      <c r="I9" s="20">
        <v>43</v>
      </c>
      <c r="J9" s="20">
        <v>73</v>
      </c>
      <c r="K9" s="20">
        <v>69</v>
      </c>
      <c r="L9" s="20">
        <v>66</v>
      </c>
      <c r="M9" s="20">
        <v>68</v>
      </c>
      <c r="N9" s="20">
        <v>79</v>
      </c>
      <c r="O9" s="20">
        <v>87</v>
      </c>
      <c r="P9" s="20">
        <f t="shared" si="0"/>
        <v>706</v>
      </c>
      <c r="Q9" s="70">
        <f t="shared" si="1"/>
        <v>64.181818181818187</v>
      </c>
      <c r="R9" s="20">
        <f t="shared" si="2"/>
        <v>40</v>
      </c>
      <c r="S9" s="20"/>
      <c r="T9" s="20"/>
    </row>
    <row r="10" spans="1:20" ht="20.100000000000001" customHeight="1" x14ac:dyDescent="0.25">
      <c r="A10" s="121">
        <v>7</v>
      </c>
      <c r="B10" s="142"/>
      <c r="C10" s="156">
        <v>16</v>
      </c>
      <c r="D10" s="156" t="s">
        <v>20</v>
      </c>
      <c r="E10" s="20">
        <v>78</v>
      </c>
      <c r="F10" s="20">
        <v>76</v>
      </c>
      <c r="G10" s="20">
        <v>39</v>
      </c>
      <c r="H10" s="20">
        <v>39</v>
      </c>
      <c r="I10" s="20">
        <v>40</v>
      </c>
      <c r="J10" s="20">
        <v>43</v>
      </c>
      <c r="K10" s="20">
        <v>55</v>
      </c>
      <c r="L10" s="20">
        <v>51</v>
      </c>
      <c r="M10" s="20">
        <v>76</v>
      </c>
      <c r="N10" s="20">
        <v>79</v>
      </c>
      <c r="O10" s="20">
        <v>83</v>
      </c>
      <c r="P10" s="20">
        <f t="shared" si="0"/>
        <v>659</v>
      </c>
      <c r="Q10" s="70">
        <f t="shared" si="1"/>
        <v>59.909090909090907</v>
      </c>
      <c r="R10" s="20">
        <f t="shared" si="2"/>
        <v>48</v>
      </c>
      <c r="S10" s="20"/>
      <c r="T10" s="20"/>
    </row>
    <row r="11" spans="1:20" ht="20.100000000000001" customHeight="1" x14ac:dyDescent="0.25">
      <c r="A11" s="121">
        <v>8</v>
      </c>
      <c r="B11" s="142"/>
      <c r="C11" s="156">
        <v>16</v>
      </c>
      <c r="D11" s="156" t="s">
        <v>23</v>
      </c>
      <c r="E11" s="20">
        <v>79</v>
      </c>
      <c r="F11" s="20">
        <v>91</v>
      </c>
      <c r="G11" s="20">
        <v>81</v>
      </c>
      <c r="H11" s="20">
        <v>69</v>
      </c>
      <c r="I11" s="20">
        <v>76</v>
      </c>
      <c r="J11" s="20">
        <v>95</v>
      </c>
      <c r="K11" s="20">
        <v>91</v>
      </c>
      <c r="L11" s="20">
        <v>96</v>
      </c>
      <c r="M11" s="20">
        <v>95</v>
      </c>
      <c r="N11" s="20">
        <v>96</v>
      </c>
      <c r="O11" s="20">
        <v>99</v>
      </c>
      <c r="P11" s="20">
        <f t="shared" si="0"/>
        <v>968</v>
      </c>
      <c r="Q11" s="70">
        <f t="shared" si="1"/>
        <v>88</v>
      </c>
      <c r="R11" s="20">
        <f t="shared" si="2"/>
        <v>11</v>
      </c>
      <c r="S11" s="20"/>
      <c r="T11" s="20"/>
    </row>
    <row r="12" spans="1:20" ht="20.100000000000001" customHeight="1" x14ac:dyDescent="0.25">
      <c r="A12" s="137">
        <v>9</v>
      </c>
      <c r="B12" s="142"/>
      <c r="C12" s="156">
        <v>15</v>
      </c>
      <c r="D12" s="156" t="s">
        <v>23</v>
      </c>
      <c r="E12" s="20">
        <v>64</v>
      </c>
      <c r="F12" s="20">
        <v>54</v>
      </c>
      <c r="G12" s="20">
        <v>49</v>
      </c>
      <c r="H12" s="20">
        <v>55</v>
      </c>
      <c r="I12" s="20">
        <v>55</v>
      </c>
      <c r="J12" s="20">
        <v>60</v>
      </c>
      <c r="K12" s="20">
        <v>55</v>
      </c>
      <c r="L12" s="20">
        <v>64</v>
      </c>
      <c r="M12" s="20">
        <v>60</v>
      </c>
      <c r="N12" s="20">
        <v>82</v>
      </c>
      <c r="O12" s="20">
        <v>94</v>
      </c>
      <c r="P12" s="20">
        <f t="shared" si="0"/>
        <v>692</v>
      </c>
      <c r="Q12" s="70">
        <f t="shared" si="1"/>
        <v>62.909090909090907</v>
      </c>
      <c r="R12" s="20">
        <f t="shared" si="2"/>
        <v>44</v>
      </c>
      <c r="S12" s="20"/>
      <c r="T12" s="20"/>
    </row>
    <row r="13" spans="1:20" ht="20.100000000000001" customHeight="1" x14ac:dyDescent="0.25">
      <c r="A13" s="121">
        <v>10</v>
      </c>
      <c r="B13" s="142"/>
      <c r="C13" s="156">
        <v>15</v>
      </c>
      <c r="D13" s="156" t="s">
        <v>23</v>
      </c>
      <c r="E13" s="20">
        <v>90</v>
      </c>
      <c r="F13" s="20">
        <v>86</v>
      </c>
      <c r="G13" s="20">
        <v>87</v>
      </c>
      <c r="H13" s="20">
        <v>91</v>
      </c>
      <c r="I13" s="20">
        <v>87</v>
      </c>
      <c r="J13" s="20">
        <v>95</v>
      </c>
      <c r="K13" s="20">
        <v>93</v>
      </c>
      <c r="L13" s="20">
        <v>91</v>
      </c>
      <c r="M13" s="20">
        <v>96</v>
      </c>
      <c r="N13" s="20">
        <v>97</v>
      </c>
      <c r="O13" s="20">
        <v>97</v>
      </c>
      <c r="P13" s="20">
        <f t="shared" si="0"/>
        <v>1010</v>
      </c>
      <c r="Q13" s="70">
        <f t="shared" si="1"/>
        <v>91.818181818181813</v>
      </c>
      <c r="R13" s="20">
        <f t="shared" si="2"/>
        <v>5</v>
      </c>
      <c r="S13" s="20"/>
      <c r="T13" s="20"/>
    </row>
    <row r="14" spans="1:20" ht="20.100000000000001" customHeight="1" x14ac:dyDescent="0.25">
      <c r="A14" s="137">
        <v>11</v>
      </c>
      <c r="B14" s="142"/>
      <c r="C14" s="156">
        <v>16</v>
      </c>
      <c r="D14" s="156" t="s">
        <v>23</v>
      </c>
      <c r="E14" s="231"/>
      <c r="F14" s="231"/>
      <c r="G14" s="231"/>
      <c r="H14" s="231"/>
      <c r="I14" s="231"/>
      <c r="J14" s="231"/>
      <c r="K14" s="231"/>
      <c r="L14" s="231"/>
      <c r="M14" s="231"/>
      <c r="N14" s="231"/>
      <c r="O14" s="231"/>
      <c r="P14" s="20">
        <f t="shared" si="0"/>
        <v>0</v>
      </c>
      <c r="Q14" s="70"/>
      <c r="R14" s="20"/>
      <c r="S14" s="20"/>
      <c r="T14" s="20"/>
    </row>
    <row r="15" spans="1:20" ht="20.100000000000001" customHeight="1" x14ac:dyDescent="0.25">
      <c r="A15" s="137">
        <v>12</v>
      </c>
      <c r="B15" s="142"/>
      <c r="C15" s="156">
        <v>15</v>
      </c>
      <c r="D15" s="156" t="s">
        <v>23</v>
      </c>
      <c r="E15" s="20">
        <v>71</v>
      </c>
      <c r="F15" s="20">
        <v>64</v>
      </c>
      <c r="G15" s="20">
        <v>46</v>
      </c>
      <c r="H15" s="20">
        <v>50</v>
      </c>
      <c r="I15" s="20">
        <v>51</v>
      </c>
      <c r="J15" s="20">
        <v>62</v>
      </c>
      <c r="K15" s="20">
        <v>60</v>
      </c>
      <c r="L15" s="20">
        <v>62</v>
      </c>
      <c r="M15" s="20">
        <v>77</v>
      </c>
      <c r="N15" s="20">
        <v>82</v>
      </c>
      <c r="O15" s="20">
        <v>88</v>
      </c>
      <c r="P15" s="20">
        <f t="shared" si="0"/>
        <v>713</v>
      </c>
      <c r="Q15" s="70">
        <f t="shared" si="1"/>
        <v>64.818181818181813</v>
      </c>
      <c r="R15" s="20">
        <f t="shared" si="2"/>
        <v>39</v>
      </c>
      <c r="S15" s="20"/>
      <c r="T15" s="20"/>
    </row>
    <row r="16" spans="1:20" ht="20.100000000000001" customHeight="1" x14ac:dyDescent="0.25">
      <c r="A16" s="137">
        <v>13</v>
      </c>
      <c r="B16" s="142"/>
      <c r="C16" s="156">
        <v>15</v>
      </c>
      <c r="D16" s="156" t="s">
        <v>23</v>
      </c>
      <c r="E16" s="20">
        <v>57</v>
      </c>
      <c r="F16" s="20">
        <v>71</v>
      </c>
      <c r="G16" s="20">
        <v>48</v>
      </c>
      <c r="H16" s="20">
        <v>50</v>
      </c>
      <c r="I16" s="20">
        <v>52</v>
      </c>
      <c r="J16" s="20">
        <v>71</v>
      </c>
      <c r="K16" s="20">
        <v>80</v>
      </c>
      <c r="L16" s="20">
        <v>74</v>
      </c>
      <c r="M16" s="20">
        <v>85</v>
      </c>
      <c r="N16" s="20">
        <v>73</v>
      </c>
      <c r="O16" s="20">
        <v>80</v>
      </c>
      <c r="P16" s="20">
        <f t="shared" si="0"/>
        <v>741</v>
      </c>
      <c r="Q16" s="70">
        <f t="shared" si="1"/>
        <v>67.36363636363636</v>
      </c>
      <c r="R16" s="20">
        <f t="shared" si="2"/>
        <v>33</v>
      </c>
      <c r="S16" s="20"/>
      <c r="T16" s="20"/>
    </row>
    <row r="17" spans="1:20" ht="20.100000000000001" customHeight="1" x14ac:dyDescent="0.25">
      <c r="A17" s="121">
        <v>14</v>
      </c>
      <c r="B17" s="142"/>
      <c r="C17" s="156">
        <v>17</v>
      </c>
      <c r="D17" s="156" t="s">
        <v>23</v>
      </c>
      <c r="E17" s="20">
        <v>75</v>
      </c>
      <c r="F17" s="20">
        <v>73</v>
      </c>
      <c r="G17" s="20">
        <v>59</v>
      </c>
      <c r="H17" s="20">
        <v>59</v>
      </c>
      <c r="I17" s="20">
        <v>61</v>
      </c>
      <c r="J17" s="20">
        <v>84</v>
      </c>
      <c r="K17" s="20">
        <v>93</v>
      </c>
      <c r="L17" s="20">
        <v>76</v>
      </c>
      <c r="M17" s="20">
        <v>95</v>
      </c>
      <c r="N17" s="20">
        <v>88</v>
      </c>
      <c r="O17" s="20">
        <v>100</v>
      </c>
      <c r="P17" s="20">
        <f t="shared" si="0"/>
        <v>863</v>
      </c>
      <c r="Q17" s="70">
        <f t="shared" si="1"/>
        <v>78.454545454545453</v>
      </c>
      <c r="R17" s="20">
        <f t="shared" si="2"/>
        <v>21</v>
      </c>
      <c r="S17" s="20"/>
      <c r="T17" s="20"/>
    </row>
    <row r="18" spans="1:20" ht="20.100000000000001" customHeight="1" x14ac:dyDescent="0.25">
      <c r="A18" s="137">
        <v>15</v>
      </c>
      <c r="B18" s="142"/>
      <c r="C18" s="156">
        <v>15</v>
      </c>
      <c r="D18" s="156" t="s">
        <v>23</v>
      </c>
      <c r="E18" s="20">
        <v>83</v>
      </c>
      <c r="F18" s="20">
        <v>58</v>
      </c>
      <c r="G18" s="20">
        <v>65</v>
      </c>
      <c r="H18" s="20">
        <v>59</v>
      </c>
      <c r="I18" s="20">
        <v>61</v>
      </c>
      <c r="J18" s="20">
        <v>58</v>
      </c>
      <c r="K18" s="20">
        <v>74</v>
      </c>
      <c r="L18" s="20">
        <v>70</v>
      </c>
      <c r="M18" s="20">
        <v>85</v>
      </c>
      <c r="N18" s="20">
        <v>93</v>
      </c>
      <c r="O18" s="20">
        <v>93</v>
      </c>
      <c r="P18" s="20">
        <f t="shared" si="0"/>
        <v>799</v>
      </c>
      <c r="Q18" s="70">
        <f t="shared" si="1"/>
        <v>72.63636363636364</v>
      </c>
      <c r="R18" s="20">
        <f t="shared" si="2"/>
        <v>28</v>
      </c>
      <c r="S18" s="20"/>
      <c r="T18" s="20"/>
    </row>
    <row r="19" spans="1:20" ht="20.100000000000001" customHeight="1" x14ac:dyDescent="0.25">
      <c r="A19" s="121">
        <v>16</v>
      </c>
      <c r="B19" s="142"/>
      <c r="C19" s="156">
        <v>16</v>
      </c>
      <c r="D19" s="156" t="s">
        <v>32</v>
      </c>
      <c r="E19" s="20">
        <v>75</v>
      </c>
      <c r="F19" s="20">
        <v>54</v>
      </c>
      <c r="G19" s="20">
        <v>60</v>
      </c>
      <c r="H19" s="20">
        <v>62</v>
      </c>
      <c r="I19" s="20">
        <v>64</v>
      </c>
      <c r="J19" s="20">
        <v>66</v>
      </c>
      <c r="K19" s="20">
        <v>67</v>
      </c>
      <c r="L19" s="20">
        <v>69</v>
      </c>
      <c r="M19" s="20">
        <v>78</v>
      </c>
      <c r="N19" s="20">
        <v>93</v>
      </c>
      <c r="O19" s="20">
        <v>93</v>
      </c>
      <c r="P19" s="20">
        <f t="shared" si="0"/>
        <v>781</v>
      </c>
      <c r="Q19" s="70">
        <f t="shared" si="1"/>
        <v>71</v>
      </c>
      <c r="R19" s="20">
        <f t="shared" si="2"/>
        <v>31</v>
      </c>
      <c r="S19" s="20"/>
      <c r="T19" s="20"/>
    </row>
    <row r="20" spans="1:20" ht="20.100000000000001" customHeight="1" x14ac:dyDescent="0.25">
      <c r="A20" s="121">
        <v>17</v>
      </c>
      <c r="B20" s="142"/>
      <c r="C20" s="156">
        <v>16</v>
      </c>
      <c r="D20" s="156" t="s">
        <v>23</v>
      </c>
      <c r="E20" s="20">
        <v>77</v>
      </c>
      <c r="F20" s="20">
        <v>66</v>
      </c>
      <c r="G20" s="20">
        <v>94</v>
      </c>
      <c r="H20" s="20">
        <v>89</v>
      </c>
      <c r="I20" s="20">
        <v>88</v>
      </c>
      <c r="J20" s="20">
        <v>97</v>
      </c>
      <c r="K20" s="20">
        <v>98</v>
      </c>
      <c r="L20" s="20">
        <v>79</v>
      </c>
      <c r="M20" s="20">
        <v>90</v>
      </c>
      <c r="N20" s="20">
        <v>95</v>
      </c>
      <c r="O20" s="20">
        <v>98</v>
      </c>
      <c r="P20" s="20">
        <f t="shared" si="0"/>
        <v>971</v>
      </c>
      <c r="Q20" s="70">
        <f t="shared" si="1"/>
        <v>88.272727272727266</v>
      </c>
      <c r="R20" s="20">
        <f t="shared" si="2"/>
        <v>10</v>
      </c>
      <c r="S20" s="20"/>
      <c r="T20" s="20"/>
    </row>
    <row r="21" spans="1:20" ht="20.100000000000001" customHeight="1" x14ac:dyDescent="0.25">
      <c r="A21" s="121">
        <v>18</v>
      </c>
      <c r="B21" s="142"/>
      <c r="C21" s="156">
        <v>16</v>
      </c>
      <c r="D21" s="156" t="s">
        <v>23</v>
      </c>
      <c r="E21" s="20">
        <v>73</v>
      </c>
      <c r="F21" s="20">
        <v>65</v>
      </c>
      <c r="G21" s="20">
        <v>34</v>
      </c>
      <c r="H21" s="20">
        <v>44</v>
      </c>
      <c r="I21" s="20">
        <v>40</v>
      </c>
      <c r="J21" s="20">
        <v>57</v>
      </c>
      <c r="K21" s="20">
        <v>57</v>
      </c>
      <c r="L21" s="20">
        <v>62</v>
      </c>
      <c r="M21" s="20">
        <v>63</v>
      </c>
      <c r="N21" s="20">
        <v>81</v>
      </c>
      <c r="O21" s="20">
        <v>84</v>
      </c>
      <c r="P21" s="20">
        <f t="shared" si="0"/>
        <v>660</v>
      </c>
      <c r="Q21" s="70">
        <f t="shared" si="1"/>
        <v>60</v>
      </c>
      <c r="R21" s="20">
        <f t="shared" si="2"/>
        <v>47</v>
      </c>
      <c r="S21" s="20"/>
      <c r="T21" s="20"/>
    </row>
    <row r="22" spans="1:20" ht="20.100000000000001" customHeight="1" x14ac:dyDescent="0.25">
      <c r="A22" s="137">
        <v>19</v>
      </c>
      <c r="B22" s="142"/>
      <c r="C22" s="156">
        <v>17</v>
      </c>
      <c r="D22" s="156" t="s">
        <v>20</v>
      </c>
      <c r="E22" s="20">
        <v>71</v>
      </c>
      <c r="F22" s="20">
        <v>67</v>
      </c>
      <c r="G22" s="20">
        <v>47</v>
      </c>
      <c r="H22" s="20">
        <v>54</v>
      </c>
      <c r="I22" s="20">
        <v>52</v>
      </c>
      <c r="J22" s="20">
        <v>61</v>
      </c>
      <c r="K22" s="20">
        <v>54</v>
      </c>
      <c r="L22" s="20">
        <v>60</v>
      </c>
      <c r="M22" s="20">
        <v>71</v>
      </c>
      <c r="N22" s="20">
        <v>73</v>
      </c>
      <c r="O22" s="20">
        <v>88</v>
      </c>
      <c r="P22" s="20">
        <f t="shared" si="0"/>
        <v>698</v>
      </c>
      <c r="Q22" s="70">
        <f t="shared" si="1"/>
        <v>63.454545454545453</v>
      </c>
      <c r="R22" s="20">
        <f t="shared" si="2"/>
        <v>41</v>
      </c>
      <c r="S22" s="20"/>
      <c r="T22" s="20"/>
    </row>
    <row r="23" spans="1:20" ht="20.100000000000001" customHeight="1" x14ac:dyDescent="0.25">
      <c r="A23" s="137">
        <v>20</v>
      </c>
      <c r="B23" s="142"/>
      <c r="C23" s="156">
        <v>15</v>
      </c>
      <c r="D23" s="156" t="s">
        <v>20</v>
      </c>
      <c r="E23" s="20">
        <v>85</v>
      </c>
      <c r="F23" s="20">
        <v>79</v>
      </c>
      <c r="G23" s="20">
        <v>81</v>
      </c>
      <c r="H23" s="20">
        <v>80</v>
      </c>
      <c r="I23" s="20">
        <v>79</v>
      </c>
      <c r="J23" s="20">
        <v>86</v>
      </c>
      <c r="K23" s="20">
        <v>87</v>
      </c>
      <c r="L23" s="20">
        <v>96</v>
      </c>
      <c r="M23" s="20">
        <v>96</v>
      </c>
      <c r="N23" s="20">
        <v>91</v>
      </c>
      <c r="O23" s="20">
        <v>95</v>
      </c>
      <c r="P23" s="20">
        <f t="shared" si="0"/>
        <v>955</v>
      </c>
      <c r="Q23" s="70">
        <f t="shared" si="1"/>
        <v>86.818181818181813</v>
      </c>
      <c r="R23" s="20">
        <f t="shared" si="2"/>
        <v>13</v>
      </c>
      <c r="S23" s="20"/>
      <c r="T23" s="20"/>
    </row>
    <row r="24" spans="1:20" ht="20.100000000000001" customHeight="1" x14ac:dyDescent="0.25">
      <c r="A24" s="137">
        <v>21</v>
      </c>
      <c r="B24" s="142"/>
      <c r="C24" s="156">
        <v>16</v>
      </c>
      <c r="D24" s="156" t="s">
        <v>23</v>
      </c>
      <c r="E24" s="231"/>
      <c r="F24" s="231"/>
      <c r="G24" s="231"/>
      <c r="H24" s="231"/>
      <c r="I24" s="231"/>
      <c r="J24" s="231"/>
      <c r="K24" s="231"/>
      <c r="L24" s="231"/>
      <c r="M24" s="231"/>
      <c r="N24" s="231"/>
      <c r="O24" s="231"/>
      <c r="P24" s="20">
        <f t="shared" si="0"/>
        <v>0</v>
      </c>
      <c r="Q24" s="70"/>
      <c r="R24" s="20" t="e">
        <f t="shared" si="2"/>
        <v>#N/A</v>
      </c>
      <c r="S24" s="20"/>
      <c r="T24" s="20"/>
    </row>
    <row r="25" spans="1:20" ht="20.100000000000001" customHeight="1" x14ac:dyDescent="0.25">
      <c r="A25" s="121">
        <v>22</v>
      </c>
      <c r="B25" s="142"/>
      <c r="C25" s="156">
        <v>14</v>
      </c>
      <c r="D25" s="156" t="s">
        <v>23</v>
      </c>
      <c r="E25" s="20">
        <v>74</v>
      </c>
      <c r="F25" s="20">
        <v>65</v>
      </c>
      <c r="G25" s="20">
        <v>46</v>
      </c>
      <c r="H25" s="20">
        <v>53</v>
      </c>
      <c r="I25" s="20">
        <v>44</v>
      </c>
      <c r="J25" s="20">
        <v>62</v>
      </c>
      <c r="K25" s="20">
        <v>61</v>
      </c>
      <c r="L25" s="20">
        <v>69</v>
      </c>
      <c r="M25" s="20">
        <v>65</v>
      </c>
      <c r="N25" s="20">
        <v>73</v>
      </c>
      <c r="O25" s="20">
        <v>86</v>
      </c>
      <c r="P25" s="20">
        <f t="shared" si="0"/>
        <v>698</v>
      </c>
      <c r="Q25" s="70">
        <f t="shared" si="1"/>
        <v>63.454545454545453</v>
      </c>
      <c r="R25" s="20">
        <f t="shared" si="2"/>
        <v>41</v>
      </c>
      <c r="S25" s="20"/>
      <c r="T25" s="20"/>
    </row>
    <row r="26" spans="1:20" ht="20.100000000000001" customHeight="1" x14ac:dyDescent="0.25">
      <c r="A26" s="121">
        <v>23</v>
      </c>
      <c r="B26" s="142"/>
      <c r="C26" s="156">
        <v>14</v>
      </c>
      <c r="D26" s="156" t="s">
        <v>20</v>
      </c>
      <c r="E26" s="167">
        <v>79</v>
      </c>
      <c r="F26" s="167">
        <v>85</v>
      </c>
      <c r="G26" s="167">
        <v>97</v>
      </c>
      <c r="H26" s="167">
        <v>90</v>
      </c>
      <c r="I26" s="167">
        <v>86</v>
      </c>
      <c r="J26" s="167">
        <v>93</v>
      </c>
      <c r="K26" s="167">
        <v>88</v>
      </c>
      <c r="L26" s="167">
        <v>89</v>
      </c>
      <c r="M26" s="167">
        <v>93</v>
      </c>
      <c r="N26" s="167">
        <v>96</v>
      </c>
      <c r="O26" s="167">
        <v>98</v>
      </c>
      <c r="P26" s="20">
        <f t="shared" si="0"/>
        <v>994</v>
      </c>
      <c r="Q26" s="70">
        <f t="shared" si="1"/>
        <v>90.36363636363636</v>
      </c>
      <c r="R26" s="20">
        <f t="shared" si="2"/>
        <v>7</v>
      </c>
      <c r="S26" s="20"/>
      <c r="T26" s="20"/>
    </row>
    <row r="27" spans="1:20" ht="20.100000000000001" customHeight="1" x14ac:dyDescent="0.25">
      <c r="A27" s="137">
        <v>24</v>
      </c>
      <c r="B27" s="142"/>
      <c r="C27" s="156">
        <v>15</v>
      </c>
      <c r="D27" s="156" t="s">
        <v>23</v>
      </c>
      <c r="E27" s="20">
        <v>69</v>
      </c>
      <c r="F27" s="20">
        <v>79</v>
      </c>
      <c r="G27" s="20">
        <v>38</v>
      </c>
      <c r="H27" s="20">
        <v>41</v>
      </c>
      <c r="I27" s="20">
        <v>40</v>
      </c>
      <c r="J27" s="20">
        <v>62</v>
      </c>
      <c r="K27" s="20">
        <v>54</v>
      </c>
      <c r="L27" s="20">
        <v>52</v>
      </c>
      <c r="M27" s="20">
        <v>83</v>
      </c>
      <c r="N27" s="20">
        <v>81</v>
      </c>
      <c r="O27" s="20">
        <v>83</v>
      </c>
      <c r="P27" s="20">
        <f t="shared" si="0"/>
        <v>682</v>
      </c>
      <c r="Q27" s="70">
        <f t="shared" si="1"/>
        <v>62</v>
      </c>
      <c r="R27" s="20">
        <f t="shared" si="2"/>
        <v>45</v>
      </c>
      <c r="S27" s="20"/>
      <c r="T27" s="20"/>
    </row>
    <row r="28" spans="1:20" ht="20.100000000000001" customHeight="1" x14ac:dyDescent="0.25">
      <c r="A28" s="121">
        <v>25</v>
      </c>
      <c r="B28" s="142"/>
      <c r="C28" s="156">
        <v>17</v>
      </c>
      <c r="D28" s="156" t="s">
        <v>23</v>
      </c>
      <c r="E28" s="20">
        <v>88</v>
      </c>
      <c r="F28" s="20">
        <v>72</v>
      </c>
      <c r="G28" s="20">
        <v>67</v>
      </c>
      <c r="H28" s="20">
        <v>72</v>
      </c>
      <c r="I28" s="20">
        <v>73</v>
      </c>
      <c r="J28" s="20">
        <v>84</v>
      </c>
      <c r="K28" s="20">
        <v>81</v>
      </c>
      <c r="L28" s="20">
        <v>100</v>
      </c>
      <c r="M28" s="20">
        <v>95</v>
      </c>
      <c r="N28" s="20">
        <v>86</v>
      </c>
      <c r="O28" s="20">
        <v>88</v>
      </c>
      <c r="P28" s="20">
        <f t="shared" si="0"/>
        <v>906</v>
      </c>
      <c r="Q28" s="70">
        <f t="shared" si="1"/>
        <v>82.36363636363636</v>
      </c>
      <c r="R28" s="20">
        <f t="shared" si="2"/>
        <v>16</v>
      </c>
      <c r="S28" s="20"/>
      <c r="T28" s="20"/>
    </row>
    <row r="29" spans="1:20" ht="20.100000000000001" customHeight="1" x14ac:dyDescent="0.25">
      <c r="A29" s="137">
        <v>26</v>
      </c>
      <c r="B29" s="142"/>
      <c r="C29" s="156">
        <v>15</v>
      </c>
      <c r="D29" s="156" t="s">
        <v>23</v>
      </c>
      <c r="E29" s="20">
        <v>84</v>
      </c>
      <c r="F29" s="20">
        <v>89</v>
      </c>
      <c r="G29" s="20">
        <v>94</v>
      </c>
      <c r="H29" s="20">
        <v>83</v>
      </c>
      <c r="I29" s="20">
        <v>87</v>
      </c>
      <c r="J29" s="20">
        <v>97</v>
      </c>
      <c r="K29" s="20">
        <v>98</v>
      </c>
      <c r="L29" s="20">
        <v>95</v>
      </c>
      <c r="M29" s="20">
        <v>98</v>
      </c>
      <c r="N29" s="20">
        <v>100</v>
      </c>
      <c r="O29" s="20">
        <v>100</v>
      </c>
      <c r="P29" s="20">
        <f t="shared" si="0"/>
        <v>1025</v>
      </c>
      <c r="Q29" s="70">
        <f t="shared" si="1"/>
        <v>93.181818181818187</v>
      </c>
      <c r="R29" s="20">
        <f t="shared" si="2"/>
        <v>4</v>
      </c>
      <c r="S29" s="20"/>
      <c r="T29" s="20"/>
    </row>
    <row r="30" spans="1:20" ht="20.100000000000001" customHeight="1" x14ac:dyDescent="0.25">
      <c r="A30" s="137">
        <v>27</v>
      </c>
      <c r="B30" s="142"/>
      <c r="C30" s="156">
        <v>17</v>
      </c>
      <c r="D30" s="156" t="s">
        <v>23</v>
      </c>
      <c r="E30" s="20">
        <v>60</v>
      </c>
      <c r="F30" s="20">
        <v>80</v>
      </c>
      <c r="G30" s="20">
        <v>54</v>
      </c>
      <c r="H30" s="20">
        <v>52</v>
      </c>
      <c r="I30" s="20">
        <v>46</v>
      </c>
      <c r="J30" s="20">
        <v>61</v>
      </c>
      <c r="K30" s="20">
        <v>62</v>
      </c>
      <c r="L30" s="20">
        <v>65</v>
      </c>
      <c r="M30" s="20">
        <v>78</v>
      </c>
      <c r="N30" s="20">
        <v>80</v>
      </c>
      <c r="O30" s="20">
        <v>94</v>
      </c>
      <c r="P30" s="20">
        <f t="shared" si="0"/>
        <v>732</v>
      </c>
      <c r="Q30" s="70">
        <f t="shared" si="1"/>
        <v>66.545454545454547</v>
      </c>
      <c r="R30" s="20">
        <f t="shared" si="2"/>
        <v>36</v>
      </c>
      <c r="S30" s="20"/>
      <c r="T30" s="20"/>
    </row>
    <row r="31" spans="1:20" ht="20.100000000000001" customHeight="1" x14ac:dyDescent="0.25">
      <c r="A31" s="137">
        <v>28</v>
      </c>
      <c r="B31" s="142"/>
      <c r="C31" s="156">
        <v>16</v>
      </c>
      <c r="D31" s="156" t="s">
        <v>20</v>
      </c>
      <c r="E31" s="20">
        <v>83</v>
      </c>
      <c r="F31" s="20">
        <v>52</v>
      </c>
      <c r="G31" s="20">
        <v>64</v>
      </c>
      <c r="H31" s="20">
        <v>61</v>
      </c>
      <c r="I31" s="20">
        <v>57</v>
      </c>
      <c r="J31" s="20">
        <v>64</v>
      </c>
      <c r="K31" s="20">
        <v>63</v>
      </c>
      <c r="L31" s="20">
        <v>76</v>
      </c>
      <c r="M31" s="20">
        <v>65</v>
      </c>
      <c r="N31" s="20">
        <v>83</v>
      </c>
      <c r="O31" s="20">
        <v>99</v>
      </c>
      <c r="P31" s="20">
        <f t="shared" si="0"/>
        <v>767</v>
      </c>
      <c r="Q31" s="70">
        <f t="shared" si="1"/>
        <v>69.727272727272734</v>
      </c>
      <c r="R31" s="20">
        <f t="shared" si="2"/>
        <v>32</v>
      </c>
      <c r="S31" s="20"/>
      <c r="T31" s="20"/>
    </row>
    <row r="32" spans="1:20" ht="20.100000000000001" customHeight="1" x14ac:dyDescent="0.25">
      <c r="A32" s="121">
        <v>29</v>
      </c>
      <c r="B32" s="142"/>
      <c r="C32" s="156">
        <v>16</v>
      </c>
      <c r="D32" s="156" t="s">
        <v>23</v>
      </c>
      <c r="E32" s="20">
        <v>76</v>
      </c>
      <c r="F32" s="20">
        <v>71</v>
      </c>
      <c r="G32" s="20">
        <v>56</v>
      </c>
      <c r="H32" s="20">
        <v>55</v>
      </c>
      <c r="I32" s="20">
        <v>57</v>
      </c>
      <c r="J32" s="20">
        <v>75</v>
      </c>
      <c r="K32" s="20">
        <v>75</v>
      </c>
      <c r="L32" s="20">
        <v>89</v>
      </c>
      <c r="M32" s="20">
        <v>86</v>
      </c>
      <c r="N32" s="20">
        <v>78</v>
      </c>
      <c r="O32" s="20">
        <v>90</v>
      </c>
      <c r="P32" s="20">
        <f t="shared" si="0"/>
        <v>808</v>
      </c>
      <c r="Q32" s="70">
        <f t="shared" si="1"/>
        <v>73.454545454545453</v>
      </c>
      <c r="R32" s="20">
        <f t="shared" si="2"/>
        <v>27</v>
      </c>
      <c r="S32" s="20"/>
      <c r="T32" s="20"/>
    </row>
    <row r="33" spans="1:20" ht="20.100000000000001" customHeight="1" x14ac:dyDescent="0.25">
      <c r="A33" s="137">
        <v>30</v>
      </c>
      <c r="B33" s="159"/>
      <c r="C33" s="160">
        <v>16</v>
      </c>
      <c r="D33" s="160" t="s">
        <v>23</v>
      </c>
      <c r="E33" s="20">
        <v>87</v>
      </c>
      <c r="F33" s="20">
        <v>87</v>
      </c>
      <c r="G33" s="20">
        <v>77</v>
      </c>
      <c r="H33" s="20">
        <v>61</v>
      </c>
      <c r="I33" s="20">
        <v>77</v>
      </c>
      <c r="J33" s="20">
        <v>83</v>
      </c>
      <c r="K33" s="20">
        <v>70</v>
      </c>
      <c r="L33" s="20">
        <v>84</v>
      </c>
      <c r="M33" s="20">
        <v>87</v>
      </c>
      <c r="N33" s="20">
        <v>93</v>
      </c>
      <c r="O33" s="20">
        <v>87</v>
      </c>
      <c r="P33" s="20">
        <f t="shared" si="0"/>
        <v>893</v>
      </c>
      <c r="Q33" s="70">
        <f t="shared" si="1"/>
        <v>81.181818181818187</v>
      </c>
      <c r="R33" s="20">
        <f t="shared" si="2"/>
        <v>17</v>
      </c>
      <c r="S33" s="20"/>
      <c r="T33" s="20"/>
    </row>
    <row r="34" spans="1:20" ht="20.100000000000001" customHeight="1" x14ac:dyDescent="0.25">
      <c r="A34" s="121">
        <v>31</v>
      </c>
      <c r="B34" s="142"/>
      <c r="C34" s="156">
        <v>16</v>
      </c>
      <c r="D34" s="156" t="s">
        <v>23</v>
      </c>
      <c r="E34" s="20">
        <v>81</v>
      </c>
      <c r="F34" s="20">
        <v>64</v>
      </c>
      <c r="G34" s="20">
        <v>66</v>
      </c>
      <c r="H34" s="20">
        <v>47</v>
      </c>
      <c r="I34" s="20">
        <v>71</v>
      </c>
      <c r="J34" s="20">
        <v>70</v>
      </c>
      <c r="K34" s="20">
        <v>76</v>
      </c>
      <c r="L34" s="20">
        <v>87</v>
      </c>
      <c r="M34" s="20">
        <v>83</v>
      </c>
      <c r="N34" s="20">
        <v>89</v>
      </c>
      <c r="O34" s="20">
        <v>96</v>
      </c>
      <c r="P34" s="20">
        <f t="shared" si="0"/>
        <v>830</v>
      </c>
      <c r="Q34" s="70">
        <f t="shared" si="1"/>
        <v>75.454545454545453</v>
      </c>
      <c r="R34" s="20">
        <f t="shared" si="2"/>
        <v>25</v>
      </c>
      <c r="S34" s="20"/>
      <c r="T34" s="20"/>
    </row>
    <row r="35" spans="1:20" ht="20.100000000000001" customHeight="1" x14ac:dyDescent="0.25">
      <c r="A35" s="121">
        <v>32</v>
      </c>
      <c r="B35" s="142"/>
      <c r="C35" s="156">
        <v>16</v>
      </c>
      <c r="D35" s="156" t="s">
        <v>23</v>
      </c>
      <c r="E35" s="20">
        <v>76</v>
      </c>
      <c r="F35" s="20">
        <v>82</v>
      </c>
      <c r="G35" s="20">
        <v>62</v>
      </c>
      <c r="H35" s="20">
        <v>59</v>
      </c>
      <c r="I35" s="20">
        <v>72</v>
      </c>
      <c r="J35" s="20">
        <v>78</v>
      </c>
      <c r="K35" s="20">
        <v>73</v>
      </c>
      <c r="L35" s="20">
        <v>69</v>
      </c>
      <c r="M35" s="20">
        <v>87</v>
      </c>
      <c r="N35" s="20">
        <v>95</v>
      </c>
      <c r="O35" s="20">
        <v>93</v>
      </c>
      <c r="P35" s="20">
        <f t="shared" si="0"/>
        <v>846</v>
      </c>
      <c r="Q35" s="70">
        <f t="shared" si="1"/>
        <v>76.909090909090907</v>
      </c>
      <c r="R35" s="20">
        <f t="shared" si="2"/>
        <v>23</v>
      </c>
      <c r="S35" s="20"/>
      <c r="T35" s="20"/>
    </row>
    <row r="36" spans="1:20" ht="20.100000000000001" customHeight="1" x14ac:dyDescent="0.25">
      <c r="A36" s="121">
        <v>33</v>
      </c>
      <c r="B36" s="142"/>
      <c r="C36" s="156">
        <v>16</v>
      </c>
      <c r="D36" s="156" t="s">
        <v>23</v>
      </c>
      <c r="E36" s="20">
        <v>69</v>
      </c>
      <c r="F36" s="20">
        <v>67</v>
      </c>
      <c r="G36" s="20">
        <v>65</v>
      </c>
      <c r="H36" s="20">
        <v>42</v>
      </c>
      <c r="I36" s="20">
        <v>52</v>
      </c>
      <c r="J36" s="20">
        <v>46</v>
      </c>
      <c r="K36" s="20">
        <v>48</v>
      </c>
      <c r="L36" s="20">
        <v>67</v>
      </c>
      <c r="M36" s="20">
        <v>72</v>
      </c>
      <c r="N36" s="20">
        <v>80</v>
      </c>
      <c r="O36" s="20">
        <v>87</v>
      </c>
      <c r="P36" s="20">
        <f t="shared" si="0"/>
        <v>695</v>
      </c>
      <c r="Q36" s="70">
        <f t="shared" si="1"/>
        <v>63.18181818181818</v>
      </c>
      <c r="R36" s="20">
        <f t="shared" si="2"/>
        <v>43</v>
      </c>
      <c r="S36" s="20"/>
      <c r="T36" s="20"/>
    </row>
    <row r="37" spans="1:20" ht="20.100000000000001" customHeight="1" x14ac:dyDescent="0.25">
      <c r="A37" s="137">
        <v>34</v>
      </c>
      <c r="B37" s="142"/>
      <c r="C37" s="156">
        <v>16</v>
      </c>
      <c r="D37" s="156" t="s">
        <v>23</v>
      </c>
      <c r="E37" s="20">
        <v>69</v>
      </c>
      <c r="F37" s="20">
        <v>65</v>
      </c>
      <c r="G37" s="20">
        <v>66</v>
      </c>
      <c r="H37" s="20">
        <v>54</v>
      </c>
      <c r="I37" s="20">
        <v>59</v>
      </c>
      <c r="J37" s="20">
        <v>68</v>
      </c>
      <c r="K37" s="20">
        <v>63</v>
      </c>
      <c r="L37" s="20">
        <v>70</v>
      </c>
      <c r="M37" s="20">
        <v>67</v>
      </c>
      <c r="N37" s="20">
        <v>71</v>
      </c>
      <c r="O37" s="20">
        <v>88</v>
      </c>
      <c r="P37" s="20">
        <f t="shared" si="0"/>
        <v>740</v>
      </c>
      <c r="Q37" s="70">
        <f t="shared" si="1"/>
        <v>67.272727272727266</v>
      </c>
      <c r="R37" s="20">
        <f t="shared" si="2"/>
        <v>34</v>
      </c>
      <c r="S37" s="20"/>
      <c r="T37" s="20"/>
    </row>
    <row r="38" spans="1:20" ht="20.100000000000001" customHeight="1" x14ac:dyDescent="0.25">
      <c r="A38" s="137">
        <v>35</v>
      </c>
      <c r="B38" s="142"/>
      <c r="C38" s="156">
        <v>16</v>
      </c>
      <c r="D38" s="156" t="s">
        <v>20</v>
      </c>
      <c r="E38" s="20">
        <v>68</v>
      </c>
      <c r="F38" s="20">
        <v>73</v>
      </c>
      <c r="G38" s="20">
        <v>47</v>
      </c>
      <c r="H38" s="20">
        <v>52</v>
      </c>
      <c r="I38" s="20">
        <v>45</v>
      </c>
      <c r="J38" s="20">
        <v>60</v>
      </c>
      <c r="K38" s="20">
        <v>68</v>
      </c>
      <c r="L38" s="20">
        <v>81</v>
      </c>
      <c r="M38" s="20">
        <v>65</v>
      </c>
      <c r="N38" s="20">
        <v>69</v>
      </c>
      <c r="O38" s="20">
        <v>87</v>
      </c>
      <c r="P38" s="20">
        <f t="shared" si="0"/>
        <v>715</v>
      </c>
      <c r="Q38" s="70">
        <f t="shared" si="1"/>
        <v>65</v>
      </c>
      <c r="R38" s="20">
        <f t="shared" si="2"/>
        <v>38</v>
      </c>
      <c r="S38" s="20"/>
      <c r="T38" s="20"/>
    </row>
    <row r="39" spans="1:20" ht="20.100000000000001" customHeight="1" x14ac:dyDescent="0.25">
      <c r="A39" s="137">
        <v>36</v>
      </c>
      <c r="B39" s="142"/>
      <c r="C39" s="156">
        <v>15</v>
      </c>
      <c r="D39" s="156" t="s">
        <v>23</v>
      </c>
      <c r="E39" s="20">
        <v>77</v>
      </c>
      <c r="F39" s="20">
        <v>63</v>
      </c>
      <c r="G39" s="20">
        <v>75</v>
      </c>
      <c r="H39" s="20">
        <v>62</v>
      </c>
      <c r="I39" s="20">
        <v>65</v>
      </c>
      <c r="J39" s="20">
        <v>82</v>
      </c>
      <c r="K39" s="20">
        <v>83</v>
      </c>
      <c r="L39" s="20">
        <v>85</v>
      </c>
      <c r="M39" s="20">
        <v>80</v>
      </c>
      <c r="N39" s="20">
        <v>91</v>
      </c>
      <c r="O39" s="20">
        <v>96</v>
      </c>
      <c r="P39" s="20">
        <f t="shared" si="0"/>
        <v>859</v>
      </c>
      <c r="Q39" s="70">
        <f t="shared" si="1"/>
        <v>78.090909090909093</v>
      </c>
      <c r="R39" s="20">
        <f t="shared" si="2"/>
        <v>22</v>
      </c>
      <c r="S39" s="20"/>
      <c r="T39" s="20"/>
    </row>
    <row r="40" spans="1:20" ht="20.100000000000001" customHeight="1" x14ac:dyDescent="0.25">
      <c r="A40" s="121">
        <v>37</v>
      </c>
      <c r="B40" s="142"/>
      <c r="C40" s="156">
        <v>16</v>
      </c>
      <c r="D40" s="156" t="s">
        <v>20</v>
      </c>
      <c r="E40" s="20">
        <v>89</v>
      </c>
      <c r="F40" s="20">
        <v>92</v>
      </c>
      <c r="G40" s="20">
        <v>84</v>
      </c>
      <c r="H40" s="20">
        <v>68</v>
      </c>
      <c r="I40" s="20">
        <v>79</v>
      </c>
      <c r="J40" s="20">
        <v>88</v>
      </c>
      <c r="K40" s="20">
        <v>88</v>
      </c>
      <c r="L40" s="20">
        <v>81</v>
      </c>
      <c r="M40" s="20">
        <v>96</v>
      </c>
      <c r="N40" s="20">
        <v>98</v>
      </c>
      <c r="O40" s="20">
        <v>99</v>
      </c>
      <c r="P40" s="20">
        <f t="shared" si="0"/>
        <v>962</v>
      </c>
      <c r="Q40" s="70">
        <f t="shared" si="1"/>
        <v>87.454545454545453</v>
      </c>
      <c r="R40" s="20">
        <f t="shared" si="2"/>
        <v>12</v>
      </c>
      <c r="S40" s="20"/>
      <c r="T40" s="20"/>
    </row>
    <row r="41" spans="1:20" ht="20.100000000000001" customHeight="1" x14ac:dyDescent="0.25">
      <c r="A41" s="121">
        <v>38</v>
      </c>
      <c r="B41" s="161"/>
      <c r="C41" s="156">
        <v>15</v>
      </c>
      <c r="D41" s="156" t="s">
        <v>20</v>
      </c>
      <c r="E41" s="20">
        <v>84</v>
      </c>
      <c r="F41" s="20">
        <v>90</v>
      </c>
      <c r="G41" s="20">
        <v>95</v>
      </c>
      <c r="H41" s="20">
        <v>95</v>
      </c>
      <c r="I41" s="20">
        <v>88</v>
      </c>
      <c r="J41" s="20">
        <v>97</v>
      </c>
      <c r="K41" s="20">
        <v>99</v>
      </c>
      <c r="L41" s="20">
        <v>97</v>
      </c>
      <c r="M41" s="20">
        <v>100</v>
      </c>
      <c r="N41" s="20">
        <v>97</v>
      </c>
      <c r="O41" s="20">
        <v>98</v>
      </c>
      <c r="P41" s="20">
        <f t="shared" si="0"/>
        <v>1040</v>
      </c>
      <c r="Q41" s="70">
        <f t="shared" si="1"/>
        <v>94.545454545454547</v>
      </c>
      <c r="R41" s="20">
        <f t="shared" si="2"/>
        <v>3</v>
      </c>
      <c r="S41" s="20"/>
      <c r="T41" s="20"/>
    </row>
    <row r="42" spans="1:20" ht="20.100000000000001" customHeight="1" x14ac:dyDescent="0.25">
      <c r="A42" s="137">
        <v>39</v>
      </c>
      <c r="B42" s="142"/>
      <c r="C42" s="156">
        <v>15</v>
      </c>
      <c r="D42" s="156" t="s">
        <v>20</v>
      </c>
      <c r="E42" s="20">
        <v>86</v>
      </c>
      <c r="F42" s="20">
        <v>88</v>
      </c>
      <c r="G42" s="20">
        <v>90</v>
      </c>
      <c r="H42" s="20">
        <v>84</v>
      </c>
      <c r="I42" s="20">
        <v>87</v>
      </c>
      <c r="J42" s="20">
        <v>90</v>
      </c>
      <c r="K42" s="20">
        <v>89</v>
      </c>
      <c r="L42" s="20">
        <v>83</v>
      </c>
      <c r="M42" s="20">
        <v>97</v>
      </c>
      <c r="N42" s="20">
        <v>95</v>
      </c>
      <c r="O42" s="20">
        <v>96</v>
      </c>
      <c r="P42" s="20">
        <f t="shared" si="0"/>
        <v>985</v>
      </c>
      <c r="Q42" s="70">
        <f t="shared" si="1"/>
        <v>89.545454545454547</v>
      </c>
      <c r="R42" s="20">
        <f t="shared" si="2"/>
        <v>8</v>
      </c>
      <c r="S42" s="20"/>
      <c r="T42" s="20"/>
    </row>
    <row r="43" spans="1:20" ht="20.100000000000001" customHeight="1" x14ac:dyDescent="0.25">
      <c r="A43" s="121">
        <v>40</v>
      </c>
      <c r="B43" s="142"/>
      <c r="C43" s="156">
        <v>16</v>
      </c>
      <c r="D43" s="156" t="s">
        <v>20</v>
      </c>
      <c r="E43" s="20">
        <v>80</v>
      </c>
      <c r="F43" s="20">
        <v>84</v>
      </c>
      <c r="G43" s="20">
        <v>87</v>
      </c>
      <c r="H43" s="20">
        <v>88</v>
      </c>
      <c r="I43" s="20">
        <v>85</v>
      </c>
      <c r="J43" s="20">
        <v>94</v>
      </c>
      <c r="K43" s="20">
        <v>90</v>
      </c>
      <c r="L43" s="20">
        <v>87</v>
      </c>
      <c r="M43" s="20">
        <v>95</v>
      </c>
      <c r="N43" s="20">
        <v>95</v>
      </c>
      <c r="O43" s="20">
        <v>100</v>
      </c>
      <c r="P43" s="20">
        <f t="shared" si="0"/>
        <v>985</v>
      </c>
      <c r="Q43" s="70">
        <f t="shared" si="1"/>
        <v>89.545454545454547</v>
      </c>
      <c r="R43" s="20">
        <f t="shared" si="2"/>
        <v>8</v>
      </c>
      <c r="S43" s="20"/>
      <c r="T43" s="20"/>
    </row>
    <row r="44" spans="1:20" ht="20.100000000000001" customHeight="1" x14ac:dyDescent="0.25">
      <c r="A44" s="137">
        <v>41</v>
      </c>
      <c r="B44" s="142"/>
      <c r="C44" s="156">
        <v>16</v>
      </c>
      <c r="D44" s="156" t="s">
        <v>20</v>
      </c>
      <c r="E44" s="20">
        <v>86</v>
      </c>
      <c r="F44" s="20">
        <v>83</v>
      </c>
      <c r="G44" s="20">
        <v>68</v>
      </c>
      <c r="H44" s="20">
        <v>64</v>
      </c>
      <c r="I44" s="20">
        <v>75</v>
      </c>
      <c r="J44" s="20">
        <v>89</v>
      </c>
      <c r="K44" s="20">
        <v>92</v>
      </c>
      <c r="L44" s="20">
        <v>95</v>
      </c>
      <c r="M44" s="20">
        <v>98</v>
      </c>
      <c r="N44" s="20">
        <v>99</v>
      </c>
      <c r="O44" s="20">
        <v>100</v>
      </c>
      <c r="P44" s="20">
        <f t="shared" si="0"/>
        <v>949</v>
      </c>
      <c r="Q44" s="70">
        <f t="shared" si="1"/>
        <v>86.272727272727266</v>
      </c>
      <c r="R44" s="20">
        <f t="shared" si="2"/>
        <v>14</v>
      </c>
      <c r="S44" s="20"/>
      <c r="T44" s="20"/>
    </row>
    <row r="45" spans="1:20" ht="20.100000000000001" customHeight="1" x14ac:dyDescent="0.25">
      <c r="A45" s="137">
        <v>42</v>
      </c>
      <c r="B45" s="142"/>
      <c r="C45" s="156">
        <v>15</v>
      </c>
      <c r="D45" s="156" t="s">
        <v>20</v>
      </c>
      <c r="E45" s="20">
        <v>74</v>
      </c>
      <c r="F45" s="20">
        <v>78</v>
      </c>
      <c r="G45" s="20">
        <v>42</v>
      </c>
      <c r="H45" s="20">
        <v>36</v>
      </c>
      <c r="I45" s="20">
        <v>41</v>
      </c>
      <c r="J45" s="20">
        <v>69</v>
      </c>
      <c r="K45" s="20">
        <v>64</v>
      </c>
      <c r="L45" s="20">
        <v>51</v>
      </c>
      <c r="M45" s="20">
        <v>85</v>
      </c>
      <c r="N45" s="20">
        <v>81</v>
      </c>
      <c r="O45" s="20">
        <v>95</v>
      </c>
      <c r="P45" s="20">
        <f t="shared" si="0"/>
        <v>716</v>
      </c>
      <c r="Q45" s="70">
        <f t="shared" si="1"/>
        <v>65.090909090909093</v>
      </c>
      <c r="R45" s="20">
        <f t="shared" si="2"/>
        <v>37</v>
      </c>
      <c r="S45" s="20"/>
      <c r="T45" s="20"/>
    </row>
    <row r="46" spans="1:20" ht="20.100000000000001" customHeight="1" x14ac:dyDescent="0.25">
      <c r="A46" s="137">
        <v>43</v>
      </c>
      <c r="B46" s="142"/>
      <c r="C46" s="156">
        <v>16</v>
      </c>
      <c r="D46" s="156" t="s">
        <v>23</v>
      </c>
      <c r="E46" s="20">
        <v>60</v>
      </c>
      <c r="F46" s="20">
        <v>67</v>
      </c>
      <c r="G46" s="20">
        <v>63</v>
      </c>
      <c r="H46" s="20">
        <v>61</v>
      </c>
      <c r="I46" s="20">
        <v>60</v>
      </c>
      <c r="J46" s="20">
        <v>81</v>
      </c>
      <c r="K46" s="20">
        <v>74</v>
      </c>
      <c r="L46" s="20">
        <v>89</v>
      </c>
      <c r="M46" s="20">
        <v>71</v>
      </c>
      <c r="N46" s="20">
        <v>76</v>
      </c>
      <c r="O46" s="20">
        <v>92</v>
      </c>
      <c r="P46" s="20">
        <f t="shared" si="0"/>
        <v>794</v>
      </c>
      <c r="Q46" s="70">
        <f t="shared" si="1"/>
        <v>72.181818181818187</v>
      </c>
      <c r="R46" s="20">
        <f t="shared" si="2"/>
        <v>30</v>
      </c>
      <c r="S46" s="20"/>
      <c r="T46" s="20"/>
    </row>
    <row r="47" spans="1:20" ht="20.100000000000001" customHeight="1" x14ac:dyDescent="0.25">
      <c r="A47" s="121">
        <v>44</v>
      </c>
      <c r="B47" s="142"/>
      <c r="C47" s="156">
        <v>15</v>
      </c>
      <c r="D47" s="156" t="s">
        <v>23</v>
      </c>
      <c r="E47" s="20">
        <v>83</v>
      </c>
      <c r="F47" s="20">
        <v>69</v>
      </c>
      <c r="G47" s="20">
        <v>88</v>
      </c>
      <c r="H47" s="20">
        <v>77</v>
      </c>
      <c r="I47" s="20">
        <v>72</v>
      </c>
      <c r="J47" s="20">
        <v>82</v>
      </c>
      <c r="K47" s="20">
        <v>84</v>
      </c>
      <c r="L47" s="20">
        <v>75</v>
      </c>
      <c r="M47" s="20">
        <v>90</v>
      </c>
      <c r="N47" s="20">
        <v>87</v>
      </c>
      <c r="O47" s="20">
        <v>100</v>
      </c>
      <c r="P47" s="20">
        <f t="shared" si="0"/>
        <v>907</v>
      </c>
      <c r="Q47" s="70">
        <f t="shared" si="1"/>
        <v>82.454545454545453</v>
      </c>
      <c r="R47" s="20">
        <f t="shared" si="2"/>
        <v>15</v>
      </c>
      <c r="S47" s="20"/>
      <c r="T47" s="20"/>
    </row>
    <row r="48" spans="1:20" ht="20.100000000000001" customHeight="1" x14ac:dyDescent="0.25">
      <c r="A48" s="137">
        <v>45</v>
      </c>
      <c r="B48" s="142"/>
      <c r="C48" s="156">
        <v>16</v>
      </c>
      <c r="D48" s="156" t="s">
        <v>23</v>
      </c>
      <c r="E48" s="20">
        <v>87</v>
      </c>
      <c r="F48" s="20">
        <v>93</v>
      </c>
      <c r="G48" s="20">
        <v>97</v>
      </c>
      <c r="H48" s="20">
        <v>91</v>
      </c>
      <c r="I48" s="20">
        <v>89</v>
      </c>
      <c r="J48" s="20">
        <v>100</v>
      </c>
      <c r="K48" s="20">
        <v>96</v>
      </c>
      <c r="L48" s="20">
        <v>97</v>
      </c>
      <c r="M48" s="20">
        <v>99</v>
      </c>
      <c r="N48" s="20">
        <v>99</v>
      </c>
      <c r="O48" s="20">
        <v>98</v>
      </c>
      <c r="P48" s="20">
        <f t="shared" si="0"/>
        <v>1046</v>
      </c>
      <c r="Q48" s="70">
        <f t="shared" si="1"/>
        <v>95.090909090909093</v>
      </c>
      <c r="R48" s="20">
        <f t="shared" si="2"/>
        <v>1</v>
      </c>
      <c r="S48" s="20"/>
      <c r="T48" s="20"/>
    </row>
    <row r="49" spans="1:20" ht="20.100000000000001" customHeight="1" x14ac:dyDescent="0.25">
      <c r="A49" s="121">
        <v>46</v>
      </c>
      <c r="B49" s="142"/>
      <c r="C49" s="156">
        <v>16</v>
      </c>
      <c r="D49" s="156" t="s">
        <v>23</v>
      </c>
      <c r="E49" s="20">
        <v>71</v>
      </c>
      <c r="F49" s="20">
        <v>76</v>
      </c>
      <c r="G49" s="20">
        <v>64</v>
      </c>
      <c r="H49" s="20">
        <v>63</v>
      </c>
      <c r="I49" s="20">
        <v>63</v>
      </c>
      <c r="J49" s="20">
        <v>82</v>
      </c>
      <c r="K49" s="20">
        <v>75</v>
      </c>
      <c r="L49" s="20">
        <v>81</v>
      </c>
      <c r="M49" s="20">
        <v>89</v>
      </c>
      <c r="N49" s="20">
        <v>86</v>
      </c>
      <c r="O49" s="20">
        <v>94</v>
      </c>
      <c r="P49" s="20">
        <f t="shared" si="0"/>
        <v>844</v>
      </c>
      <c r="Q49" s="70">
        <f t="shared" si="1"/>
        <v>76.727272727272734</v>
      </c>
      <c r="R49" s="20">
        <f t="shared" si="2"/>
        <v>24</v>
      </c>
      <c r="S49" s="20"/>
      <c r="T49" s="20"/>
    </row>
    <row r="50" spans="1:20" ht="20.100000000000001" customHeight="1" x14ac:dyDescent="0.25">
      <c r="A50" s="121">
        <v>47</v>
      </c>
      <c r="B50" s="142"/>
      <c r="C50" s="156">
        <v>15</v>
      </c>
      <c r="D50" s="156" t="s">
        <v>20</v>
      </c>
      <c r="E50" s="20">
        <v>75</v>
      </c>
      <c r="F50" s="20">
        <v>56</v>
      </c>
      <c r="G50" s="20">
        <v>58</v>
      </c>
      <c r="H50" s="20">
        <v>48</v>
      </c>
      <c r="I50" s="20">
        <v>47</v>
      </c>
      <c r="J50" s="20">
        <v>70</v>
      </c>
      <c r="K50" s="20">
        <v>73</v>
      </c>
      <c r="L50" s="20">
        <v>71</v>
      </c>
      <c r="M50" s="20">
        <v>78</v>
      </c>
      <c r="N50" s="20">
        <v>77</v>
      </c>
      <c r="O50" s="20">
        <v>87</v>
      </c>
      <c r="P50" s="20">
        <f t="shared" si="0"/>
        <v>740</v>
      </c>
      <c r="Q50" s="70">
        <f t="shared" si="1"/>
        <v>67.272727272727266</v>
      </c>
      <c r="R50" s="20">
        <f t="shared" si="2"/>
        <v>34</v>
      </c>
      <c r="S50" s="20"/>
      <c r="T50" s="20"/>
    </row>
    <row r="51" spans="1:20" ht="20.100000000000001" customHeight="1" x14ac:dyDescent="0.25">
      <c r="A51" s="121">
        <v>48</v>
      </c>
      <c r="B51" s="142"/>
      <c r="C51" s="156">
        <v>16</v>
      </c>
      <c r="D51" s="156" t="s">
        <v>20</v>
      </c>
      <c r="E51" s="20">
        <v>65</v>
      </c>
      <c r="F51" s="20">
        <v>77</v>
      </c>
      <c r="G51" s="20">
        <v>66</v>
      </c>
      <c r="H51" s="20">
        <v>57</v>
      </c>
      <c r="I51" s="20">
        <v>59</v>
      </c>
      <c r="J51" s="20">
        <v>74</v>
      </c>
      <c r="K51" s="20">
        <v>74</v>
      </c>
      <c r="L51" s="20">
        <v>75</v>
      </c>
      <c r="M51" s="20">
        <v>73</v>
      </c>
      <c r="N51" s="20">
        <v>90</v>
      </c>
      <c r="O51" s="20">
        <v>88</v>
      </c>
      <c r="P51" s="20">
        <f t="shared" si="0"/>
        <v>798</v>
      </c>
      <c r="Q51" s="70">
        <f t="shared" si="1"/>
        <v>72.545454545454547</v>
      </c>
      <c r="R51" s="20">
        <f t="shared" si="2"/>
        <v>29</v>
      </c>
      <c r="S51" s="20"/>
      <c r="T51" s="20"/>
    </row>
    <row r="52" spans="1:20" ht="19.5" customHeight="1" x14ac:dyDescent="0.25">
      <c r="A52" s="137">
        <v>49</v>
      </c>
      <c r="B52" s="142"/>
      <c r="C52" s="156">
        <v>15</v>
      </c>
      <c r="D52" s="156" t="s">
        <v>20</v>
      </c>
      <c r="E52" s="20">
        <v>73</v>
      </c>
      <c r="F52" s="20">
        <v>88</v>
      </c>
      <c r="G52" s="20">
        <v>91</v>
      </c>
      <c r="H52" s="20">
        <v>89</v>
      </c>
      <c r="I52" s="20">
        <v>91</v>
      </c>
      <c r="J52" s="20">
        <v>94</v>
      </c>
      <c r="K52" s="20">
        <v>93</v>
      </c>
      <c r="L52" s="20">
        <v>93</v>
      </c>
      <c r="M52" s="20">
        <v>99</v>
      </c>
      <c r="N52" s="20">
        <v>96</v>
      </c>
      <c r="O52" s="20">
        <v>98</v>
      </c>
      <c r="P52" s="20">
        <f t="shared" si="0"/>
        <v>1005</v>
      </c>
      <c r="Q52" s="70">
        <f t="shared" si="1"/>
        <v>91.36363636363636</v>
      </c>
      <c r="R52" s="20">
        <f t="shared" si="2"/>
        <v>6</v>
      </c>
      <c r="S52" s="20"/>
      <c r="T52" s="20"/>
    </row>
    <row r="53" spans="1:20" ht="19.5" customHeight="1" x14ac:dyDescent="0.25">
      <c r="A53" s="157">
        <v>50</v>
      </c>
      <c r="B53" s="142"/>
      <c r="C53" s="156">
        <v>15</v>
      </c>
      <c r="D53" s="156" t="s">
        <v>20</v>
      </c>
      <c r="E53" s="20">
        <v>80</v>
      </c>
      <c r="F53" s="20">
        <v>78</v>
      </c>
      <c r="G53" s="20">
        <v>64</v>
      </c>
      <c r="H53" s="20">
        <v>68</v>
      </c>
      <c r="I53" s="20">
        <v>77</v>
      </c>
      <c r="J53" s="20">
        <v>81</v>
      </c>
      <c r="K53" s="20">
        <v>80</v>
      </c>
      <c r="L53" s="20">
        <v>80</v>
      </c>
      <c r="M53" s="20">
        <v>87</v>
      </c>
      <c r="N53" s="20">
        <v>85</v>
      </c>
      <c r="O53" s="20">
        <v>92</v>
      </c>
      <c r="P53" s="20">
        <f t="shared" si="0"/>
        <v>872</v>
      </c>
      <c r="Q53" s="70">
        <f t="shared" si="1"/>
        <v>79.272727272727266</v>
      </c>
      <c r="R53" s="20">
        <f t="shared" si="2"/>
        <v>20</v>
      </c>
      <c r="S53" s="20"/>
      <c r="T53" s="20"/>
    </row>
    <row r="54" spans="1:20" ht="19.5" customHeight="1" x14ac:dyDescent="0.25">
      <c r="A54" s="157">
        <v>51</v>
      </c>
      <c r="B54" s="126"/>
      <c r="C54" s="164"/>
      <c r="D54" s="164"/>
      <c r="E54" s="20"/>
      <c r="F54" s="20"/>
      <c r="G54" s="20"/>
      <c r="H54" s="20"/>
      <c r="I54" s="20"/>
      <c r="J54" s="20"/>
      <c r="K54" s="20"/>
      <c r="L54" s="20"/>
      <c r="M54" s="20"/>
      <c r="N54" s="20"/>
      <c r="O54" s="20"/>
      <c r="P54" s="20"/>
      <c r="Q54" s="70"/>
      <c r="R54" s="20"/>
      <c r="S54" s="20"/>
      <c r="T54" s="20"/>
    </row>
    <row r="55" spans="1:20" ht="19.5" customHeight="1" x14ac:dyDescent="0.25">
      <c r="A55" s="157">
        <v>52</v>
      </c>
      <c r="B55" s="165"/>
      <c r="C55" s="166"/>
      <c r="D55" s="166"/>
      <c r="E55" s="20"/>
      <c r="F55" s="20"/>
      <c r="G55" s="20"/>
      <c r="H55" s="20"/>
      <c r="I55" s="20"/>
      <c r="J55" s="20"/>
      <c r="K55" s="20"/>
      <c r="L55" s="20"/>
      <c r="M55" s="20"/>
      <c r="N55" s="20"/>
      <c r="O55" s="20"/>
      <c r="P55" s="20"/>
      <c r="Q55" s="70"/>
      <c r="R55" s="20"/>
      <c r="S55" s="20"/>
      <c r="T55" s="20"/>
    </row>
    <row r="56" spans="1:20" ht="19.5" customHeight="1" x14ac:dyDescent="0.25">
      <c r="A56" s="157">
        <v>53</v>
      </c>
      <c r="B56" s="20"/>
      <c r="C56" s="20"/>
      <c r="D56" s="20"/>
      <c r="E56" s="20"/>
      <c r="F56" s="20"/>
      <c r="G56" s="20"/>
      <c r="H56" s="20"/>
      <c r="I56" s="20"/>
      <c r="J56" s="20"/>
      <c r="K56" s="20"/>
      <c r="L56" s="20"/>
      <c r="M56" s="20"/>
      <c r="N56" s="20"/>
      <c r="O56" s="20"/>
      <c r="P56" s="20"/>
      <c r="Q56" s="20"/>
      <c r="R56" s="20"/>
      <c r="S56" s="20"/>
      <c r="T56" s="20"/>
    </row>
    <row r="57" spans="1:20" ht="19.5" customHeight="1" x14ac:dyDescent="0.25">
      <c r="A57" s="157">
        <v>54</v>
      </c>
      <c r="B57" s="20"/>
      <c r="C57" s="20"/>
      <c r="D57" s="20"/>
      <c r="E57" s="20"/>
      <c r="F57" s="20"/>
      <c r="G57" s="20"/>
      <c r="H57" s="20"/>
      <c r="I57" s="20"/>
      <c r="J57" s="20"/>
      <c r="K57" s="20"/>
      <c r="L57" s="20"/>
      <c r="M57" s="20"/>
      <c r="N57" s="20"/>
      <c r="O57" s="20"/>
      <c r="P57" s="20"/>
      <c r="Q57" s="20"/>
      <c r="R57" s="20"/>
      <c r="S57" s="20"/>
      <c r="T57" s="20"/>
    </row>
    <row r="58" spans="1:20" ht="19.5" customHeight="1" x14ac:dyDescent="0.25">
      <c r="A58" s="157">
        <v>55</v>
      </c>
      <c r="B58" s="20"/>
      <c r="C58" s="20"/>
      <c r="D58" s="20"/>
      <c r="E58" s="20"/>
      <c r="F58" s="20"/>
      <c r="G58" s="20"/>
      <c r="H58" s="20"/>
      <c r="I58" s="20"/>
      <c r="J58" s="20"/>
      <c r="K58" s="20"/>
      <c r="L58" s="20"/>
      <c r="M58" s="20"/>
      <c r="N58" s="20"/>
      <c r="O58" s="20"/>
      <c r="P58" s="20"/>
      <c r="Q58" s="20"/>
      <c r="R58" s="20"/>
      <c r="S58" s="20"/>
      <c r="T58" s="20"/>
    </row>
  </sheetData>
  <mergeCells count="2">
    <mergeCell ref="A1:T1"/>
    <mergeCell ref="A2:T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58"/>
  <sheetViews>
    <sheetView topLeftCell="A4" workbookViewId="0">
      <selection activeCell="B4" sqref="B4:B53"/>
    </sheetView>
  </sheetViews>
  <sheetFormatPr defaultRowHeight="15" x14ac:dyDescent="0.25"/>
  <cols>
    <col min="1" max="1" width="6.7109375" style="14" customWidth="1"/>
    <col min="2" max="2" width="35.140625" bestFit="1" customWidth="1"/>
    <col min="3" max="3" width="4.7109375" customWidth="1"/>
    <col min="4" max="4" width="4.140625" customWidth="1"/>
    <col min="5" max="5" width="12" style="14" customWidth="1"/>
    <col min="6" max="7" width="10.5703125" style="14" customWidth="1"/>
    <col min="8" max="8" width="12.85546875" customWidth="1"/>
  </cols>
  <sheetData>
    <row r="1" spans="1:12" ht="20.25" x14ac:dyDescent="0.25">
      <c r="A1" s="288" t="s">
        <v>44</v>
      </c>
      <c r="B1" s="289"/>
      <c r="C1" s="289"/>
      <c r="D1" s="289"/>
      <c r="E1" s="289"/>
      <c r="F1" s="289"/>
      <c r="G1" s="289"/>
    </row>
    <row r="2" spans="1:12" x14ac:dyDescent="0.25">
      <c r="A2" s="290" t="s">
        <v>47</v>
      </c>
      <c r="B2" s="291"/>
      <c r="C2" s="291"/>
      <c r="D2" s="291"/>
      <c r="E2" s="291"/>
      <c r="F2" s="291"/>
      <c r="G2" s="291"/>
      <c r="H2" s="291"/>
    </row>
    <row r="3" spans="1:12" ht="67.5" customHeight="1" thickBot="1" x14ac:dyDescent="0.3">
      <c r="A3" s="21" t="s">
        <v>24</v>
      </c>
      <c r="B3" s="22" t="s">
        <v>1</v>
      </c>
      <c r="C3" s="23" t="s">
        <v>2</v>
      </c>
      <c r="D3" s="22" t="s">
        <v>3</v>
      </c>
      <c r="E3" s="72" t="s">
        <v>26</v>
      </c>
      <c r="F3" s="72" t="s">
        <v>27</v>
      </c>
      <c r="G3" s="72" t="s">
        <v>16</v>
      </c>
      <c r="H3" s="123" t="s">
        <v>17</v>
      </c>
      <c r="J3" s="129"/>
      <c r="K3" s="129"/>
      <c r="L3" s="129"/>
    </row>
    <row r="4" spans="1:12" ht="20.100000000000001" customHeight="1" x14ac:dyDescent="0.25">
      <c r="A4" s="136">
        <v>1</v>
      </c>
      <c r="B4" s="142"/>
      <c r="C4" s="156">
        <v>15</v>
      </c>
      <c r="D4" s="156" t="s">
        <v>20</v>
      </c>
      <c r="E4" s="33">
        <f>'10A Sem 1'!Q4</f>
        <v>59.18181818181818</v>
      </c>
      <c r="F4" s="33">
        <f>'10A Sem 2'!Q4</f>
        <v>60.636363636363633</v>
      </c>
      <c r="G4" s="33">
        <f>AVERAGE(E4:F4)</f>
        <v>59.909090909090907</v>
      </c>
      <c r="H4" s="132">
        <f>RANK(G4,$G$4:$G$54)</f>
        <v>47</v>
      </c>
      <c r="J4" s="129"/>
      <c r="K4" s="130"/>
      <c r="L4" s="131"/>
    </row>
    <row r="5" spans="1:12" ht="20.100000000000001" customHeight="1" x14ac:dyDescent="0.25">
      <c r="A5" s="121">
        <v>2</v>
      </c>
      <c r="B5" s="142"/>
      <c r="C5" s="156">
        <v>15</v>
      </c>
      <c r="D5" s="156" t="s">
        <v>20</v>
      </c>
      <c r="E5" s="33">
        <f>'10A Sem 1'!Q5</f>
        <v>96</v>
      </c>
      <c r="F5" s="33">
        <f>'10A Sem 2'!Q5</f>
        <v>94.818181818181813</v>
      </c>
      <c r="G5" s="33">
        <f t="shared" ref="G5:G58" si="0">AVERAGE(E5:F5)</f>
        <v>95.409090909090907</v>
      </c>
      <c r="H5" s="132">
        <f t="shared" ref="H5:H53" si="1">RANK(G5,$G$4:$G$54)</f>
        <v>1</v>
      </c>
      <c r="J5" s="129"/>
      <c r="K5" s="130"/>
      <c r="L5" s="131"/>
    </row>
    <row r="6" spans="1:12" ht="20.100000000000001" customHeight="1" x14ac:dyDescent="0.25">
      <c r="A6" s="137">
        <v>3</v>
      </c>
      <c r="B6" s="142"/>
      <c r="C6" s="156">
        <v>17</v>
      </c>
      <c r="D6" s="156" t="s">
        <v>20</v>
      </c>
      <c r="E6" s="33">
        <f>'10A Sem 1'!Q6</f>
        <v>79.909090909090907</v>
      </c>
      <c r="F6" s="33">
        <f>'10A Sem 2'!Q6</f>
        <v>79.63636363636364</v>
      </c>
      <c r="G6" s="33">
        <f t="shared" si="0"/>
        <v>79.77272727272728</v>
      </c>
      <c r="H6" s="132">
        <f t="shared" si="1"/>
        <v>18</v>
      </c>
      <c r="J6" s="129"/>
      <c r="K6" s="130"/>
      <c r="L6" s="131"/>
    </row>
    <row r="7" spans="1:12" ht="20.100000000000001" customHeight="1" x14ac:dyDescent="0.25">
      <c r="A7" s="121">
        <v>4</v>
      </c>
      <c r="B7" s="142"/>
      <c r="C7" s="156">
        <v>15</v>
      </c>
      <c r="D7" s="156" t="s">
        <v>20</v>
      </c>
      <c r="E7" s="33">
        <f>'10A Sem 1'!Q7</f>
        <v>84.181818181818187</v>
      </c>
      <c r="F7" s="33">
        <f>'10A Sem 2'!Q7</f>
        <v>81</v>
      </c>
      <c r="G7" s="33">
        <f t="shared" si="0"/>
        <v>82.590909090909093</v>
      </c>
      <c r="H7" s="132">
        <f t="shared" si="1"/>
        <v>15</v>
      </c>
      <c r="J7" s="129"/>
      <c r="K7" s="130"/>
      <c r="L7" s="131"/>
    </row>
    <row r="8" spans="1:12" ht="20.100000000000001" customHeight="1" x14ac:dyDescent="0.25">
      <c r="A8" s="121">
        <v>5</v>
      </c>
      <c r="B8" s="142"/>
      <c r="C8" s="156">
        <v>16</v>
      </c>
      <c r="D8" s="156" t="s">
        <v>23</v>
      </c>
      <c r="E8" s="33">
        <f>'10A Sem 1'!Q8</f>
        <v>66.181818181818187</v>
      </c>
      <c r="F8" s="33">
        <f>'10A Sem 2'!Q8</f>
        <v>73.63636363636364</v>
      </c>
      <c r="G8" s="33">
        <f t="shared" si="0"/>
        <v>69.909090909090907</v>
      </c>
      <c r="H8" s="132">
        <f t="shared" si="1"/>
        <v>31</v>
      </c>
      <c r="J8" s="129"/>
      <c r="K8" s="130"/>
      <c r="L8" s="131"/>
    </row>
    <row r="9" spans="1:12" ht="20.100000000000001" customHeight="1" x14ac:dyDescent="0.25">
      <c r="A9" s="137">
        <v>6</v>
      </c>
      <c r="B9" s="142"/>
      <c r="C9" s="156">
        <v>16</v>
      </c>
      <c r="D9" s="156" t="s">
        <v>23</v>
      </c>
      <c r="E9" s="33">
        <f>'10A Sem 1'!Q9</f>
        <v>63.454545454545453</v>
      </c>
      <c r="F9" s="33">
        <f>'10A Sem 2'!Q9</f>
        <v>64.181818181818187</v>
      </c>
      <c r="G9" s="33">
        <f t="shared" si="0"/>
        <v>63.81818181818182</v>
      </c>
      <c r="H9" s="132">
        <f t="shared" si="1"/>
        <v>41</v>
      </c>
      <c r="J9" s="129"/>
      <c r="K9" s="130"/>
      <c r="L9" s="131"/>
    </row>
    <row r="10" spans="1:12" ht="20.100000000000001" customHeight="1" x14ac:dyDescent="0.25">
      <c r="A10" s="121">
        <v>7</v>
      </c>
      <c r="B10" s="142"/>
      <c r="C10" s="156">
        <v>16</v>
      </c>
      <c r="D10" s="156" t="s">
        <v>20</v>
      </c>
      <c r="E10" s="33">
        <f>'10A Sem 1'!Q10</f>
        <v>61</v>
      </c>
      <c r="F10" s="33">
        <f>'10A Sem 2'!Q10</f>
        <v>59.909090909090907</v>
      </c>
      <c r="G10" s="33">
        <f t="shared" si="0"/>
        <v>60.454545454545453</v>
      </c>
      <c r="H10" s="132">
        <f t="shared" si="1"/>
        <v>46</v>
      </c>
      <c r="J10" s="129"/>
      <c r="K10" s="130"/>
      <c r="L10" s="131"/>
    </row>
    <row r="11" spans="1:12" ht="20.100000000000001" customHeight="1" x14ac:dyDescent="0.25">
      <c r="A11" s="121">
        <v>8</v>
      </c>
      <c r="B11" s="142"/>
      <c r="C11" s="156">
        <v>16</v>
      </c>
      <c r="D11" s="156" t="s">
        <v>23</v>
      </c>
      <c r="E11" s="33">
        <f>'10A Sem 1'!Q11</f>
        <v>82.63636363636364</v>
      </c>
      <c r="F11" s="33">
        <f>'10A Sem 2'!Q11</f>
        <v>88</v>
      </c>
      <c r="G11" s="33">
        <f t="shared" si="0"/>
        <v>85.318181818181813</v>
      </c>
      <c r="H11" s="132">
        <f t="shared" si="1"/>
        <v>14</v>
      </c>
      <c r="J11" s="129"/>
      <c r="K11" s="130"/>
      <c r="L11" s="131"/>
    </row>
    <row r="12" spans="1:12" ht="20.100000000000001" customHeight="1" x14ac:dyDescent="0.25">
      <c r="A12" s="137">
        <v>9</v>
      </c>
      <c r="B12" s="142"/>
      <c r="C12" s="156">
        <v>15</v>
      </c>
      <c r="D12" s="156" t="s">
        <v>23</v>
      </c>
      <c r="E12" s="33">
        <f>'10A Sem 1'!Q12</f>
        <v>59.636363636363633</v>
      </c>
      <c r="F12" s="33">
        <f>'10A Sem 2'!Q12</f>
        <v>62.909090909090907</v>
      </c>
      <c r="G12" s="33">
        <f t="shared" si="0"/>
        <v>61.272727272727266</v>
      </c>
      <c r="H12" s="132">
        <f t="shared" si="1"/>
        <v>44</v>
      </c>
      <c r="J12" s="129"/>
      <c r="K12" s="130"/>
      <c r="L12" s="131"/>
    </row>
    <row r="13" spans="1:12" ht="20.100000000000001" customHeight="1" x14ac:dyDescent="0.25">
      <c r="A13" s="121">
        <v>10</v>
      </c>
      <c r="B13" s="142"/>
      <c r="C13" s="156">
        <v>15</v>
      </c>
      <c r="D13" s="156" t="s">
        <v>23</v>
      </c>
      <c r="E13" s="33">
        <f>'10A Sem 1'!Q13</f>
        <v>89.545454545454547</v>
      </c>
      <c r="F13" s="33">
        <f>'10A Sem 2'!Q13</f>
        <v>91.818181818181813</v>
      </c>
      <c r="G13" s="33">
        <f t="shared" si="0"/>
        <v>90.681818181818187</v>
      </c>
      <c r="H13" s="132">
        <f t="shared" si="1"/>
        <v>6</v>
      </c>
      <c r="J13" s="129"/>
      <c r="K13" s="130"/>
      <c r="L13" s="131"/>
    </row>
    <row r="14" spans="1:12" ht="20.100000000000001" customHeight="1" x14ac:dyDescent="0.25">
      <c r="A14" s="137">
        <v>11</v>
      </c>
      <c r="B14" s="142"/>
      <c r="C14" s="156">
        <v>16</v>
      </c>
      <c r="D14" s="156" t="s">
        <v>23</v>
      </c>
      <c r="E14" s="33">
        <f>'10A Sem 1'!Q14</f>
        <v>0</v>
      </c>
      <c r="F14" s="33">
        <f>'10A Sem 2'!Q14</f>
        <v>0</v>
      </c>
      <c r="G14" s="33">
        <f t="shared" si="0"/>
        <v>0</v>
      </c>
      <c r="H14" s="132">
        <f t="shared" si="1"/>
        <v>50</v>
      </c>
      <c r="J14" s="129"/>
      <c r="K14" s="130"/>
      <c r="L14" s="131"/>
    </row>
    <row r="15" spans="1:12" ht="20.100000000000001" customHeight="1" x14ac:dyDescent="0.25">
      <c r="A15" s="137">
        <v>12</v>
      </c>
      <c r="B15" s="142"/>
      <c r="C15" s="156">
        <v>15</v>
      </c>
      <c r="D15" s="156" t="s">
        <v>23</v>
      </c>
      <c r="E15" s="33">
        <f>'10A Sem 1'!Q15</f>
        <v>60.81818181818182</v>
      </c>
      <c r="F15" s="33">
        <f>'10A Sem 2'!Q15</f>
        <v>64.818181818181813</v>
      </c>
      <c r="G15" s="33">
        <f t="shared" si="0"/>
        <v>62.818181818181813</v>
      </c>
      <c r="H15" s="132">
        <f t="shared" si="1"/>
        <v>43</v>
      </c>
      <c r="J15" s="129"/>
      <c r="K15" s="130"/>
      <c r="L15" s="131"/>
    </row>
    <row r="16" spans="1:12" ht="20.100000000000001" customHeight="1" x14ac:dyDescent="0.25">
      <c r="A16" s="137">
        <v>13</v>
      </c>
      <c r="B16" s="142"/>
      <c r="C16" s="156">
        <v>15</v>
      </c>
      <c r="D16" s="156" t="s">
        <v>23</v>
      </c>
      <c r="E16" s="33">
        <f>'10A Sem 1'!Q16</f>
        <v>64.63636363636364</v>
      </c>
      <c r="F16" s="33">
        <f>'10A Sem 2'!Q16</f>
        <v>67.36363636363636</v>
      </c>
      <c r="G16" s="33">
        <f t="shared" si="0"/>
        <v>66</v>
      </c>
      <c r="H16" s="132">
        <f t="shared" si="1"/>
        <v>34</v>
      </c>
      <c r="J16" s="129"/>
      <c r="K16" s="130"/>
      <c r="L16" s="131"/>
    </row>
    <row r="17" spans="1:12" ht="20.100000000000001" customHeight="1" x14ac:dyDescent="0.25">
      <c r="A17" s="121">
        <v>14</v>
      </c>
      <c r="B17" s="142"/>
      <c r="C17" s="156">
        <v>17</v>
      </c>
      <c r="D17" s="156" t="s">
        <v>23</v>
      </c>
      <c r="E17" s="33">
        <f>'10A Sem 1'!Q17</f>
        <v>76.181818181818187</v>
      </c>
      <c r="F17" s="33">
        <f>'10A Sem 2'!Q17</f>
        <v>78.454545454545453</v>
      </c>
      <c r="G17" s="33">
        <f t="shared" si="0"/>
        <v>77.318181818181813</v>
      </c>
      <c r="H17" s="132">
        <f t="shared" si="1"/>
        <v>23</v>
      </c>
      <c r="J17" s="129"/>
      <c r="K17" s="130"/>
      <c r="L17" s="131"/>
    </row>
    <row r="18" spans="1:12" ht="20.100000000000001" customHeight="1" x14ac:dyDescent="0.25">
      <c r="A18" s="137">
        <v>15</v>
      </c>
      <c r="B18" s="142"/>
      <c r="C18" s="156">
        <v>15</v>
      </c>
      <c r="D18" s="156" t="s">
        <v>23</v>
      </c>
      <c r="E18" s="33">
        <f>'10A Sem 1'!Q18</f>
        <v>71.454545454545453</v>
      </c>
      <c r="F18" s="33">
        <f>'10A Sem 2'!Q18</f>
        <v>72.63636363636364</v>
      </c>
      <c r="G18" s="33">
        <f t="shared" si="0"/>
        <v>72.045454545454547</v>
      </c>
      <c r="H18" s="132">
        <f t="shared" si="1"/>
        <v>28</v>
      </c>
      <c r="J18" s="129"/>
      <c r="K18" s="130"/>
      <c r="L18" s="131"/>
    </row>
    <row r="19" spans="1:12" ht="20.100000000000001" customHeight="1" x14ac:dyDescent="0.25">
      <c r="A19" s="121">
        <v>16</v>
      </c>
      <c r="B19" s="142"/>
      <c r="C19" s="156">
        <v>16</v>
      </c>
      <c r="D19" s="156" t="s">
        <v>32</v>
      </c>
      <c r="E19" s="33">
        <f>'10A Sem 1'!Q19</f>
        <v>65.63636363636364</v>
      </c>
      <c r="F19" s="33">
        <f>'10A Sem 2'!Q19</f>
        <v>71</v>
      </c>
      <c r="G19" s="33">
        <f t="shared" si="0"/>
        <v>68.318181818181813</v>
      </c>
      <c r="H19" s="132">
        <f t="shared" si="1"/>
        <v>33</v>
      </c>
      <c r="J19" s="129"/>
      <c r="K19" s="130"/>
      <c r="L19" s="131"/>
    </row>
    <row r="20" spans="1:12" ht="20.100000000000001" customHeight="1" x14ac:dyDescent="0.25">
      <c r="A20" s="121">
        <v>17</v>
      </c>
      <c r="B20" s="142"/>
      <c r="C20" s="156">
        <v>16</v>
      </c>
      <c r="D20" s="156" t="s">
        <v>23</v>
      </c>
      <c r="E20" s="33">
        <f>'10A Sem 1'!Q20</f>
        <v>88.36363636363636</v>
      </c>
      <c r="F20" s="33">
        <f>'10A Sem 2'!Q20</f>
        <v>88.272727272727266</v>
      </c>
      <c r="G20" s="33">
        <f t="shared" si="0"/>
        <v>88.318181818181813</v>
      </c>
      <c r="H20" s="132">
        <f t="shared" si="1"/>
        <v>9</v>
      </c>
      <c r="J20" s="129"/>
      <c r="K20" s="130"/>
      <c r="L20" s="131"/>
    </row>
    <row r="21" spans="1:12" ht="20.100000000000001" customHeight="1" x14ac:dyDescent="0.25">
      <c r="A21" s="121">
        <v>18</v>
      </c>
      <c r="B21" s="142"/>
      <c r="C21" s="156">
        <v>16</v>
      </c>
      <c r="D21" s="156" t="s">
        <v>23</v>
      </c>
      <c r="E21" s="33">
        <f>'10A Sem 1'!Q21</f>
        <v>55.363636363636367</v>
      </c>
      <c r="F21" s="33">
        <f>'10A Sem 2'!Q21</f>
        <v>60</v>
      </c>
      <c r="G21" s="33">
        <f t="shared" si="0"/>
        <v>57.681818181818187</v>
      </c>
      <c r="H21" s="132">
        <f t="shared" si="1"/>
        <v>48</v>
      </c>
      <c r="J21" s="129"/>
      <c r="K21" s="130"/>
      <c r="L21" s="131"/>
    </row>
    <row r="22" spans="1:12" ht="20.100000000000001" customHeight="1" x14ac:dyDescent="0.25">
      <c r="A22" s="137">
        <v>19</v>
      </c>
      <c r="B22" s="142"/>
      <c r="C22" s="156">
        <v>17</v>
      </c>
      <c r="D22" s="156" t="s">
        <v>20</v>
      </c>
      <c r="E22" s="33">
        <f>'10A Sem 1'!Q22</f>
        <v>65.727272727272734</v>
      </c>
      <c r="F22" s="33">
        <f>'10A Sem 2'!Q22</f>
        <v>63.454545454545453</v>
      </c>
      <c r="G22" s="33">
        <f t="shared" si="0"/>
        <v>64.590909090909093</v>
      </c>
      <c r="H22" s="132">
        <f t="shared" si="1"/>
        <v>39</v>
      </c>
      <c r="J22" s="129"/>
      <c r="K22" s="130"/>
      <c r="L22" s="131"/>
    </row>
    <row r="23" spans="1:12" ht="20.100000000000001" customHeight="1" x14ac:dyDescent="0.25">
      <c r="A23" s="137">
        <v>20</v>
      </c>
      <c r="B23" s="142"/>
      <c r="C23" s="156">
        <v>15</v>
      </c>
      <c r="D23" s="156" t="s">
        <v>20</v>
      </c>
      <c r="E23" s="33">
        <f>'10A Sem 1'!Q23</f>
        <v>86.818181818181813</v>
      </c>
      <c r="F23" s="33">
        <f>'10A Sem 2'!Q23</f>
        <v>86.818181818181813</v>
      </c>
      <c r="G23" s="33">
        <f t="shared" si="0"/>
        <v>86.818181818181813</v>
      </c>
      <c r="H23" s="132">
        <f t="shared" si="1"/>
        <v>11</v>
      </c>
      <c r="J23" s="129"/>
      <c r="K23" s="130"/>
      <c r="L23" s="131"/>
    </row>
    <row r="24" spans="1:12" ht="20.100000000000001" customHeight="1" x14ac:dyDescent="0.25">
      <c r="A24" s="137">
        <v>21</v>
      </c>
      <c r="B24" s="142"/>
      <c r="C24" s="156">
        <v>16</v>
      </c>
      <c r="D24" s="156" t="s">
        <v>23</v>
      </c>
      <c r="E24" s="33">
        <f>'10A Sem 1'!Q24</f>
        <v>56</v>
      </c>
      <c r="F24" s="33">
        <f>'10A Sem 2'!Q24</f>
        <v>0</v>
      </c>
      <c r="G24" s="33">
        <f t="shared" si="0"/>
        <v>28</v>
      </c>
      <c r="H24" s="132">
        <f t="shared" si="1"/>
        <v>49</v>
      </c>
      <c r="J24" s="129"/>
      <c r="K24" s="130"/>
      <c r="L24" s="131"/>
    </row>
    <row r="25" spans="1:12" ht="20.100000000000001" customHeight="1" x14ac:dyDescent="0.25">
      <c r="A25" s="121">
        <v>22</v>
      </c>
      <c r="B25" s="142"/>
      <c r="C25" s="156">
        <v>14</v>
      </c>
      <c r="D25" s="156" t="s">
        <v>23</v>
      </c>
      <c r="E25" s="33">
        <f>'10A Sem 1'!Q25</f>
        <v>67.272727272727266</v>
      </c>
      <c r="F25" s="33">
        <f>'10A Sem 2'!Q25</f>
        <v>63.454545454545453</v>
      </c>
      <c r="G25" s="33">
        <f t="shared" si="0"/>
        <v>65.36363636363636</v>
      </c>
      <c r="H25" s="132">
        <f t="shared" si="1"/>
        <v>37</v>
      </c>
      <c r="J25" s="129"/>
      <c r="K25" s="130"/>
      <c r="L25" s="131"/>
    </row>
    <row r="26" spans="1:12" ht="20.100000000000001" customHeight="1" x14ac:dyDescent="0.25">
      <c r="A26" s="121">
        <v>23</v>
      </c>
      <c r="B26" s="142"/>
      <c r="C26" s="156">
        <v>14</v>
      </c>
      <c r="D26" s="156" t="s">
        <v>20</v>
      </c>
      <c r="E26" s="168">
        <f>'10A Sem 1'!Q26</f>
        <v>88.63636363636364</v>
      </c>
      <c r="F26" s="168">
        <f>'10A Sem 2'!Q26</f>
        <v>90.36363636363636</v>
      </c>
      <c r="G26" s="33">
        <f t="shared" si="0"/>
        <v>89.5</v>
      </c>
      <c r="H26" s="132">
        <f t="shared" si="1"/>
        <v>7</v>
      </c>
      <c r="J26" s="129"/>
      <c r="K26" s="130"/>
      <c r="L26" s="133"/>
    </row>
    <row r="27" spans="1:12" ht="20.100000000000001" customHeight="1" x14ac:dyDescent="0.25">
      <c r="A27" s="137">
        <v>24</v>
      </c>
      <c r="B27" s="142"/>
      <c r="C27" s="156">
        <v>15</v>
      </c>
      <c r="D27" s="156" t="s">
        <v>23</v>
      </c>
      <c r="E27" s="33">
        <f>'10A Sem 1'!Q27</f>
        <v>60.454545454545453</v>
      </c>
      <c r="F27" s="33">
        <f>'10A Sem 2'!Q27</f>
        <v>62</v>
      </c>
      <c r="G27" s="33">
        <f t="shared" si="0"/>
        <v>61.227272727272727</v>
      </c>
      <c r="H27" s="132">
        <f t="shared" si="1"/>
        <v>45</v>
      </c>
      <c r="J27" s="129"/>
      <c r="K27" s="130"/>
      <c r="L27" s="131"/>
    </row>
    <row r="28" spans="1:12" ht="20.100000000000001" customHeight="1" x14ac:dyDescent="0.25">
      <c r="A28" s="121">
        <v>25</v>
      </c>
      <c r="B28" s="142"/>
      <c r="C28" s="156">
        <v>17</v>
      </c>
      <c r="D28" s="156" t="s">
        <v>23</v>
      </c>
      <c r="E28" s="33">
        <f>'10A Sem 1'!Q28</f>
        <v>82.63636363636364</v>
      </c>
      <c r="F28" s="33">
        <f>'10A Sem 2'!Q28</f>
        <v>82.36363636363636</v>
      </c>
      <c r="G28" s="33">
        <f t="shared" si="0"/>
        <v>82.5</v>
      </c>
      <c r="H28" s="132">
        <f t="shared" si="1"/>
        <v>16</v>
      </c>
      <c r="J28" s="129"/>
      <c r="K28" s="130"/>
      <c r="L28" s="131"/>
    </row>
    <row r="29" spans="1:12" ht="20.100000000000001" customHeight="1" x14ac:dyDescent="0.25">
      <c r="A29" s="137">
        <v>26</v>
      </c>
      <c r="B29" s="142"/>
      <c r="C29" s="156">
        <v>15</v>
      </c>
      <c r="D29" s="156" t="s">
        <v>23</v>
      </c>
      <c r="E29" s="33">
        <f>'10A Sem 1'!Q29</f>
        <v>92.181818181818187</v>
      </c>
      <c r="F29" s="33">
        <f>'10A Sem 2'!Q29</f>
        <v>93.181818181818187</v>
      </c>
      <c r="G29" s="33">
        <f t="shared" si="0"/>
        <v>92.681818181818187</v>
      </c>
      <c r="H29" s="132">
        <f t="shared" si="1"/>
        <v>4</v>
      </c>
      <c r="J29" s="129"/>
      <c r="K29" s="130"/>
      <c r="L29" s="131"/>
    </row>
    <row r="30" spans="1:12" ht="20.100000000000001" customHeight="1" x14ac:dyDescent="0.25">
      <c r="A30" s="137">
        <v>27</v>
      </c>
      <c r="B30" s="142"/>
      <c r="C30" s="156">
        <v>17</v>
      </c>
      <c r="D30" s="156" t="s">
        <v>23</v>
      </c>
      <c r="E30" s="33">
        <f>'10A Sem 1'!Q30</f>
        <v>65.36363636363636</v>
      </c>
      <c r="F30" s="33">
        <f>'10A Sem 2'!Q30</f>
        <v>66.545454545454547</v>
      </c>
      <c r="G30" s="33">
        <f t="shared" si="0"/>
        <v>65.954545454545453</v>
      </c>
      <c r="H30" s="132">
        <f t="shared" si="1"/>
        <v>35</v>
      </c>
      <c r="J30" s="129"/>
      <c r="K30" s="130"/>
      <c r="L30" s="131"/>
    </row>
    <row r="31" spans="1:12" ht="20.100000000000001" customHeight="1" x14ac:dyDescent="0.25">
      <c r="A31" s="137">
        <v>28</v>
      </c>
      <c r="B31" s="142"/>
      <c r="C31" s="156">
        <v>16</v>
      </c>
      <c r="D31" s="156" t="s">
        <v>20</v>
      </c>
      <c r="E31" s="33">
        <f>'10A Sem 1'!Q31</f>
        <v>73</v>
      </c>
      <c r="F31" s="33">
        <f>'10A Sem 2'!Q31</f>
        <v>69.727272727272734</v>
      </c>
      <c r="G31" s="33">
        <f t="shared" si="0"/>
        <v>71.363636363636374</v>
      </c>
      <c r="H31" s="132">
        <f t="shared" si="1"/>
        <v>29</v>
      </c>
      <c r="J31" s="129"/>
      <c r="K31" s="130"/>
      <c r="L31" s="131"/>
    </row>
    <row r="32" spans="1:12" ht="20.100000000000001" customHeight="1" x14ac:dyDescent="0.25">
      <c r="A32" s="121">
        <v>29</v>
      </c>
      <c r="B32" s="142"/>
      <c r="C32" s="156">
        <v>16</v>
      </c>
      <c r="D32" s="156" t="s">
        <v>23</v>
      </c>
      <c r="E32" s="33">
        <f>'10A Sem 1'!Q32</f>
        <v>71.909090909090907</v>
      </c>
      <c r="F32" s="33">
        <f>'10A Sem 2'!Q32</f>
        <v>73.454545454545453</v>
      </c>
      <c r="G32" s="33">
        <f t="shared" si="0"/>
        <v>72.681818181818187</v>
      </c>
      <c r="H32" s="132">
        <f t="shared" si="1"/>
        <v>26</v>
      </c>
      <c r="J32" s="129"/>
      <c r="K32" s="130"/>
      <c r="L32" s="131"/>
    </row>
    <row r="33" spans="1:12" ht="20.100000000000001" customHeight="1" x14ac:dyDescent="0.25">
      <c r="A33" s="137">
        <v>30</v>
      </c>
      <c r="B33" s="159"/>
      <c r="C33" s="160">
        <v>16</v>
      </c>
      <c r="D33" s="160" t="s">
        <v>23</v>
      </c>
      <c r="E33" s="33">
        <f>'10A Sem 1'!Q33</f>
        <v>73.727272727272734</v>
      </c>
      <c r="F33" s="33">
        <f>'10A Sem 2'!Q33</f>
        <v>81.181818181818187</v>
      </c>
      <c r="G33" s="33">
        <f t="shared" si="0"/>
        <v>77.454545454545467</v>
      </c>
      <c r="H33" s="132">
        <f t="shared" si="1"/>
        <v>21</v>
      </c>
      <c r="J33" s="129"/>
      <c r="K33" s="130"/>
      <c r="L33" s="131"/>
    </row>
    <row r="34" spans="1:12" ht="20.100000000000001" customHeight="1" x14ac:dyDescent="0.25">
      <c r="A34" s="121">
        <v>31</v>
      </c>
      <c r="B34" s="142"/>
      <c r="C34" s="156">
        <v>16</v>
      </c>
      <c r="D34" s="156" t="s">
        <v>23</v>
      </c>
      <c r="E34" s="33">
        <f>'10A Sem 1'!Q34</f>
        <v>73.454545454545453</v>
      </c>
      <c r="F34" s="33">
        <f>'10A Sem 2'!Q34</f>
        <v>75.454545454545453</v>
      </c>
      <c r="G34" s="33">
        <f t="shared" si="0"/>
        <v>74.454545454545453</v>
      </c>
      <c r="H34" s="132">
        <f t="shared" si="1"/>
        <v>25</v>
      </c>
      <c r="J34" s="129"/>
      <c r="K34" s="130"/>
      <c r="L34" s="131"/>
    </row>
    <row r="35" spans="1:12" ht="20.100000000000001" customHeight="1" x14ac:dyDescent="0.25">
      <c r="A35" s="121">
        <v>32</v>
      </c>
      <c r="B35" s="142"/>
      <c r="C35" s="156">
        <v>16</v>
      </c>
      <c r="D35" s="156" t="s">
        <v>23</v>
      </c>
      <c r="E35" s="33">
        <f>'10A Sem 1'!Q35</f>
        <v>76.272727272727266</v>
      </c>
      <c r="F35" s="33">
        <f>'10A Sem 2'!Q35</f>
        <v>76.909090909090907</v>
      </c>
      <c r="G35" s="33">
        <f t="shared" si="0"/>
        <v>76.590909090909093</v>
      </c>
      <c r="H35" s="132">
        <f t="shared" si="1"/>
        <v>24</v>
      </c>
      <c r="J35" s="129"/>
      <c r="K35" s="130"/>
      <c r="L35" s="131"/>
    </row>
    <row r="36" spans="1:12" ht="20.100000000000001" customHeight="1" x14ac:dyDescent="0.25">
      <c r="A36" s="121">
        <v>33</v>
      </c>
      <c r="B36" s="142"/>
      <c r="C36" s="156">
        <v>16</v>
      </c>
      <c r="D36" s="156" t="s">
        <v>23</v>
      </c>
      <c r="E36" s="33">
        <f>'10A Sem 1'!Q36</f>
        <v>66.090909090909093</v>
      </c>
      <c r="F36" s="33">
        <f>'10A Sem 2'!Q36</f>
        <v>63.18181818181818</v>
      </c>
      <c r="G36" s="33">
        <f t="shared" si="0"/>
        <v>64.63636363636364</v>
      </c>
      <c r="H36" s="132">
        <f t="shared" si="1"/>
        <v>38</v>
      </c>
      <c r="J36" s="129"/>
      <c r="K36" s="130"/>
      <c r="L36" s="131"/>
    </row>
    <row r="37" spans="1:12" ht="20.100000000000001" customHeight="1" x14ac:dyDescent="0.25">
      <c r="A37" s="137">
        <v>34</v>
      </c>
      <c r="B37" s="142"/>
      <c r="C37" s="156">
        <v>16</v>
      </c>
      <c r="D37" s="156" t="s">
        <v>23</v>
      </c>
      <c r="E37" s="33">
        <f>'10A Sem 1'!Q37</f>
        <v>69.454545454545453</v>
      </c>
      <c r="F37" s="33">
        <f>'10A Sem 2'!Q37</f>
        <v>67.272727272727266</v>
      </c>
      <c r="G37" s="33">
        <f t="shared" si="0"/>
        <v>68.36363636363636</v>
      </c>
      <c r="H37" s="132">
        <f t="shared" si="1"/>
        <v>32</v>
      </c>
      <c r="J37" s="129"/>
      <c r="K37" s="130"/>
      <c r="L37" s="131"/>
    </row>
    <row r="38" spans="1:12" ht="20.100000000000001" customHeight="1" x14ac:dyDescent="0.25">
      <c r="A38" s="137">
        <v>35</v>
      </c>
      <c r="B38" s="142"/>
      <c r="C38" s="156">
        <v>16</v>
      </c>
      <c r="D38" s="156" t="s">
        <v>20</v>
      </c>
      <c r="E38" s="33">
        <f>'10A Sem 1'!Q38</f>
        <v>61.81818181818182</v>
      </c>
      <c r="F38" s="33">
        <f>'10A Sem 2'!Q38</f>
        <v>65</v>
      </c>
      <c r="G38" s="33">
        <f t="shared" si="0"/>
        <v>63.409090909090907</v>
      </c>
      <c r="H38" s="132">
        <f t="shared" si="1"/>
        <v>42</v>
      </c>
      <c r="J38" s="129"/>
      <c r="K38" s="130"/>
      <c r="L38" s="131"/>
    </row>
    <row r="39" spans="1:12" ht="20.100000000000001" customHeight="1" x14ac:dyDescent="0.25">
      <c r="A39" s="137">
        <v>36</v>
      </c>
      <c r="B39" s="142"/>
      <c r="C39" s="156">
        <v>15</v>
      </c>
      <c r="D39" s="156" t="s">
        <v>23</v>
      </c>
      <c r="E39" s="33">
        <f>'10A Sem 1'!Q39</f>
        <v>76.818181818181813</v>
      </c>
      <c r="F39" s="33">
        <f>'10A Sem 2'!Q39</f>
        <v>78.090909090909093</v>
      </c>
      <c r="G39" s="33">
        <f t="shared" si="0"/>
        <v>77.454545454545453</v>
      </c>
      <c r="H39" s="132">
        <f t="shared" si="1"/>
        <v>22</v>
      </c>
      <c r="J39" s="129"/>
      <c r="K39" s="130"/>
      <c r="L39" s="131"/>
    </row>
    <row r="40" spans="1:12" ht="20.100000000000001" customHeight="1" x14ac:dyDescent="0.25">
      <c r="A40" s="121">
        <v>37</v>
      </c>
      <c r="B40" s="142"/>
      <c r="C40" s="156">
        <v>16</v>
      </c>
      <c r="D40" s="156" t="s">
        <v>20</v>
      </c>
      <c r="E40" s="33">
        <f>'10A Sem 1'!Q40</f>
        <v>88.727272727272734</v>
      </c>
      <c r="F40" s="33">
        <f>'10A Sem 2'!Q40</f>
        <v>87.454545454545453</v>
      </c>
      <c r="G40" s="33">
        <f t="shared" si="0"/>
        <v>88.090909090909093</v>
      </c>
      <c r="H40" s="132">
        <f t="shared" si="1"/>
        <v>10</v>
      </c>
      <c r="J40" s="129"/>
      <c r="K40" s="130"/>
      <c r="L40" s="131"/>
    </row>
    <row r="41" spans="1:12" ht="20.100000000000001" customHeight="1" x14ac:dyDescent="0.25">
      <c r="A41" s="121">
        <v>38</v>
      </c>
      <c r="B41" s="161"/>
      <c r="C41" s="156">
        <v>15</v>
      </c>
      <c r="D41" s="156" t="s">
        <v>20</v>
      </c>
      <c r="E41" s="33">
        <f>'10A Sem 1'!Q41</f>
        <v>92.181818181818187</v>
      </c>
      <c r="F41" s="33">
        <f>'10A Sem 2'!Q41</f>
        <v>94.545454545454547</v>
      </c>
      <c r="G41" s="33">
        <f t="shared" si="0"/>
        <v>93.363636363636374</v>
      </c>
      <c r="H41" s="132">
        <f t="shared" si="1"/>
        <v>2</v>
      </c>
      <c r="J41" s="129"/>
      <c r="K41" s="130"/>
      <c r="L41" s="131"/>
    </row>
    <row r="42" spans="1:12" ht="20.100000000000001" customHeight="1" x14ac:dyDescent="0.25">
      <c r="A42" s="137">
        <v>39</v>
      </c>
      <c r="B42" s="142"/>
      <c r="C42" s="156">
        <v>15</v>
      </c>
      <c r="D42" s="156" t="s">
        <v>20</v>
      </c>
      <c r="E42" s="33">
        <f>'10A Sem 1'!Q42</f>
        <v>81.818181818181813</v>
      </c>
      <c r="F42" s="33">
        <f>'10A Sem 2'!Q42</f>
        <v>89.545454545454547</v>
      </c>
      <c r="G42" s="33">
        <f t="shared" si="0"/>
        <v>85.681818181818187</v>
      </c>
      <c r="H42" s="132">
        <f t="shared" si="1"/>
        <v>13</v>
      </c>
      <c r="J42" s="129"/>
      <c r="K42" s="130"/>
      <c r="L42" s="131"/>
    </row>
    <row r="43" spans="1:12" ht="20.100000000000001" customHeight="1" x14ac:dyDescent="0.25">
      <c r="A43" s="121">
        <v>40</v>
      </c>
      <c r="B43" s="142"/>
      <c r="C43" s="156">
        <v>16</v>
      </c>
      <c r="D43" s="156" t="s">
        <v>20</v>
      </c>
      <c r="E43" s="33">
        <f>'10A Sem 1'!Q43</f>
        <v>87.181818181818187</v>
      </c>
      <c r="F43" s="33">
        <f>'10A Sem 2'!Q43</f>
        <v>89.545454545454547</v>
      </c>
      <c r="G43" s="33">
        <f t="shared" si="0"/>
        <v>88.363636363636374</v>
      </c>
      <c r="H43" s="132">
        <f t="shared" si="1"/>
        <v>8</v>
      </c>
      <c r="J43" s="129"/>
      <c r="K43" s="130"/>
      <c r="L43" s="131"/>
    </row>
    <row r="44" spans="1:12" ht="20.100000000000001" customHeight="1" x14ac:dyDescent="0.25">
      <c r="A44" s="137">
        <v>41</v>
      </c>
      <c r="B44" s="142"/>
      <c r="C44" s="156">
        <v>16</v>
      </c>
      <c r="D44" s="156" t="s">
        <v>20</v>
      </c>
      <c r="E44" s="33">
        <f>'10A Sem 1'!Q44</f>
        <v>86</v>
      </c>
      <c r="F44" s="33">
        <f>'10A Sem 2'!Q44</f>
        <v>86.272727272727266</v>
      </c>
      <c r="G44" s="33">
        <f t="shared" si="0"/>
        <v>86.136363636363626</v>
      </c>
      <c r="H44" s="132">
        <f t="shared" si="1"/>
        <v>12</v>
      </c>
      <c r="J44" s="129"/>
      <c r="K44" s="130"/>
      <c r="L44" s="131"/>
    </row>
    <row r="45" spans="1:12" ht="20.100000000000001" customHeight="1" x14ac:dyDescent="0.25">
      <c r="A45" s="137">
        <v>42</v>
      </c>
      <c r="B45" s="142"/>
      <c r="C45" s="156">
        <v>15</v>
      </c>
      <c r="D45" s="156" t="s">
        <v>20</v>
      </c>
      <c r="E45" s="33">
        <f>'10A Sem 1'!Q45</f>
        <v>66.818181818181813</v>
      </c>
      <c r="F45" s="33">
        <f>'10A Sem 2'!Q45</f>
        <v>65.090909090909093</v>
      </c>
      <c r="G45" s="33">
        <f t="shared" si="0"/>
        <v>65.954545454545453</v>
      </c>
      <c r="H45" s="132">
        <f t="shared" si="1"/>
        <v>35</v>
      </c>
      <c r="J45" s="129"/>
      <c r="K45" s="130"/>
      <c r="L45" s="131"/>
    </row>
    <row r="46" spans="1:12" ht="20.100000000000001" customHeight="1" x14ac:dyDescent="0.25">
      <c r="A46" s="137">
        <v>43</v>
      </c>
      <c r="B46" s="142"/>
      <c r="C46" s="156">
        <v>16</v>
      </c>
      <c r="D46" s="156" t="s">
        <v>23</v>
      </c>
      <c r="E46" s="33">
        <f>'10A Sem 1'!Q46</f>
        <v>72.36363636363636</v>
      </c>
      <c r="F46" s="33">
        <f>'10A Sem 2'!Q46</f>
        <v>72.181818181818187</v>
      </c>
      <c r="G46" s="33">
        <f t="shared" si="0"/>
        <v>72.27272727272728</v>
      </c>
      <c r="H46" s="132">
        <f t="shared" si="1"/>
        <v>27</v>
      </c>
      <c r="J46" s="129"/>
      <c r="K46" s="130"/>
      <c r="L46" s="131"/>
    </row>
    <row r="47" spans="1:12" ht="20.100000000000001" customHeight="1" x14ac:dyDescent="0.25">
      <c r="A47" s="121">
        <v>44</v>
      </c>
      <c r="B47" s="142"/>
      <c r="C47" s="156">
        <v>15</v>
      </c>
      <c r="D47" s="156" t="s">
        <v>23</v>
      </c>
      <c r="E47" s="33">
        <f>'10A Sem 1'!Q47</f>
        <v>82.36363636363636</v>
      </c>
      <c r="F47" s="33">
        <f>'10A Sem 2'!Q47</f>
        <v>82.454545454545453</v>
      </c>
      <c r="G47" s="33">
        <f t="shared" si="0"/>
        <v>82.409090909090907</v>
      </c>
      <c r="H47" s="132">
        <f t="shared" si="1"/>
        <v>17</v>
      </c>
      <c r="J47" s="129"/>
      <c r="K47" s="130"/>
      <c r="L47" s="131"/>
    </row>
    <row r="48" spans="1:12" ht="20.100000000000001" customHeight="1" x14ac:dyDescent="0.25">
      <c r="A48" s="137">
        <v>45</v>
      </c>
      <c r="B48" s="142"/>
      <c r="C48" s="156">
        <v>16</v>
      </c>
      <c r="D48" s="156" t="s">
        <v>23</v>
      </c>
      <c r="E48" s="33">
        <f>'10A Sem 1'!Q48</f>
        <v>90.909090909090907</v>
      </c>
      <c r="F48" s="33">
        <f>'10A Sem 2'!Q48</f>
        <v>95.090909090909093</v>
      </c>
      <c r="G48" s="33">
        <f t="shared" si="0"/>
        <v>93</v>
      </c>
      <c r="H48" s="132">
        <f t="shared" si="1"/>
        <v>3</v>
      </c>
      <c r="J48" s="129"/>
      <c r="K48" s="130"/>
      <c r="L48" s="131"/>
    </row>
    <row r="49" spans="1:12" ht="20.100000000000001" customHeight="1" x14ac:dyDescent="0.25">
      <c r="A49" s="121">
        <v>46</v>
      </c>
      <c r="B49" s="142"/>
      <c r="C49" s="156">
        <v>16</v>
      </c>
      <c r="D49" s="156" t="s">
        <v>23</v>
      </c>
      <c r="E49" s="33">
        <f>'10A Sem 1'!Q49</f>
        <v>79.181818181818187</v>
      </c>
      <c r="F49" s="33">
        <f>'10A Sem 2'!Q49</f>
        <v>76.727272727272734</v>
      </c>
      <c r="G49" s="33">
        <f t="shared" si="0"/>
        <v>77.954545454545467</v>
      </c>
      <c r="H49" s="132">
        <f t="shared" si="1"/>
        <v>20</v>
      </c>
      <c r="J49" s="129"/>
      <c r="K49" s="130"/>
      <c r="L49" s="131"/>
    </row>
    <row r="50" spans="1:12" ht="20.100000000000001" customHeight="1" x14ac:dyDescent="0.25">
      <c r="A50" s="121">
        <v>47</v>
      </c>
      <c r="B50" s="142"/>
      <c r="C50" s="156">
        <v>15</v>
      </c>
      <c r="D50" s="156" t="s">
        <v>20</v>
      </c>
      <c r="E50" s="33">
        <f>'10A Sem 1'!Q50</f>
        <v>61.81818181818182</v>
      </c>
      <c r="F50" s="33">
        <f>'10A Sem 2'!Q50</f>
        <v>67.272727272727266</v>
      </c>
      <c r="G50" s="33">
        <f t="shared" si="0"/>
        <v>64.545454545454547</v>
      </c>
      <c r="H50" s="132">
        <f t="shared" si="1"/>
        <v>40</v>
      </c>
      <c r="J50" s="129"/>
      <c r="K50" s="130"/>
      <c r="L50" s="131"/>
    </row>
    <row r="51" spans="1:12" ht="20.100000000000001" customHeight="1" x14ac:dyDescent="0.25">
      <c r="A51" s="121">
        <v>48</v>
      </c>
      <c r="B51" s="142"/>
      <c r="C51" s="156">
        <v>16</v>
      </c>
      <c r="D51" s="156" t="s">
        <v>20</v>
      </c>
      <c r="E51" s="33">
        <f>'10A Sem 1'!Q51</f>
        <v>70</v>
      </c>
      <c r="F51" s="33">
        <f>'10A Sem 2'!Q51</f>
        <v>72.545454545454547</v>
      </c>
      <c r="G51" s="33">
        <f t="shared" si="0"/>
        <v>71.27272727272728</v>
      </c>
      <c r="H51" s="132">
        <f t="shared" si="1"/>
        <v>30</v>
      </c>
      <c r="J51" s="129"/>
      <c r="K51" s="130"/>
      <c r="L51" s="131"/>
    </row>
    <row r="52" spans="1:12" ht="19.5" customHeight="1" x14ac:dyDescent="0.25">
      <c r="A52" s="137">
        <v>49</v>
      </c>
      <c r="B52" s="142"/>
      <c r="C52" s="156">
        <v>15</v>
      </c>
      <c r="D52" s="156" t="s">
        <v>20</v>
      </c>
      <c r="E52" s="33">
        <f>'10A Sem 1'!Q52</f>
        <v>91.545454545454547</v>
      </c>
      <c r="F52" s="33">
        <f>'10A Sem 2'!Q52</f>
        <v>91.36363636363636</v>
      </c>
      <c r="G52" s="33">
        <f t="shared" si="0"/>
        <v>91.454545454545453</v>
      </c>
      <c r="H52" s="132">
        <f t="shared" si="1"/>
        <v>5</v>
      </c>
      <c r="J52" s="129"/>
      <c r="K52" s="130"/>
      <c r="L52" s="131"/>
    </row>
    <row r="53" spans="1:12" ht="19.5" customHeight="1" x14ac:dyDescent="0.25">
      <c r="A53" s="154">
        <v>50</v>
      </c>
      <c r="B53" s="142"/>
      <c r="C53" s="156">
        <v>15</v>
      </c>
      <c r="D53" s="156" t="s">
        <v>20</v>
      </c>
      <c r="E53" s="33">
        <f>'10A Sem 1'!Q53</f>
        <v>77</v>
      </c>
      <c r="F53" s="33">
        <f>'10A Sem 2'!Q53</f>
        <v>79.272727272727266</v>
      </c>
      <c r="G53" s="33">
        <f t="shared" si="0"/>
        <v>78.136363636363626</v>
      </c>
      <c r="H53" s="132">
        <f t="shared" si="1"/>
        <v>19</v>
      </c>
      <c r="J53" s="129"/>
      <c r="K53" s="130"/>
      <c r="L53" s="131"/>
    </row>
    <row r="54" spans="1:12" ht="19.5" customHeight="1" x14ac:dyDescent="0.25">
      <c r="A54" s="154">
        <v>51</v>
      </c>
      <c r="B54" s="126"/>
      <c r="C54" s="164"/>
      <c r="D54" s="164"/>
      <c r="E54" s="33"/>
      <c r="F54" s="33"/>
      <c r="G54" s="33"/>
      <c r="H54" s="132"/>
      <c r="J54" s="129"/>
      <c r="K54" s="130"/>
      <c r="L54" s="131"/>
    </row>
    <row r="55" spans="1:12" ht="19.5" customHeight="1" x14ac:dyDescent="0.25">
      <c r="A55" s="154">
        <v>52</v>
      </c>
      <c r="B55" s="165"/>
      <c r="C55" s="166"/>
      <c r="D55" s="166"/>
      <c r="E55" s="33">
        <f>'10A Sem 1'!Q55</f>
        <v>0</v>
      </c>
      <c r="F55" s="33">
        <f>'10A Sem 2'!Q55</f>
        <v>0</v>
      </c>
      <c r="G55" s="33">
        <f t="shared" si="0"/>
        <v>0</v>
      </c>
      <c r="H55" s="132"/>
      <c r="J55" s="129"/>
      <c r="K55" s="130"/>
      <c r="L55" s="131"/>
    </row>
    <row r="56" spans="1:12" ht="19.5" customHeight="1" x14ac:dyDescent="0.25">
      <c r="A56" s="154">
        <v>53</v>
      </c>
      <c r="B56" s="20"/>
      <c r="C56" s="20"/>
      <c r="D56" s="20"/>
      <c r="E56" s="33">
        <f>'10A Sem 1'!Q56</f>
        <v>0</v>
      </c>
      <c r="F56" s="33">
        <f>'10A Sem 2'!Q56</f>
        <v>0</v>
      </c>
      <c r="G56" s="33">
        <f t="shared" si="0"/>
        <v>0</v>
      </c>
      <c r="H56" s="20"/>
      <c r="J56" s="129"/>
      <c r="K56" s="129"/>
      <c r="L56" s="129"/>
    </row>
    <row r="57" spans="1:12" ht="19.5" customHeight="1" x14ac:dyDescent="0.25">
      <c r="A57" s="154">
        <v>54</v>
      </c>
      <c r="B57" s="20"/>
      <c r="C57" s="20"/>
      <c r="D57" s="20"/>
      <c r="E57" s="33">
        <f>'10A Sem 1'!Q57</f>
        <v>0</v>
      </c>
      <c r="F57" s="33">
        <f>'10A Sem 2'!Q57</f>
        <v>0</v>
      </c>
      <c r="G57" s="33">
        <f t="shared" si="0"/>
        <v>0</v>
      </c>
      <c r="H57" s="20"/>
    </row>
    <row r="58" spans="1:12" ht="19.5" customHeight="1" x14ac:dyDescent="0.25">
      <c r="A58" s="154">
        <v>55</v>
      </c>
      <c r="B58" s="20"/>
      <c r="C58" s="20"/>
      <c r="D58" s="20"/>
      <c r="E58" s="33">
        <f>'10A Sem 1'!Q58</f>
        <v>0</v>
      </c>
      <c r="F58" s="33">
        <f>'10A Sem 2'!Q58</f>
        <v>0</v>
      </c>
      <c r="G58" s="33">
        <f t="shared" si="0"/>
        <v>0</v>
      </c>
      <c r="H58" s="20"/>
    </row>
  </sheetData>
  <mergeCells count="2">
    <mergeCell ref="A1:G1"/>
    <mergeCell ref="A2:H2"/>
  </mergeCells>
  <pageMargins left="0.7" right="0.7" top="0.75" bottom="0.75" header="0.3" footer="0.3"/>
  <pageSetup scale="93" fitToHeight="0" orientation="portrait"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219"/>
  <sheetViews>
    <sheetView workbookViewId="0">
      <selection activeCell="B6" sqref="B6:B170"/>
    </sheetView>
  </sheetViews>
  <sheetFormatPr defaultRowHeight="15" x14ac:dyDescent="0.25"/>
  <cols>
    <col min="1" max="1" width="4" customWidth="1"/>
    <col min="2" max="2" width="35.28515625" customWidth="1"/>
    <col min="3" max="4" width="4.140625" style="10" customWidth="1"/>
    <col min="6" max="6" width="6.85546875" customWidth="1"/>
    <col min="7" max="7" width="6.5703125" customWidth="1"/>
    <col min="8" max="8" width="7.85546875" customWidth="1"/>
    <col min="9" max="9" width="6.140625" customWidth="1"/>
    <col min="10" max="10" width="6.5703125" customWidth="1"/>
    <col min="11" max="11" width="6.42578125" customWidth="1"/>
    <col min="12" max="12" width="6.140625" customWidth="1"/>
    <col min="13" max="13" width="6.5703125" customWidth="1"/>
    <col min="14" max="14" width="5.42578125" customWidth="1"/>
    <col min="15" max="16" width="6.42578125" customWidth="1"/>
    <col min="17" max="17" width="8" customWidth="1"/>
    <col min="18" max="18" width="6.42578125" customWidth="1"/>
    <col min="19" max="19" width="9.140625" customWidth="1"/>
    <col min="20" max="21" width="5" style="37" customWidth="1"/>
    <col min="22" max="22" width="4.7109375" customWidth="1"/>
    <col min="23" max="23" width="30.85546875" customWidth="1"/>
    <col min="24" max="24" width="3.85546875" customWidth="1"/>
    <col min="25" max="25" width="3.7109375" customWidth="1"/>
  </cols>
  <sheetData>
    <row r="1" spans="1:24" ht="20.25" x14ac:dyDescent="0.25">
      <c r="A1" s="272" t="s">
        <v>48</v>
      </c>
      <c r="B1" s="273"/>
      <c r="C1" s="273"/>
      <c r="D1" s="273"/>
      <c r="E1" s="273"/>
      <c r="F1" s="273"/>
      <c r="G1" s="273"/>
      <c r="H1" s="273"/>
      <c r="I1" s="273"/>
      <c r="J1" s="273"/>
      <c r="K1" s="273"/>
      <c r="L1" s="273"/>
      <c r="M1" s="273"/>
      <c r="N1" s="273"/>
      <c r="O1" s="273"/>
      <c r="P1" s="273"/>
      <c r="Q1" s="273"/>
      <c r="R1" s="273"/>
      <c r="S1" s="273"/>
      <c r="T1" s="273"/>
      <c r="U1" s="274"/>
    </row>
    <row r="2" spans="1:24" ht="18.75" customHeight="1" x14ac:dyDescent="0.25">
      <c r="A2" s="1"/>
      <c r="B2" s="2"/>
      <c r="C2" s="2"/>
      <c r="D2" s="2"/>
      <c r="E2" s="2"/>
      <c r="F2" s="2"/>
      <c r="G2" s="2"/>
      <c r="H2" s="2"/>
      <c r="I2" s="2"/>
      <c r="J2" s="2"/>
      <c r="K2" s="2"/>
      <c r="L2" s="2"/>
      <c r="M2" s="2"/>
      <c r="N2" s="2"/>
      <c r="O2" s="2"/>
      <c r="P2" s="2"/>
      <c r="Q2" s="2"/>
      <c r="R2" s="2"/>
      <c r="S2" s="2"/>
      <c r="T2" s="35"/>
      <c r="U2" s="36"/>
    </row>
    <row r="3" spans="1:24" ht="17.25" x14ac:dyDescent="0.25">
      <c r="A3" s="275" t="s">
        <v>49</v>
      </c>
      <c r="B3" s="275"/>
      <c r="C3" s="275"/>
      <c r="D3" s="275"/>
      <c r="E3" s="275"/>
      <c r="F3" s="275"/>
      <c r="G3" s="275"/>
      <c r="H3" s="275"/>
      <c r="I3" s="275"/>
      <c r="J3" s="275"/>
      <c r="K3" s="275"/>
      <c r="L3" s="275"/>
      <c r="M3" s="275"/>
      <c r="N3" s="275"/>
      <c r="O3" s="275"/>
      <c r="P3" s="275"/>
      <c r="Q3" s="275"/>
      <c r="R3" s="275"/>
      <c r="S3" s="275"/>
      <c r="T3" s="275"/>
      <c r="U3" s="275"/>
      <c r="V3" s="3"/>
      <c r="W3" s="3"/>
      <c r="X3" s="3"/>
    </row>
    <row r="4" spans="1:24" ht="15.75" thickBot="1" x14ac:dyDescent="0.3">
      <c r="A4" s="4"/>
      <c r="B4" s="4"/>
      <c r="C4" s="4"/>
      <c r="D4" s="4"/>
      <c r="E4" s="4"/>
      <c r="F4" s="4"/>
      <c r="G4" s="4"/>
      <c r="H4" s="4"/>
      <c r="I4" s="4"/>
      <c r="J4" s="4"/>
      <c r="K4" s="4"/>
      <c r="L4" s="4"/>
      <c r="M4" s="4"/>
      <c r="N4" s="4"/>
      <c r="O4" s="4"/>
      <c r="P4" s="4"/>
      <c r="Q4" s="4"/>
      <c r="R4" s="4"/>
      <c r="S4" s="4"/>
      <c r="T4" s="4"/>
      <c r="U4" s="4"/>
      <c r="V4" s="3"/>
      <c r="W4" s="3"/>
      <c r="X4" s="3"/>
    </row>
    <row r="5" spans="1:24" ht="52.5" customHeight="1" thickBot="1" x14ac:dyDescent="0.3">
      <c r="A5" s="76" t="s">
        <v>28</v>
      </c>
      <c r="B5" s="76" t="s">
        <v>1</v>
      </c>
      <c r="C5" s="80" t="s">
        <v>2</v>
      </c>
      <c r="D5" s="80" t="s">
        <v>3</v>
      </c>
      <c r="E5" s="66" t="s">
        <v>25</v>
      </c>
      <c r="F5" s="66" t="s">
        <v>4</v>
      </c>
      <c r="G5" s="66" t="s">
        <v>5</v>
      </c>
      <c r="H5" s="66" t="s">
        <v>6</v>
      </c>
      <c r="I5" s="66" t="s">
        <v>7</v>
      </c>
      <c r="J5" s="66" t="s">
        <v>8</v>
      </c>
      <c r="K5" s="66" t="s">
        <v>9</v>
      </c>
      <c r="L5" s="67" t="s">
        <v>10</v>
      </c>
      <c r="M5" s="66" t="s">
        <v>11</v>
      </c>
      <c r="N5" s="68" t="s">
        <v>12</v>
      </c>
      <c r="O5" s="68" t="s">
        <v>13</v>
      </c>
      <c r="P5" s="66" t="s">
        <v>14</v>
      </c>
      <c r="Q5" s="68" t="s">
        <v>15</v>
      </c>
      <c r="R5" s="66" t="s">
        <v>16</v>
      </c>
      <c r="S5" s="66" t="s">
        <v>17</v>
      </c>
      <c r="T5" s="66" t="s">
        <v>18</v>
      </c>
      <c r="U5" s="81" t="s">
        <v>19</v>
      </c>
    </row>
    <row r="6" spans="1:24" ht="17.25" customHeight="1" x14ac:dyDescent="0.25">
      <c r="A6" s="298">
        <v>1</v>
      </c>
      <c r="B6" s="300"/>
      <c r="C6" s="307">
        <v>14</v>
      </c>
      <c r="D6" s="307" t="s">
        <v>20</v>
      </c>
      <c r="E6" s="77" t="s">
        <v>21</v>
      </c>
      <c r="F6" s="75">
        <f>'10B Sem 1'!E4</f>
        <v>73</v>
      </c>
      <c r="G6" s="75">
        <f>'10B Sem 1'!F4</f>
        <v>74</v>
      </c>
      <c r="H6" s="75">
        <f>'10B Sem 1'!G4</f>
        <v>63</v>
      </c>
      <c r="I6" s="75">
        <f>'10B Sem 1'!H4</f>
        <v>73</v>
      </c>
      <c r="J6" s="75">
        <f>'10B Sem 1'!I4</f>
        <v>61</v>
      </c>
      <c r="K6" s="75">
        <f>'10B Sem 1'!J4</f>
        <v>81</v>
      </c>
      <c r="L6" s="75">
        <f>'10B Sem 1'!K4</f>
        <v>67</v>
      </c>
      <c r="M6" s="75">
        <f>'10B Sem 1'!L4</f>
        <v>69</v>
      </c>
      <c r="N6" s="75">
        <f>'10B Sem 1'!M4</f>
        <v>81</v>
      </c>
      <c r="O6" s="75">
        <f>'10B Sem 1'!N4</f>
        <v>92</v>
      </c>
      <c r="P6" s="75">
        <f>'10B Sem 1'!O4</f>
        <v>91</v>
      </c>
      <c r="Q6" s="75">
        <f>'10B Sem 1'!P4</f>
        <v>825</v>
      </c>
      <c r="R6" s="75">
        <f>'10B Sem 1'!Q4</f>
        <v>75</v>
      </c>
      <c r="S6" s="75">
        <f>'10B Sem 1'!R4</f>
        <v>22</v>
      </c>
      <c r="T6" s="75">
        <f>'10B Sem 1'!S4</f>
        <v>0</v>
      </c>
      <c r="U6" s="75">
        <f>'10B Sem 1'!T4</f>
        <v>0</v>
      </c>
    </row>
    <row r="7" spans="1:24" ht="17.25" customHeight="1" x14ac:dyDescent="0.25">
      <c r="A7" s="299"/>
      <c r="B7" s="293"/>
      <c r="C7" s="294">
        <v>14</v>
      </c>
      <c r="D7" s="294" t="s">
        <v>20</v>
      </c>
      <c r="E7" s="29" t="s">
        <v>22</v>
      </c>
      <c r="F7" s="38">
        <f>'10B Sem 2'!E4</f>
        <v>72</v>
      </c>
      <c r="G7" s="38">
        <f>'10B Sem 2'!F4</f>
        <v>84</v>
      </c>
      <c r="H7" s="38">
        <f>'10B Sem 2'!G4</f>
        <v>53</v>
      </c>
      <c r="I7" s="38">
        <f>'10B Sem 2'!H4</f>
        <v>66</v>
      </c>
      <c r="J7" s="38">
        <f>'10B Sem 2'!I4</f>
        <v>70</v>
      </c>
      <c r="K7" s="38">
        <f>'10B Sem 2'!J4</f>
        <v>78</v>
      </c>
      <c r="L7" s="38">
        <f>'10B Sem 2'!K4</f>
        <v>71</v>
      </c>
      <c r="M7" s="38">
        <f>'10B Sem 2'!L4</f>
        <v>62</v>
      </c>
      <c r="N7" s="38">
        <f>'10B Sem 2'!M4</f>
        <v>84</v>
      </c>
      <c r="O7" s="38">
        <f>'10B Sem 2'!N4</f>
        <v>86</v>
      </c>
      <c r="P7" s="38">
        <f>'10B Sem 2'!O4</f>
        <v>91</v>
      </c>
      <c r="Q7" s="30">
        <f>'10B Sem 2'!P4</f>
        <v>817</v>
      </c>
      <c r="R7" s="30">
        <f>'10B Sem 2'!Q4</f>
        <v>74.272727272727266</v>
      </c>
      <c r="S7" s="30">
        <f>'10B Sem 2'!$R$4</f>
        <v>26</v>
      </c>
      <c r="T7" s="30">
        <f>'10B Sem 2'!$R$4</f>
        <v>26</v>
      </c>
      <c r="U7" s="30">
        <f>'10B Sem 2'!$R$4</f>
        <v>26</v>
      </c>
    </row>
    <row r="8" spans="1:24" ht="17.25" customHeight="1" x14ac:dyDescent="0.25">
      <c r="A8" s="299"/>
      <c r="B8" s="293"/>
      <c r="C8" s="294">
        <v>14</v>
      </c>
      <c r="D8" s="294" t="s">
        <v>20</v>
      </c>
      <c r="E8" s="29" t="s">
        <v>16</v>
      </c>
      <c r="F8" s="30">
        <f>AVERAGE(F6:F7)</f>
        <v>72.5</v>
      </c>
      <c r="G8" s="30">
        <f t="shared" ref="G8:R8" si="0">AVERAGE(G6:G7)</f>
        <v>79</v>
      </c>
      <c r="H8" s="30">
        <f t="shared" si="0"/>
        <v>58</v>
      </c>
      <c r="I8" s="30">
        <f t="shared" si="0"/>
        <v>69.5</v>
      </c>
      <c r="J8" s="30">
        <f t="shared" si="0"/>
        <v>65.5</v>
      </c>
      <c r="K8" s="30">
        <f t="shared" si="0"/>
        <v>79.5</v>
      </c>
      <c r="L8" s="30">
        <f t="shared" si="0"/>
        <v>69</v>
      </c>
      <c r="M8" s="30">
        <f t="shared" si="0"/>
        <v>65.5</v>
      </c>
      <c r="N8" s="30">
        <f t="shared" si="0"/>
        <v>82.5</v>
      </c>
      <c r="O8" s="30">
        <f t="shared" si="0"/>
        <v>89</v>
      </c>
      <c r="P8" s="30">
        <f t="shared" si="0"/>
        <v>91</v>
      </c>
      <c r="Q8" s="30">
        <f t="shared" si="0"/>
        <v>821</v>
      </c>
      <c r="R8" s="30">
        <f t="shared" si="0"/>
        <v>74.636363636363626</v>
      </c>
      <c r="S8" s="30">
        <f>'10B Sem avr'!$H$4</f>
        <v>23</v>
      </c>
      <c r="T8" s="45">
        <f>AVERAGE(T6:T7)</f>
        <v>13</v>
      </c>
      <c r="U8" s="45">
        <f>AVERAGE(U6:U7)</f>
        <v>13</v>
      </c>
    </row>
    <row r="9" spans="1:24" ht="17.25" customHeight="1" x14ac:dyDescent="0.25">
      <c r="A9" s="295">
        <v>2</v>
      </c>
      <c r="B9" s="301"/>
      <c r="C9" s="294">
        <v>16</v>
      </c>
      <c r="D9" s="294" t="s">
        <v>20</v>
      </c>
      <c r="E9" s="29" t="s">
        <v>21</v>
      </c>
      <c r="F9" s="30">
        <f>'10B Sem 1'!E5</f>
        <v>77</v>
      </c>
      <c r="G9" s="30">
        <f>'10B Sem 1'!F5</f>
        <v>62</v>
      </c>
      <c r="H9" s="30">
        <f>'10B Sem 1'!G5</f>
        <v>75</v>
      </c>
      <c r="I9" s="30">
        <f>'10B Sem 1'!H5</f>
        <v>63</v>
      </c>
      <c r="J9" s="30">
        <f>'10B Sem 1'!I5</f>
        <v>63</v>
      </c>
      <c r="K9" s="30">
        <f>'10B Sem 1'!J5</f>
        <v>69</v>
      </c>
      <c r="L9" s="30">
        <f>'10B Sem 1'!K5</f>
        <v>64</v>
      </c>
      <c r="M9" s="30">
        <f>'10B Sem 1'!L5</f>
        <v>71</v>
      </c>
      <c r="N9" s="30">
        <f>'10B Sem 1'!M5</f>
        <v>67</v>
      </c>
      <c r="O9" s="30">
        <f>'10B Sem 1'!N5</f>
        <v>76</v>
      </c>
      <c r="P9" s="30">
        <f>'10B Sem 1'!O5</f>
        <v>75</v>
      </c>
      <c r="Q9" s="30">
        <f>'10B Sem 1'!P5</f>
        <v>762</v>
      </c>
      <c r="R9" s="30">
        <f>'10B Sem 1'!Q5</f>
        <v>69.272727272727266</v>
      </c>
      <c r="S9" s="30">
        <f>'10B Sem 1'!R5</f>
        <v>30</v>
      </c>
      <c r="T9" s="30">
        <f>'10B Sem 1'!S5</f>
        <v>0</v>
      </c>
      <c r="U9" s="30">
        <f>'10B Sem 1'!T5</f>
        <v>0</v>
      </c>
    </row>
    <row r="10" spans="1:24" ht="17.25" customHeight="1" x14ac:dyDescent="0.25">
      <c r="A10" s="295"/>
      <c r="B10" s="301"/>
      <c r="C10" s="294">
        <v>16</v>
      </c>
      <c r="D10" s="294" t="s">
        <v>20</v>
      </c>
      <c r="E10" s="29" t="s">
        <v>22</v>
      </c>
      <c r="F10" s="30">
        <f>'10B Sem 2'!E5</f>
        <v>71</v>
      </c>
      <c r="G10" s="30">
        <f>'10B Sem 2'!F5</f>
        <v>62</v>
      </c>
      <c r="H10" s="30">
        <f>'10B Sem 2'!G5</f>
        <v>71</v>
      </c>
      <c r="I10" s="30">
        <f>'10B Sem 2'!H5</f>
        <v>68</v>
      </c>
      <c r="J10" s="30">
        <f>'10B Sem 2'!I5</f>
        <v>69</v>
      </c>
      <c r="K10" s="30">
        <f>'10B Sem 2'!J5</f>
        <v>67</v>
      </c>
      <c r="L10" s="30">
        <f>'10B Sem 2'!K5</f>
        <v>65</v>
      </c>
      <c r="M10" s="30">
        <f>'10B Sem 2'!L5</f>
        <v>75</v>
      </c>
      <c r="N10" s="30">
        <f>'10B Sem 2'!M5</f>
        <v>75</v>
      </c>
      <c r="O10" s="30">
        <f>'10B Sem 2'!N5</f>
        <v>77</v>
      </c>
      <c r="P10" s="30">
        <f>'10B Sem 2'!O5</f>
        <v>92</v>
      </c>
      <c r="Q10" s="30">
        <f>'10B Sem 2'!P5</f>
        <v>792</v>
      </c>
      <c r="R10" s="30">
        <f>'10B Sem 2'!Q5</f>
        <v>72</v>
      </c>
      <c r="S10" s="30">
        <f>'10B Sem 2'!R5</f>
        <v>29</v>
      </c>
      <c r="T10" s="30">
        <f>'10B Sem 2'!S5</f>
        <v>0</v>
      </c>
      <c r="U10" s="30">
        <f>'10B Sem 2'!T5</f>
        <v>0</v>
      </c>
    </row>
    <row r="11" spans="1:24" ht="17.25" customHeight="1" x14ac:dyDescent="0.25">
      <c r="A11" s="295"/>
      <c r="B11" s="301"/>
      <c r="C11" s="294">
        <v>16</v>
      </c>
      <c r="D11" s="294" t="s">
        <v>20</v>
      </c>
      <c r="E11" s="29" t="s">
        <v>16</v>
      </c>
      <c r="F11" s="30">
        <f>AVERAGE(F9:F10)</f>
        <v>74</v>
      </c>
      <c r="G11" s="30">
        <f t="shared" ref="G11:R11" si="1">AVERAGE(G9:G10)</f>
        <v>62</v>
      </c>
      <c r="H11" s="30">
        <f t="shared" si="1"/>
        <v>73</v>
      </c>
      <c r="I11" s="30">
        <f t="shared" si="1"/>
        <v>65.5</v>
      </c>
      <c r="J11" s="30">
        <f t="shared" si="1"/>
        <v>66</v>
      </c>
      <c r="K11" s="30">
        <f t="shared" si="1"/>
        <v>68</v>
      </c>
      <c r="L11" s="30">
        <f t="shared" si="1"/>
        <v>64.5</v>
      </c>
      <c r="M11" s="30">
        <f t="shared" si="1"/>
        <v>73</v>
      </c>
      <c r="N11" s="30">
        <f t="shared" si="1"/>
        <v>71</v>
      </c>
      <c r="O11" s="30">
        <f t="shared" si="1"/>
        <v>76.5</v>
      </c>
      <c r="P11" s="30">
        <f t="shared" si="1"/>
        <v>83.5</v>
      </c>
      <c r="Q11" s="30">
        <f t="shared" si="1"/>
        <v>777</v>
      </c>
      <c r="R11" s="30">
        <f t="shared" si="1"/>
        <v>70.636363636363626</v>
      </c>
      <c r="S11" s="30">
        <f>'10B Sem avr'!$H$5</f>
        <v>29</v>
      </c>
      <c r="T11" s="45">
        <f>AVERAGE(T9:T10)</f>
        <v>0</v>
      </c>
      <c r="U11" s="45">
        <f>AVERAGE(U9:U10)</f>
        <v>0</v>
      </c>
    </row>
    <row r="12" spans="1:24" ht="17.25" customHeight="1" x14ac:dyDescent="0.25">
      <c r="A12" s="292">
        <v>3</v>
      </c>
      <c r="B12" s="293"/>
      <c r="C12" s="294">
        <v>16</v>
      </c>
      <c r="D12" s="294" t="s">
        <v>23</v>
      </c>
      <c r="E12" s="29" t="s">
        <v>21</v>
      </c>
      <c r="F12" s="30">
        <f>'10B Sem 1'!E6</f>
        <v>85</v>
      </c>
      <c r="G12" s="30">
        <f>'10B Sem 1'!F6</f>
        <v>94</v>
      </c>
      <c r="H12" s="30">
        <f>'10B Sem 1'!G6</f>
        <v>76</v>
      </c>
      <c r="I12" s="30">
        <f>'10B Sem 1'!H6</f>
        <v>81</v>
      </c>
      <c r="J12" s="30">
        <f>'10B Sem 1'!I6</f>
        <v>76</v>
      </c>
      <c r="K12" s="30">
        <f>'10B Sem 1'!J6</f>
        <v>89</v>
      </c>
      <c r="L12" s="30">
        <f>'10B Sem 1'!K6</f>
        <v>83</v>
      </c>
      <c r="M12" s="30">
        <f>'10B Sem 1'!L6</f>
        <v>90</v>
      </c>
      <c r="N12" s="30">
        <f>'10B Sem 1'!M6</f>
        <v>90</v>
      </c>
      <c r="O12" s="30">
        <f>'10B Sem 1'!N6</f>
        <v>96</v>
      </c>
      <c r="P12" s="30">
        <f>'10B Sem 1'!O6</f>
        <v>100</v>
      </c>
      <c r="Q12" s="30">
        <f>'10B Sem 1'!P6</f>
        <v>960</v>
      </c>
      <c r="R12" s="30">
        <f>'10B Sem 1'!Q6</f>
        <v>87.272727272727266</v>
      </c>
      <c r="S12" s="30">
        <f>'10B Sem 1'!R6</f>
        <v>8</v>
      </c>
      <c r="T12" s="30">
        <f>'10B Sem 1'!S6</f>
        <v>0</v>
      </c>
      <c r="U12" s="30">
        <f>'10B Sem 1'!T6</f>
        <v>0</v>
      </c>
    </row>
    <row r="13" spans="1:24" ht="17.25" customHeight="1" x14ac:dyDescent="0.25">
      <c r="A13" s="292"/>
      <c r="B13" s="293"/>
      <c r="C13" s="294">
        <v>16</v>
      </c>
      <c r="D13" s="294" t="s">
        <v>23</v>
      </c>
      <c r="E13" s="29" t="s">
        <v>22</v>
      </c>
      <c r="F13" s="30">
        <f>'10B Sem 2'!E6</f>
        <v>82</v>
      </c>
      <c r="G13" s="30">
        <f>'10B Sem 2'!F6</f>
        <v>87</v>
      </c>
      <c r="H13" s="30">
        <f>'10B Sem 2'!G6</f>
        <v>81</v>
      </c>
      <c r="I13" s="30">
        <f>'10B Sem 2'!H6</f>
        <v>83</v>
      </c>
      <c r="J13" s="30">
        <f>'10B Sem 2'!I6</f>
        <v>81</v>
      </c>
      <c r="K13" s="30">
        <f>'10B Sem 2'!J6</f>
        <v>94</v>
      </c>
      <c r="L13" s="30">
        <f>'10B Sem 2'!K6</f>
        <v>92</v>
      </c>
      <c r="M13" s="30">
        <f>'10B Sem 2'!L6</f>
        <v>98</v>
      </c>
      <c r="N13" s="30">
        <f>'10B Sem 2'!M6</f>
        <v>96</v>
      </c>
      <c r="O13" s="30">
        <f>'10B Sem 2'!N6</f>
        <v>94</v>
      </c>
      <c r="P13" s="30">
        <f>'10B Sem 2'!O6</f>
        <v>95</v>
      </c>
      <c r="Q13" s="30">
        <f>'10B Sem 2'!P6</f>
        <v>983</v>
      </c>
      <c r="R13" s="30">
        <f>'10B Sem 2'!Q6</f>
        <v>89.36363636363636</v>
      </c>
      <c r="S13" s="30">
        <f>'10B Sem 2'!R6</f>
        <v>5</v>
      </c>
      <c r="T13" s="30">
        <f>'10B Sem 2'!S6</f>
        <v>0</v>
      </c>
      <c r="U13" s="30">
        <f>'10B Sem 2'!T6</f>
        <v>0</v>
      </c>
    </row>
    <row r="14" spans="1:24" ht="17.25" customHeight="1" x14ac:dyDescent="0.25">
      <c r="A14" s="292"/>
      <c r="B14" s="293"/>
      <c r="C14" s="294">
        <v>16</v>
      </c>
      <c r="D14" s="294" t="s">
        <v>23</v>
      </c>
      <c r="E14" s="29" t="s">
        <v>16</v>
      </c>
      <c r="F14" s="30">
        <f>AVERAGE(F12:F13)</f>
        <v>83.5</v>
      </c>
      <c r="G14" s="30">
        <f t="shared" ref="G14:R14" si="2">AVERAGE(G12:G13)</f>
        <v>90.5</v>
      </c>
      <c r="H14" s="30">
        <f t="shared" si="2"/>
        <v>78.5</v>
      </c>
      <c r="I14" s="30">
        <f t="shared" si="2"/>
        <v>82</v>
      </c>
      <c r="J14" s="30">
        <f t="shared" si="2"/>
        <v>78.5</v>
      </c>
      <c r="K14" s="30">
        <f t="shared" si="2"/>
        <v>91.5</v>
      </c>
      <c r="L14" s="30">
        <f t="shared" si="2"/>
        <v>87.5</v>
      </c>
      <c r="M14" s="30">
        <f t="shared" si="2"/>
        <v>94</v>
      </c>
      <c r="N14" s="30">
        <f t="shared" si="2"/>
        <v>93</v>
      </c>
      <c r="O14" s="30">
        <f t="shared" si="2"/>
        <v>95</v>
      </c>
      <c r="P14" s="30">
        <f t="shared" si="2"/>
        <v>97.5</v>
      </c>
      <c r="Q14" s="30">
        <f t="shared" si="2"/>
        <v>971.5</v>
      </c>
      <c r="R14" s="30">
        <f t="shared" si="2"/>
        <v>88.318181818181813</v>
      </c>
      <c r="S14" s="30">
        <f>'10B Sem avr'!$H$6</f>
        <v>7</v>
      </c>
      <c r="T14" s="45">
        <f>AVERAGE(T12:T13)</f>
        <v>0</v>
      </c>
      <c r="U14" s="45">
        <f>AVERAGE(U12:U13)</f>
        <v>0</v>
      </c>
    </row>
    <row r="15" spans="1:24" ht="17.25" customHeight="1" x14ac:dyDescent="0.25">
      <c r="A15" s="295">
        <v>4</v>
      </c>
      <c r="B15" s="296"/>
      <c r="C15" s="294">
        <v>15</v>
      </c>
      <c r="D15" s="294" t="s">
        <v>23</v>
      </c>
      <c r="E15" s="29" t="s">
        <v>21</v>
      </c>
      <c r="F15" s="30">
        <f>'10B Sem 1'!E7</f>
        <v>83</v>
      </c>
      <c r="G15" s="30">
        <f>'10B Sem 1'!F7</f>
        <v>76</v>
      </c>
      <c r="H15" s="30">
        <f>'10B Sem 1'!G7</f>
        <v>81</v>
      </c>
      <c r="I15" s="30">
        <f>'10B Sem 1'!H7</f>
        <v>89</v>
      </c>
      <c r="J15" s="30">
        <f>'10B Sem 1'!I7</f>
        <v>80</v>
      </c>
      <c r="K15" s="30">
        <f>'10B Sem 1'!J7</f>
        <v>88</v>
      </c>
      <c r="L15" s="30">
        <f>'10B Sem 1'!K7</f>
        <v>88</v>
      </c>
      <c r="M15" s="30">
        <f>'10B Sem 1'!L7</f>
        <v>75</v>
      </c>
      <c r="N15" s="30">
        <f>'10B Sem 1'!M7</f>
        <v>87</v>
      </c>
      <c r="O15" s="30">
        <f>'10B Sem 1'!N7</f>
        <v>98</v>
      </c>
      <c r="P15" s="30">
        <f>'10B Sem 1'!O7</f>
        <v>100</v>
      </c>
      <c r="Q15" s="30">
        <f>'10B Sem 1'!P7</f>
        <v>945</v>
      </c>
      <c r="R15" s="30">
        <f>'10B Sem 1'!Q7</f>
        <v>85.909090909090907</v>
      </c>
      <c r="S15" s="30">
        <f>'10B Sem 1'!R7</f>
        <v>9</v>
      </c>
      <c r="T15" s="30">
        <f>'10B Sem 1'!S7</f>
        <v>0</v>
      </c>
      <c r="U15" s="30">
        <f>'10B Sem 1'!T7</f>
        <v>0</v>
      </c>
    </row>
    <row r="16" spans="1:24" ht="17.25" customHeight="1" x14ac:dyDescent="0.25">
      <c r="A16" s="295"/>
      <c r="B16" s="296"/>
      <c r="C16" s="294">
        <v>15</v>
      </c>
      <c r="D16" s="294" t="s">
        <v>23</v>
      </c>
      <c r="E16" s="29" t="s">
        <v>22</v>
      </c>
      <c r="F16" s="30">
        <f>'10B Sem 2'!E7</f>
        <v>87</v>
      </c>
      <c r="G16" s="30">
        <f>'10B Sem 2'!F7</f>
        <v>77</v>
      </c>
      <c r="H16" s="30">
        <f>'10B Sem 2'!G7</f>
        <v>83</v>
      </c>
      <c r="I16" s="30">
        <f>'10B Sem 2'!H7</f>
        <v>82</v>
      </c>
      <c r="J16" s="30">
        <f>'10B Sem 2'!I7</f>
        <v>77</v>
      </c>
      <c r="K16" s="30">
        <f>'10B Sem 2'!J7</f>
        <v>92</v>
      </c>
      <c r="L16" s="30">
        <f>'10B Sem 2'!K7</f>
        <v>91</v>
      </c>
      <c r="M16" s="30">
        <f>'10B Sem 2'!L7</f>
        <v>80</v>
      </c>
      <c r="N16" s="30">
        <f>'10B Sem 2'!M7</f>
        <v>91</v>
      </c>
      <c r="O16" s="30">
        <f>'10B Sem 2'!N7</f>
        <v>92</v>
      </c>
      <c r="P16" s="30">
        <f>'10B Sem 2'!O7</f>
        <v>100</v>
      </c>
      <c r="Q16" s="30">
        <f>'10B Sem 2'!P7</f>
        <v>952</v>
      </c>
      <c r="R16" s="30">
        <f>'10B Sem 2'!Q7</f>
        <v>86.545454545454547</v>
      </c>
      <c r="S16" s="30">
        <f>'10B Sem 2'!R7</f>
        <v>9</v>
      </c>
      <c r="T16" s="30">
        <f>'10B Sem 2'!S7</f>
        <v>0</v>
      </c>
      <c r="U16" s="30">
        <f>'10B Sem 2'!T7</f>
        <v>0</v>
      </c>
    </row>
    <row r="17" spans="1:21" ht="17.25" customHeight="1" x14ac:dyDescent="0.25">
      <c r="A17" s="295"/>
      <c r="B17" s="296"/>
      <c r="C17" s="294">
        <v>15</v>
      </c>
      <c r="D17" s="294" t="s">
        <v>23</v>
      </c>
      <c r="E17" s="29" t="s">
        <v>16</v>
      </c>
      <c r="F17" s="30">
        <f>AVERAGE(F15:F16)</f>
        <v>85</v>
      </c>
      <c r="G17" s="30">
        <f t="shared" ref="G17:R17" si="3">AVERAGE(G15:G16)</f>
        <v>76.5</v>
      </c>
      <c r="H17" s="30">
        <f t="shared" si="3"/>
        <v>82</v>
      </c>
      <c r="I17" s="30">
        <f t="shared" si="3"/>
        <v>85.5</v>
      </c>
      <c r="J17" s="30">
        <f t="shared" si="3"/>
        <v>78.5</v>
      </c>
      <c r="K17" s="30">
        <f t="shared" si="3"/>
        <v>90</v>
      </c>
      <c r="L17" s="30">
        <f t="shared" si="3"/>
        <v>89.5</v>
      </c>
      <c r="M17" s="30">
        <f t="shared" si="3"/>
        <v>77.5</v>
      </c>
      <c r="N17" s="30">
        <f t="shared" si="3"/>
        <v>89</v>
      </c>
      <c r="O17" s="30">
        <f t="shared" si="3"/>
        <v>95</v>
      </c>
      <c r="P17" s="30">
        <f t="shared" si="3"/>
        <v>100</v>
      </c>
      <c r="Q17" s="30">
        <f t="shared" si="3"/>
        <v>948.5</v>
      </c>
      <c r="R17" s="30">
        <f t="shared" si="3"/>
        <v>86.22727272727272</v>
      </c>
      <c r="S17" s="30">
        <f>'10B Sem avr'!$H$7</f>
        <v>9</v>
      </c>
      <c r="T17" s="45">
        <f>AVERAGE(T15:T16)</f>
        <v>0</v>
      </c>
      <c r="U17" s="45">
        <f>AVERAGE(U15:U16)</f>
        <v>0</v>
      </c>
    </row>
    <row r="18" spans="1:21" ht="17.25" customHeight="1" x14ac:dyDescent="0.25">
      <c r="A18" s="295">
        <v>5</v>
      </c>
      <c r="B18" s="296"/>
      <c r="C18" s="294">
        <v>16</v>
      </c>
      <c r="D18" s="294" t="s">
        <v>20</v>
      </c>
      <c r="E18" s="29" t="s">
        <v>21</v>
      </c>
      <c r="F18" s="30">
        <f>'10B Sem 1'!E8</f>
        <v>81</v>
      </c>
      <c r="G18" s="30">
        <f>'10B Sem 1'!F8</f>
        <v>56</v>
      </c>
      <c r="H18" s="30">
        <f>'10B Sem 1'!G8</f>
        <v>68</v>
      </c>
      <c r="I18" s="30">
        <f>'10B Sem 1'!H8</f>
        <v>69</v>
      </c>
      <c r="J18" s="30">
        <f>'10B Sem 1'!I8</f>
        <v>56</v>
      </c>
      <c r="K18" s="30">
        <f>'10B Sem 1'!J8</f>
        <v>70</v>
      </c>
      <c r="L18" s="30">
        <f>'10B Sem 1'!K8</f>
        <v>74</v>
      </c>
      <c r="M18" s="30">
        <f>'10B Sem 1'!L8</f>
        <v>77</v>
      </c>
      <c r="N18" s="30">
        <f>'10B Sem 1'!M8</f>
        <v>79</v>
      </c>
      <c r="O18" s="30">
        <f>'10B Sem 1'!N8</f>
        <v>79</v>
      </c>
      <c r="P18" s="30">
        <f>'10B Sem 1'!O8</f>
        <v>94</v>
      </c>
      <c r="Q18" s="30">
        <f>'10B Sem 1'!P8</f>
        <v>803</v>
      </c>
      <c r="R18" s="30">
        <f>'10B Sem 1'!Q8</f>
        <v>73</v>
      </c>
      <c r="S18" s="30">
        <f>'10B Sem 1'!R8</f>
        <v>25</v>
      </c>
      <c r="T18" s="30">
        <f>'10B Sem 1'!S8</f>
        <v>0</v>
      </c>
      <c r="U18" s="30">
        <f>'10B Sem 1'!T8</f>
        <v>0</v>
      </c>
    </row>
    <row r="19" spans="1:21" ht="17.25" customHeight="1" x14ac:dyDescent="0.25">
      <c r="A19" s="295"/>
      <c r="B19" s="296"/>
      <c r="C19" s="294">
        <v>16</v>
      </c>
      <c r="D19" s="294" t="s">
        <v>20</v>
      </c>
      <c r="E19" s="29" t="s">
        <v>22</v>
      </c>
      <c r="F19" s="30">
        <f>'10B Sem 2'!E8</f>
        <v>77</v>
      </c>
      <c r="G19" s="30">
        <f>'10B Sem 2'!F8</f>
        <v>58</v>
      </c>
      <c r="H19" s="30">
        <f>'10B Sem 2'!G8</f>
        <v>51</v>
      </c>
      <c r="I19" s="30">
        <f>'10B Sem 2'!H8</f>
        <v>54</v>
      </c>
      <c r="J19" s="30">
        <f>'10B Sem 2'!I8</f>
        <v>63</v>
      </c>
      <c r="K19" s="30">
        <f>'10B Sem 2'!J8</f>
        <v>82</v>
      </c>
      <c r="L19" s="30">
        <f>'10B Sem 2'!K8</f>
        <v>78</v>
      </c>
      <c r="M19" s="30">
        <f>'10B Sem 2'!L8</f>
        <v>87</v>
      </c>
      <c r="N19" s="30">
        <f>'10B Sem 2'!M8</f>
        <v>84</v>
      </c>
      <c r="O19" s="30">
        <f>'10B Sem 2'!N8</f>
        <v>90</v>
      </c>
      <c r="P19" s="30">
        <f>'10B Sem 2'!O8</f>
        <v>95</v>
      </c>
      <c r="Q19" s="30">
        <f>'10B Sem 2'!P8</f>
        <v>819</v>
      </c>
      <c r="R19" s="30">
        <f>'10B Sem 2'!Q8</f>
        <v>74.454545454545453</v>
      </c>
      <c r="S19" s="30">
        <f>'10B Sem 2'!R8</f>
        <v>25</v>
      </c>
      <c r="T19" s="30">
        <f>'10B Sem 2'!S8</f>
        <v>0</v>
      </c>
      <c r="U19" s="30">
        <f>'10B Sem 2'!T8</f>
        <v>0</v>
      </c>
    </row>
    <row r="20" spans="1:21" ht="17.25" customHeight="1" x14ac:dyDescent="0.25">
      <c r="A20" s="295"/>
      <c r="B20" s="296"/>
      <c r="C20" s="294">
        <v>16</v>
      </c>
      <c r="D20" s="294" t="s">
        <v>20</v>
      </c>
      <c r="E20" s="29" t="s">
        <v>16</v>
      </c>
      <c r="F20" s="30">
        <f>AVERAGE(F18:F19)</f>
        <v>79</v>
      </c>
      <c r="G20" s="30">
        <f t="shared" ref="G20:R20" si="4">AVERAGE(G18:G19)</f>
        <v>57</v>
      </c>
      <c r="H20" s="30">
        <f t="shared" si="4"/>
        <v>59.5</v>
      </c>
      <c r="I20" s="30">
        <f t="shared" si="4"/>
        <v>61.5</v>
      </c>
      <c r="J20" s="30">
        <f t="shared" si="4"/>
        <v>59.5</v>
      </c>
      <c r="K20" s="30">
        <f t="shared" si="4"/>
        <v>76</v>
      </c>
      <c r="L20" s="30">
        <f t="shared" si="4"/>
        <v>76</v>
      </c>
      <c r="M20" s="30">
        <f t="shared" si="4"/>
        <v>82</v>
      </c>
      <c r="N20" s="30">
        <f t="shared" si="4"/>
        <v>81.5</v>
      </c>
      <c r="O20" s="30">
        <f t="shared" si="4"/>
        <v>84.5</v>
      </c>
      <c r="P20" s="30">
        <f t="shared" si="4"/>
        <v>94.5</v>
      </c>
      <c r="Q20" s="30">
        <f t="shared" si="4"/>
        <v>811</v>
      </c>
      <c r="R20" s="30">
        <f t="shared" si="4"/>
        <v>73.72727272727272</v>
      </c>
      <c r="S20" s="30">
        <f>'10B Sem avr'!$H$8</f>
        <v>26</v>
      </c>
      <c r="T20" s="45">
        <f>AVERAGE(T18:T19)</f>
        <v>0</v>
      </c>
      <c r="U20" s="45">
        <f>AVERAGE(U18:U19)</f>
        <v>0</v>
      </c>
    </row>
    <row r="21" spans="1:21" ht="17.25" customHeight="1" x14ac:dyDescent="0.25">
      <c r="A21" s="292">
        <v>6</v>
      </c>
      <c r="B21" s="296"/>
      <c r="C21" s="294">
        <v>16</v>
      </c>
      <c r="D21" s="294" t="s">
        <v>23</v>
      </c>
      <c r="E21" s="29" t="s">
        <v>21</v>
      </c>
      <c r="F21" s="30">
        <f>'10B Sem 1'!E9</f>
        <v>69</v>
      </c>
      <c r="G21" s="30">
        <f>'10B Sem 1'!F9</f>
        <v>38</v>
      </c>
      <c r="H21" s="30">
        <f>'10B Sem 1'!G9</f>
        <v>44</v>
      </c>
      <c r="I21" s="30">
        <f>'10B Sem 1'!H9</f>
        <v>57</v>
      </c>
      <c r="J21" s="30">
        <f>'10B Sem 1'!I9</f>
        <v>57</v>
      </c>
      <c r="K21" s="30">
        <f>'10B Sem 1'!J9</f>
        <v>47</v>
      </c>
      <c r="L21" s="30">
        <f>'10B Sem 1'!K9</f>
        <v>45</v>
      </c>
      <c r="M21" s="30">
        <f>'10B Sem 1'!L9</f>
        <v>58</v>
      </c>
      <c r="N21" s="30">
        <f>'10B Sem 1'!M9</f>
        <v>47</v>
      </c>
      <c r="O21" s="30">
        <f>'10B Sem 1'!N9</f>
        <v>70</v>
      </c>
      <c r="P21" s="30">
        <f>'10B Sem 1'!O9</f>
        <v>83</v>
      </c>
      <c r="Q21" s="30">
        <f>'10B Sem 1'!P9</f>
        <v>615</v>
      </c>
      <c r="R21" s="30">
        <f>'10B Sem 1'!Q9</f>
        <v>55.909090909090907</v>
      </c>
      <c r="S21" s="30">
        <f>'10B Sem 1'!R9</f>
        <v>51</v>
      </c>
      <c r="T21" s="30">
        <f>'10B Sem 1'!S9</f>
        <v>0</v>
      </c>
      <c r="U21" s="30">
        <f>'10B Sem 1'!T9</f>
        <v>0</v>
      </c>
    </row>
    <row r="22" spans="1:21" ht="17.25" customHeight="1" x14ac:dyDescent="0.25">
      <c r="A22" s="292"/>
      <c r="B22" s="296"/>
      <c r="C22" s="294">
        <v>16</v>
      </c>
      <c r="D22" s="294" t="s">
        <v>23</v>
      </c>
      <c r="E22" s="29" t="s">
        <v>22</v>
      </c>
      <c r="F22" s="30">
        <f>'10B Sem 2'!E9</f>
        <v>72</v>
      </c>
      <c r="G22" s="30">
        <f>'10B Sem 2'!F9</f>
        <v>50</v>
      </c>
      <c r="H22" s="30">
        <f>'10B Sem 2'!G9</f>
        <v>41</v>
      </c>
      <c r="I22" s="30">
        <f>'10B Sem 2'!H9</f>
        <v>43</v>
      </c>
      <c r="J22" s="30">
        <f>'10B Sem 2'!I9</f>
        <v>47</v>
      </c>
      <c r="K22" s="30">
        <f>'10B Sem 2'!J9</f>
        <v>43</v>
      </c>
      <c r="L22" s="30">
        <f>'10B Sem 2'!K9</f>
        <v>51</v>
      </c>
      <c r="M22" s="30">
        <f>'10B Sem 2'!L9</f>
        <v>51</v>
      </c>
      <c r="N22" s="30">
        <f>'10B Sem 2'!M9</f>
        <v>58</v>
      </c>
      <c r="O22" s="30">
        <f>'10B Sem 2'!N9</f>
        <v>73</v>
      </c>
      <c r="P22" s="30">
        <f>'10B Sem 2'!O9</f>
        <v>90</v>
      </c>
      <c r="Q22" s="30">
        <f>'10B Sem 2'!P9</f>
        <v>619</v>
      </c>
      <c r="R22" s="30">
        <f>'10B Sem 2'!Q9</f>
        <v>56.272727272727273</v>
      </c>
      <c r="S22" s="30">
        <f>'10B Sem 2'!R9</f>
        <v>50</v>
      </c>
      <c r="T22" s="30">
        <f>'10B Sem 2'!S9</f>
        <v>0</v>
      </c>
      <c r="U22" s="30">
        <f>'10B Sem 2'!T9</f>
        <v>0</v>
      </c>
    </row>
    <row r="23" spans="1:21" ht="17.25" customHeight="1" x14ac:dyDescent="0.25">
      <c r="A23" s="292"/>
      <c r="B23" s="296"/>
      <c r="C23" s="294">
        <v>16</v>
      </c>
      <c r="D23" s="294" t="s">
        <v>23</v>
      </c>
      <c r="E23" s="29" t="s">
        <v>16</v>
      </c>
      <c r="F23" s="30">
        <f>AVERAGE(F21:F22)</f>
        <v>70.5</v>
      </c>
      <c r="G23" s="30">
        <f t="shared" ref="G23:R23" si="5">AVERAGE(G21:G22)</f>
        <v>44</v>
      </c>
      <c r="H23" s="30">
        <f t="shared" si="5"/>
        <v>42.5</v>
      </c>
      <c r="I23" s="30">
        <f t="shared" si="5"/>
        <v>50</v>
      </c>
      <c r="J23" s="30">
        <f t="shared" si="5"/>
        <v>52</v>
      </c>
      <c r="K23" s="30">
        <f t="shared" si="5"/>
        <v>45</v>
      </c>
      <c r="L23" s="30">
        <f t="shared" si="5"/>
        <v>48</v>
      </c>
      <c r="M23" s="30">
        <f t="shared" si="5"/>
        <v>54.5</v>
      </c>
      <c r="N23" s="30">
        <f t="shared" si="5"/>
        <v>52.5</v>
      </c>
      <c r="O23" s="30">
        <f t="shared" si="5"/>
        <v>71.5</v>
      </c>
      <c r="P23" s="30">
        <f t="shared" si="5"/>
        <v>86.5</v>
      </c>
      <c r="Q23" s="30">
        <f t="shared" si="5"/>
        <v>617</v>
      </c>
      <c r="R23" s="30">
        <f t="shared" si="5"/>
        <v>56.090909090909093</v>
      </c>
      <c r="S23" s="30">
        <f>'10B Sem avr'!$H$9</f>
        <v>51</v>
      </c>
      <c r="T23" s="45">
        <f>AVERAGE(T21:T22)</f>
        <v>0</v>
      </c>
      <c r="U23" s="45">
        <f>AVERAGE(U21:U22)</f>
        <v>0</v>
      </c>
    </row>
    <row r="24" spans="1:21" ht="17.25" customHeight="1" x14ac:dyDescent="0.25">
      <c r="A24" s="295">
        <v>7</v>
      </c>
      <c r="B24" s="293"/>
      <c r="C24" s="294">
        <v>16</v>
      </c>
      <c r="D24" s="294" t="s">
        <v>23</v>
      </c>
      <c r="E24" s="29" t="s">
        <v>21</v>
      </c>
      <c r="F24" s="30">
        <f>'10B Sem 1'!E10</f>
        <v>84</v>
      </c>
      <c r="G24" s="30">
        <f>'10B Sem 1'!F10</f>
        <v>73</v>
      </c>
      <c r="H24" s="30">
        <f>'10B Sem 1'!G10</f>
        <v>91</v>
      </c>
      <c r="I24" s="30">
        <f>'10B Sem 1'!H10</f>
        <v>88</v>
      </c>
      <c r="J24" s="30">
        <f>'10B Sem 1'!I10</f>
        <v>75</v>
      </c>
      <c r="K24" s="30">
        <f>'10B Sem 1'!J10</f>
        <v>78</v>
      </c>
      <c r="L24" s="30">
        <f>'10B Sem 1'!K10</f>
        <v>75</v>
      </c>
      <c r="M24" s="30">
        <f>'10B Sem 1'!L10</f>
        <v>63</v>
      </c>
      <c r="N24" s="30">
        <f>'10B Sem 1'!M10</f>
        <v>74</v>
      </c>
      <c r="O24" s="30">
        <f>'10B Sem 1'!N10</f>
        <v>88</v>
      </c>
      <c r="P24" s="30">
        <f>'10B Sem 1'!O10</f>
        <v>85</v>
      </c>
      <c r="Q24" s="30">
        <f>'10B Sem 1'!P10</f>
        <v>874</v>
      </c>
      <c r="R24" s="30">
        <f>'10B Sem 1'!Q10</f>
        <v>79.454545454545453</v>
      </c>
      <c r="S24" s="30">
        <f>'10B Sem 1'!R10</f>
        <v>16</v>
      </c>
      <c r="T24" s="30">
        <f>'10B Sem 1'!S10</f>
        <v>0</v>
      </c>
      <c r="U24" s="30">
        <f>'10B Sem 1'!T10</f>
        <v>0</v>
      </c>
    </row>
    <row r="25" spans="1:21" ht="17.25" customHeight="1" x14ac:dyDescent="0.25">
      <c r="A25" s="295"/>
      <c r="B25" s="293"/>
      <c r="C25" s="294">
        <v>16</v>
      </c>
      <c r="D25" s="294" t="s">
        <v>23</v>
      </c>
      <c r="E25" s="29" t="s">
        <v>22</v>
      </c>
      <c r="F25" s="30">
        <f>'10B Sem 2'!E10</f>
        <v>83</v>
      </c>
      <c r="G25" s="30">
        <f>'10B Sem 2'!F10</f>
        <v>77</v>
      </c>
      <c r="H25" s="30">
        <f>'10B Sem 2'!G10</f>
        <v>92</v>
      </c>
      <c r="I25" s="30">
        <f>'10B Sem 2'!H10</f>
        <v>81</v>
      </c>
      <c r="J25" s="30">
        <f>'10B Sem 2'!I10</f>
        <v>76</v>
      </c>
      <c r="K25" s="30">
        <f>'10B Sem 2'!J10</f>
        <v>87</v>
      </c>
      <c r="L25" s="30">
        <f>'10B Sem 2'!K10</f>
        <v>86</v>
      </c>
      <c r="M25" s="30">
        <f>'10B Sem 2'!L10</f>
        <v>69</v>
      </c>
      <c r="N25" s="30">
        <f>'10B Sem 2'!M10</f>
        <v>82</v>
      </c>
      <c r="O25" s="30">
        <f>'10B Sem 2'!N10</f>
        <v>83</v>
      </c>
      <c r="P25" s="30">
        <f>'10B Sem 2'!O10</f>
        <v>97</v>
      </c>
      <c r="Q25" s="30">
        <f>'10B Sem 2'!P10</f>
        <v>913</v>
      </c>
      <c r="R25" s="30">
        <f>'10B Sem 2'!Q10</f>
        <v>83</v>
      </c>
      <c r="S25" s="30">
        <f>'10B Sem 2'!R10</f>
        <v>14</v>
      </c>
      <c r="T25" s="30">
        <f>'10B Sem 2'!S10</f>
        <v>0</v>
      </c>
      <c r="U25" s="30">
        <f>'10B Sem 2'!T10</f>
        <v>0</v>
      </c>
    </row>
    <row r="26" spans="1:21" ht="17.25" customHeight="1" x14ac:dyDescent="0.25">
      <c r="A26" s="295"/>
      <c r="B26" s="293"/>
      <c r="C26" s="294">
        <v>16</v>
      </c>
      <c r="D26" s="294" t="s">
        <v>23</v>
      </c>
      <c r="E26" s="29" t="s">
        <v>16</v>
      </c>
      <c r="F26" s="30">
        <f>AVERAGE(F24:F25)</f>
        <v>83.5</v>
      </c>
      <c r="G26" s="30">
        <f t="shared" ref="G26:R26" si="6">AVERAGE(G24:G25)</f>
        <v>75</v>
      </c>
      <c r="H26" s="30">
        <f t="shared" si="6"/>
        <v>91.5</v>
      </c>
      <c r="I26" s="30">
        <f t="shared" si="6"/>
        <v>84.5</v>
      </c>
      <c r="J26" s="30">
        <f t="shared" si="6"/>
        <v>75.5</v>
      </c>
      <c r="K26" s="30">
        <f t="shared" si="6"/>
        <v>82.5</v>
      </c>
      <c r="L26" s="30">
        <f t="shared" si="6"/>
        <v>80.5</v>
      </c>
      <c r="M26" s="30">
        <f t="shared" si="6"/>
        <v>66</v>
      </c>
      <c r="N26" s="30">
        <f t="shared" si="6"/>
        <v>78</v>
      </c>
      <c r="O26" s="30">
        <f t="shared" si="6"/>
        <v>85.5</v>
      </c>
      <c r="P26" s="30">
        <f t="shared" si="6"/>
        <v>91</v>
      </c>
      <c r="Q26" s="30">
        <f t="shared" si="6"/>
        <v>893.5</v>
      </c>
      <c r="R26" s="30">
        <f t="shared" si="6"/>
        <v>81.22727272727272</v>
      </c>
      <c r="S26" s="30">
        <f>'10B Sem avr'!$H$10</f>
        <v>15</v>
      </c>
      <c r="T26" s="45">
        <f>AVERAGE(T24:T25)</f>
        <v>0</v>
      </c>
      <c r="U26" s="45">
        <f>AVERAGE(U24:U25)</f>
        <v>0</v>
      </c>
    </row>
    <row r="27" spans="1:21" ht="17.25" customHeight="1" x14ac:dyDescent="0.25">
      <c r="A27" s="295">
        <v>8</v>
      </c>
      <c r="B27" s="293"/>
      <c r="C27" s="294">
        <v>16</v>
      </c>
      <c r="D27" s="294" t="s">
        <v>20</v>
      </c>
      <c r="E27" s="29" t="s">
        <v>21</v>
      </c>
      <c r="F27" s="30">
        <f>'10B Sem 1'!E11</f>
        <v>88</v>
      </c>
      <c r="G27" s="30">
        <f>'10B Sem 1'!F11</f>
        <v>72</v>
      </c>
      <c r="H27" s="30">
        <f>'10B Sem 1'!G11</f>
        <v>81</v>
      </c>
      <c r="I27" s="30">
        <f>'10B Sem 1'!H11</f>
        <v>81</v>
      </c>
      <c r="J27" s="30">
        <f>'10B Sem 1'!I11</f>
        <v>72</v>
      </c>
      <c r="K27" s="30">
        <f>'10B Sem 1'!J11</f>
        <v>85</v>
      </c>
      <c r="L27" s="30">
        <f>'10B Sem 1'!K11</f>
        <v>78</v>
      </c>
      <c r="M27" s="30">
        <f>'10B Sem 1'!L11</f>
        <v>76</v>
      </c>
      <c r="N27" s="30">
        <f>'10B Sem 1'!M11</f>
        <v>71</v>
      </c>
      <c r="O27" s="30">
        <f>'10B Sem 1'!N11</f>
        <v>82</v>
      </c>
      <c r="P27" s="30">
        <f>'10B Sem 1'!O11</f>
        <v>84</v>
      </c>
      <c r="Q27" s="30">
        <f>'10B Sem 1'!P11</f>
        <v>870</v>
      </c>
      <c r="R27" s="30">
        <f>'10B Sem 1'!Q11</f>
        <v>79.090909090909093</v>
      </c>
      <c r="S27" s="30">
        <f>'10B Sem 1'!R11</f>
        <v>17</v>
      </c>
      <c r="T27" s="30">
        <f>'10B Sem 1'!S11</f>
        <v>0</v>
      </c>
      <c r="U27" s="30">
        <f>'10B Sem 1'!T11</f>
        <v>0</v>
      </c>
    </row>
    <row r="28" spans="1:21" ht="17.25" customHeight="1" x14ac:dyDescent="0.25">
      <c r="A28" s="295"/>
      <c r="B28" s="293"/>
      <c r="C28" s="294">
        <v>16</v>
      </c>
      <c r="D28" s="294" t="s">
        <v>20</v>
      </c>
      <c r="E28" s="29" t="s">
        <v>22</v>
      </c>
      <c r="F28" s="30">
        <f>'10B Sem 2'!E11</f>
        <v>85</v>
      </c>
      <c r="G28" s="30">
        <f>'10B Sem 2'!F11</f>
        <v>72</v>
      </c>
      <c r="H28" s="30">
        <f>'10B Sem 2'!G11</f>
        <v>83</v>
      </c>
      <c r="I28" s="30">
        <f>'10B Sem 2'!H11</f>
        <v>77</v>
      </c>
      <c r="J28" s="30">
        <f>'10B Sem 2'!I11</f>
        <v>62</v>
      </c>
      <c r="K28" s="30">
        <f>'10B Sem 2'!J11</f>
        <v>79</v>
      </c>
      <c r="L28" s="30">
        <f>'10B Sem 2'!K11</f>
        <v>83</v>
      </c>
      <c r="M28" s="30">
        <f>'10B Sem 2'!L11</f>
        <v>92</v>
      </c>
      <c r="N28" s="30">
        <f>'10B Sem 2'!M11</f>
        <v>87</v>
      </c>
      <c r="O28" s="30">
        <f>'10B Sem 2'!N11</f>
        <v>90</v>
      </c>
      <c r="P28" s="30">
        <f>'10B Sem 2'!O11</f>
        <v>90</v>
      </c>
      <c r="Q28" s="30">
        <f>'10B Sem 2'!P11</f>
        <v>900</v>
      </c>
      <c r="R28" s="30">
        <f>'10B Sem 2'!Q11</f>
        <v>81.818181818181813</v>
      </c>
      <c r="S28" s="30">
        <f>'10B Sem 2'!R11</f>
        <v>17</v>
      </c>
      <c r="T28" s="30">
        <f>'10B Sem 2'!S11</f>
        <v>0</v>
      </c>
      <c r="U28" s="30">
        <f>'10B Sem 2'!T11</f>
        <v>0</v>
      </c>
    </row>
    <row r="29" spans="1:21" ht="17.25" customHeight="1" x14ac:dyDescent="0.25">
      <c r="A29" s="295"/>
      <c r="B29" s="293"/>
      <c r="C29" s="294">
        <v>16</v>
      </c>
      <c r="D29" s="294" t="s">
        <v>20</v>
      </c>
      <c r="E29" s="29" t="s">
        <v>16</v>
      </c>
      <c r="F29" s="30">
        <f>AVERAGE(F27:F28)</f>
        <v>86.5</v>
      </c>
      <c r="G29" s="30">
        <f t="shared" ref="G29:R29" si="7">AVERAGE(G27:G28)</f>
        <v>72</v>
      </c>
      <c r="H29" s="30">
        <f t="shared" si="7"/>
        <v>82</v>
      </c>
      <c r="I29" s="30">
        <f t="shared" si="7"/>
        <v>79</v>
      </c>
      <c r="J29" s="30">
        <f t="shared" si="7"/>
        <v>67</v>
      </c>
      <c r="K29" s="30">
        <f t="shared" si="7"/>
        <v>82</v>
      </c>
      <c r="L29" s="30">
        <f t="shared" si="7"/>
        <v>80.5</v>
      </c>
      <c r="M29" s="30">
        <f t="shared" si="7"/>
        <v>84</v>
      </c>
      <c r="N29" s="30">
        <f t="shared" si="7"/>
        <v>79</v>
      </c>
      <c r="O29" s="30">
        <f t="shared" si="7"/>
        <v>86</v>
      </c>
      <c r="P29" s="30">
        <f t="shared" si="7"/>
        <v>87</v>
      </c>
      <c r="Q29" s="30">
        <f t="shared" si="7"/>
        <v>885</v>
      </c>
      <c r="R29" s="30">
        <f t="shared" si="7"/>
        <v>80.454545454545453</v>
      </c>
      <c r="S29" s="30">
        <f>'10B Sem avr'!$H$11</f>
        <v>16</v>
      </c>
      <c r="T29" s="45">
        <f>AVERAGE(T27:T28)</f>
        <v>0</v>
      </c>
      <c r="U29" s="45">
        <f>AVERAGE(U27:U28)</f>
        <v>0</v>
      </c>
    </row>
    <row r="30" spans="1:21" ht="17.25" customHeight="1" x14ac:dyDescent="0.25">
      <c r="A30" s="292">
        <v>9</v>
      </c>
      <c r="B30" s="295"/>
      <c r="C30" s="297">
        <v>14</v>
      </c>
      <c r="D30" s="330" t="s">
        <v>20</v>
      </c>
      <c r="E30" s="29" t="s">
        <v>21</v>
      </c>
      <c r="F30" s="30">
        <f>'10B Sem 1'!E12</f>
        <v>80</v>
      </c>
      <c r="G30" s="30">
        <f>'10B Sem 1'!F12</f>
        <v>82</v>
      </c>
      <c r="H30" s="30">
        <f>'10B Sem 1'!G12</f>
        <v>63</v>
      </c>
      <c r="I30" s="30">
        <f>'10B Sem 1'!H12</f>
        <v>58</v>
      </c>
      <c r="J30" s="30">
        <f>'10B Sem 1'!I12</f>
        <v>50</v>
      </c>
      <c r="K30" s="30">
        <f>'10B Sem 1'!J12</f>
        <v>56</v>
      </c>
      <c r="L30" s="30">
        <f>'10B Sem 1'!K12</f>
        <v>65</v>
      </c>
      <c r="M30" s="30">
        <f>'10B Sem 1'!L12</f>
        <v>76</v>
      </c>
      <c r="N30" s="30">
        <f>'10B Sem 1'!M12</f>
        <v>87</v>
      </c>
      <c r="O30" s="30">
        <f>'10B Sem 1'!N12</f>
        <v>86</v>
      </c>
      <c r="P30" s="30">
        <f>'10B Sem 1'!O12</f>
        <v>89</v>
      </c>
      <c r="Q30" s="30">
        <f>'10B Sem 1'!P12</f>
        <v>792</v>
      </c>
      <c r="R30" s="30">
        <f>'10B Sem 1'!Q12</f>
        <v>72</v>
      </c>
      <c r="S30" s="30">
        <f>'10B Sem 1'!R12</f>
        <v>29</v>
      </c>
      <c r="T30" s="30">
        <f>'10B Sem 1'!S12</f>
        <v>0</v>
      </c>
      <c r="U30" s="30">
        <f>'10B Sem 1'!T12</f>
        <v>0</v>
      </c>
    </row>
    <row r="31" spans="1:21" ht="17.25" customHeight="1" x14ac:dyDescent="0.25">
      <c r="A31" s="292"/>
      <c r="B31" s="295"/>
      <c r="C31" s="297">
        <v>14</v>
      </c>
      <c r="D31" s="331" t="s">
        <v>20</v>
      </c>
      <c r="E31" s="29" t="s">
        <v>22</v>
      </c>
      <c r="F31" s="30">
        <f>'10B Sem 2'!E12</f>
        <v>81</v>
      </c>
      <c r="G31" s="30">
        <f>'10B Sem 2'!F12</f>
        <v>84</v>
      </c>
      <c r="H31" s="30">
        <f>'10B Sem 2'!G12</f>
        <v>47</v>
      </c>
      <c r="I31" s="30">
        <f>'10B Sem 2'!H12</f>
        <v>45</v>
      </c>
      <c r="J31" s="30">
        <f>'10B Sem 2'!I12</f>
        <v>54</v>
      </c>
      <c r="K31" s="30">
        <f>'10B Sem 2'!J12</f>
        <v>81</v>
      </c>
      <c r="L31" s="30">
        <f>'10B Sem 2'!K12</f>
        <v>87</v>
      </c>
      <c r="M31" s="30">
        <f>'10B Sem 2'!L12</f>
        <v>79</v>
      </c>
      <c r="N31" s="30">
        <f>'10B Sem 2'!M12</f>
        <v>94</v>
      </c>
      <c r="O31" s="30">
        <f>'10B Sem 2'!N12</f>
        <v>90</v>
      </c>
      <c r="P31" s="30">
        <f>'10B Sem 2'!O12</f>
        <v>91</v>
      </c>
      <c r="Q31" s="30">
        <f>'10B Sem 2'!P12</f>
        <v>833</v>
      </c>
      <c r="R31" s="30">
        <f>'10B Sem 2'!Q12</f>
        <v>75.727272727272734</v>
      </c>
      <c r="S31" s="30">
        <f>'10B Sem 2'!R12</f>
        <v>23</v>
      </c>
      <c r="T31" s="30">
        <f>'10B Sem 2'!S12</f>
        <v>0</v>
      </c>
      <c r="U31" s="30">
        <f>'10B Sem 2'!T12</f>
        <v>0</v>
      </c>
    </row>
    <row r="32" spans="1:21" ht="17.25" customHeight="1" x14ac:dyDescent="0.25">
      <c r="A32" s="292"/>
      <c r="B32" s="295"/>
      <c r="C32" s="297">
        <v>14</v>
      </c>
      <c r="D32" s="332" t="s">
        <v>20</v>
      </c>
      <c r="E32" s="29" t="s">
        <v>16</v>
      </c>
      <c r="F32" s="30">
        <f>AVERAGE(F30:F31)</f>
        <v>80.5</v>
      </c>
      <c r="G32" s="30">
        <f t="shared" ref="G32:R32" si="8">AVERAGE(G30:G31)</f>
        <v>83</v>
      </c>
      <c r="H32" s="30">
        <f t="shared" si="8"/>
        <v>55</v>
      </c>
      <c r="I32" s="30">
        <f t="shared" si="8"/>
        <v>51.5</v>
      </c>
      <c r="J32" s="30">
        <f t="shared" si="8"/>
        <v>52</v>
      </c>
      <c r="K32" s="30">
        <f t="shared" si="8"/>
        <v>68.5</v>
      </c>
      <c r="L32" s="30">
        <f t="shared" si="8"/>
        <v>76</v>
      </c>
      <c r="M32" s="30">
        <f t="shared" si="8"/>
        <v>77.5</v>
      </c>
      <c r="N32" s="30">
        <f t="shared" si="8"/>
        <v>90.5</v>
      </c>
      <c r="O32" s="30">
        <f t="shared" si="8"/>
        <v>88</v>
      </c>
      <c r="P32" s="30">
        <f t="shared" si="8"/>
        <v>90</v>
      </c>
      <c r="Q32" s="30">
        <f t="shared" si="8"/>
        <v>812.5</v>
      </c>
      <c r="R32" s="30">
        <f t="shared" si="8"/>
        <v>73.863636363636374</v>
      </c>
      <c r="S32" s="30">
        <f>'10B Sem avr'!$H$12</f>
        <v>24</v>
      </c>
      <c r="T32" s="45">
        <f>AVERAGE(T30:T31)</f>
        <v>0</v>
      </c>
      <c r="U32" s="45">
        <f>AVERAGE(U30:U31)</f>
        <v>0</v>
      </c>
    </row>
    <row r="33" spans="1:21" ht="17.25" customHeight="1" x14ac:dyDescent="0.25">
      <c r="A33" s="295">
        <v>10</v>
      </c>
      <c r="B33" s="295"/>
      <c r="C33" s="297">
        <v>15</v>
      </c>
      <c r="D33" s="330" t="s">
        <v>23</v>
      </c>
      <c r="E33" s="29" t="s">
        <v>21</v>
      </c>
      <c r="F33" s="30">
        <f>'10B Sem 1'!E13</f>
        <v>73</v>
      </c>
      <c r="G33" s="30">
        <f>'10B Sem 1'!F13</f>
        <v>68</v>
      </c>
      <c r="H33" s="30">
        <f>'10B Sem 1'!G13</f>
        <v>38</v>
      </c>
      <c r="I33" s="30">
        <f>'10B Sem 1'!H13</f>
        <v>54</v>
      </c>
      <c r="J33" s="30">
        <f>'10B Sem 1'!I13</f>
        <v>43</v>
      </c>
      <c r="K33" s="30">
        <f>'10B Sem 1'!J13</f>
        <v>45</v>
      </c>
      <c r="L33" s="30">
        <f>'10B Sem 1'!K13</f>
        <v>52</v>
      </c>
      <c r="M33" s="30">
        <f>'10B Sem 1'!L13</f>
        <v>53</v>
      </c>
      <c r="N33" s="30">
        <f>'10B Sem 1'!M13</f>
        <v>58</v>
      </c>
      <c r="O33" s="30">
        <f>'10B Sem 1'!N13</f>
        <v>65</v>
      </c>
      <c r="P33" s="30">
        <f>'10B Sem 1'!O13</f>
        <v>80</v>
      </c>
      <c r="Q33" s="30">
        <f>'10B Sem 1'!P13</f>
        <v>629</v>
      </c>
      <c r="R33" s="30">
        <f>'10B Sem 1'!Q13</f>
        <v>57.18181818181818</v>
      </c>
      <c r="S33" s="30">
        <f>'10B Sem 1'!R13</f>
        <v>49</v>
      </c>
      <c r="T33" s="30">
        <f>'10B Sem 1'!S13</f>
        <v>0</v>
      </c>
      <c r="U33" s="30">
        <f>'10B Sem 1'!T13</f>
        <v>0</v>
      </c>
    </row>
    <row r="34" spans="1:21" ht="17.25" customHeight="1" x14ac:dyDescent="0.25">
      <c r="A34" s="295"/>
      <c r="B34" s="295"/>
      <c r="C34" s="297">
        <v>15</v>
      </c>
      <c r="D34" s="331" t="s">
        <v>23</v>
      </c>
      <c r="E34" s="29" t="s">
        <v>22</v>
      </c>
      <c r="F34" s="30">
        <f>'10B Sem 2'!E13</f>
        <v>69</v>
      </c>
      <c r="G34" s="30">
        <f>'10B Sem 2'!F13</f>
        <v>74</v>
      </c>
      <c r="H34" s="30">
        <f>'10B Sem 2'!G13</f>
        <v>34</v>
      </c>
      <c r="I34" s="30">
        <f>'10B Sem 2'!H13</f>
        <v>29</v>
      </c>
      <c r="J34" s="30">
        <f>'10B Sem 2'!I13</f>
        <v>42</v>
      </c>
      <c r="K34" s="30">
        <f>'10B Sem 2'!J13</f>
        <v>45</v>
      </c>
      <c r="L34" s="30">
        <f>'10B Sem 2'!K13</f>
        <v>55</v>
      </c>
      <c r="M34" s="30">
        <f>'10B Sem 2'!L13</f>
        <v>50</v>
      </c>
      <c r="N34" s="30">
        <f>'10B Sem 2'!M13</f>
        <v>72</v>
      </c>
      <c r="O34" s="30">
        <f>'10B Sem 2'!N13</f>
        <v>64</v>
      </c>
      <c r="P34" s="30">
        <f>'10B Sem 2'!O13</f>
        <v>80</v>
      </c>
      <c r="Q34" s="30">
        <f>'10B Sem 2'!P13</f>
        <v>614</v>
      </c>
      <c r="R34" s="30">
        <f>'10B Sem 2'!Q13</f>
        <v>55.81818181818182</v>
      </c>
      <c r="S34" s="30">
        <f>'10B Sem 2'!R13</f>
        <v>52</v>
      </c>
      <c r="T34" s="30">
        <f>'10B Sem 2'!S13</f>
        <v>0</v>
      </c>
      <c r="U34" s="30">
        <f>'10B Sem 2'!T13</f>
        <v>0</v>
      </c>
    </row>
    <row r="35" spans="1:21" ht="17.25" customHeight="1" x14ac:dyDescent="0.25">
      <c r="A35" s="295"/>
      <c r="B35" s="295"/>
      <c r="C35" s="297">
        <v>15</v>
      </c>
      <c r="D35" s="332" t="s">
        <v>23</v>
      </c>
      <c r="E35" s="29" t="s">
        <v>16</v>
      </c>
      <c r="F35" s="30">
        <f>AVERAGE(F33:F34)</f>
        <v>71</v>
      </c>
      <c r="G35" s="30">
        <f t="shared" ref="G35:R35" si="9">AVERAGE(G33:G34)</f>
        <v>71</v>
      </c>
      <c r="H35" s="30">
        <f t="shared" si="9"/>
        <v>36</v>
      </c>
      <c r="I35" s="30">
        <f t="shared" si="9"/>
        <v>41.5</v>
      </c>
      <c r="J35" s="30">
        <f t="shared" si="9"/>
        <v>42.5</v>
      </c>
      <c r="K35" s="30">
        <f t="shared" si="9"/>
        <v>45</v>
      </c>
      <c r="L35" s="30">
        <f t="shared" si="9"/>
        <v>53.5</v>
      </c>
      <c r="M35" s="30">
        <f t="shared" si="9"/>
        <v>51.5</v>
      </c>
      <c r="N35" s="30">
        <f t="shared" si="9"/>
        <v>65</v>
      </c>
      <c r="O35" s="30">
        <f t="shared" si="9"/>
        <v>64.5</v>
      </c>
      <c r="P35" s="30">
        <f t="shared" si="9"/>
        <v>80</v>
      </c>
      <c r="Q35" s="30">
        <f t="shared" si="9"/>
        <v>621.5</v>
      </c>
      <c r="R35" s="30">
        <f t="shared" si="9"/>
        <v>56.5</v>
      </c>
      <c r="S35" s="30">
        <f>'10B Sem avr'!$H$13</f>
        <v>50</v>
      </c>
      <c r="T35" s="45">
        <f>AVERAGE(T33:T34)</f>
        <v>0</v>
      </c>
      <c r="U35" s="45">
        <f>AVERAGE(U33:U34)</f>
        <v>0</v>
      </c>
    </row>
    <row r="36" spans="1:21" ht="17.25" customHeight="1" x14ac:dyDescent="0.25">
      <c r="A36" s="292">
        <v>11</v>
      </c>
      <c r="B36" s="296"/>
      <c r="C36" s="294">
        <v>15</v>
      </c>
      <c r="D36" s="294" t="s">
        <v>23</v>
      </c>
      <c r="E36" s="29" t="s">
        <v>21</v>
      </c>
      <c r="F36" s="30">
        <f>'10B Sem 1'!E14</f>
        <v>76</v>
      </c>
      <c r="G36" s="30">
        <f>'10B Sem 1'!F14</f>
        <v>66</v>
      </c>
      <c r="H36" s="30">
        <f>'10B Sem 1'!G14</f>
        <v>52</v>
      </c>
      <c r="I36" s="30">
        <f>'10B Sem 1'!H14</f>
        <v>60</v>
      </c>
      <c r="J36" s="30">
        <f>'10B Sem 1'!I14</f>
        <v>50</v>
      </c>
      <c r="K36" s="30">
        <f>'10B Sem 1'!J14</f>
        <v>46</v>
      </c>
      <c r="L36" s="30">
        <f>'10B Sem 1'!K14</f>
        <v>60</v>
      </c>
      <c r="M36" s="30">
        <f>'10B Sem 1'!L14</f>
        <v>53</v>
      </c>
      <c r="N36" s="30">
        <f>'10B Sem 1'!M14</f>
        <v>68</v>
      </c>
      <c r="O36" s="30">
        <f>'10B Sem 1'!N14</f>
        <v>76</v>
      </c>
      <c r="P36" s="30">
        <f>'10B Sem 1'!O14</f>
        <v>82</v>
      </c>
      <c r="Q36" s="30">
        <f>'10B Sem 1'!P14</f>
        <v>689</v>
      </c>
      <c r="R36" s="30">
        <f>'10B Sem 1'!Q14</f>
        <v>62.636363636363633</v>
      </c>
      <c r="S36" s="30">
        <f>'10B Sem 1'!R14</f>
        <v>41</v>
      </c>
      <c r="T36" s="30">
        <f>'10B Sem 1'!S14</f>
        <v>0</v>
      </c>
      <c r="U36" s="30">
        <f>'10B Sem 1'!T14</f>
        <v>0</v>
      </c>
    </row>
    <row r="37" spans="1:21" ht="17.25" customHeight="1" x14ac:dyDescent="0.25">
      <c r="A37" s="292"/>
      <c r="B37" s="296"/>
      <c r="C37" s="294">
        <v>15</v>
      </c>
      <c r="D37" s="294" t="s">
        <v>23</v>
      </c>
      <c r="E37" s="29" t="s">
        <v>22</v>
      </c>
      <c r="F37" s="30">
        <f>'10B Sem 2'!E14</f>
        <v>75</v>
      </c>
      <c r="G37" s="30">
        <f>'10B Sem 2'!F14</f>
        <v>73</v>
      </c>
      <c r="H37" s="30">
        <f>'10B Sem 2'!G14</f>
        <v>42</v>
      </c>
      <c r="I37" s="30">
        <f>'10B Sem 2'!H14</f>
        <v>52</v>
      </c>
      <c r="J37" s="30">
        <f>'10B Sem 2'!I14</f>
        <v>50</v>
      </c>
      <c r="K37" s="30">
        <f>'10B Sem 2'!J14</f>
        <v>59</v>
      </c>
      <c r="L37" s="30">
        <f>'10B Sem 2'!K14</f>
        <v>66</v>
      </c>
      <c r="M37" s="30">
        <f>'10B Sem 2'!L14</f>
        <v>53</v>
      </c>
      <c r="N37" s="30">
        <f>'10B Sem 2'!M14</f>
        <v>69</v>
      </c>
      <c r="O37" s="30">
        <f>'10B Sem 2'!N14</f>
        <v>83</v>
      </c>
      <c r="P37" s="30">
        <f>'10B Sem 2'!O14</f>
        <v>78</v>
      </c>
      <c r="Q37" s="30">
        <f>'10B Sem 2'!P14</f>
        <v>700</v>
      </c>
      <c r="R37" s="30">
        <f>'10B Sem 2'!Q14</f>
        <v>63.636363636363633</v>
      </c>
      <c r="S37" s="30">
        <f>'10B Sem 2'!R14</f>
        <v>36</v>
      </c>
      <c r="T37" s="30">
        <f>'10B Sem 2'!S14</f>
        <v>0</v>
      </c>
      <c r="U37" s="30">
        <f>'10B Sem 2'!T14</f>
        <v>0</v>
      </c>
    </row>
    <row r="38" spans="1:21" ht="17.25" customHeight="1" x14ac:dyDescent="0.25">
      <c r="A38" s="292"/>
      <c r="B38" s="296"/>
      <c r="C38" s="294">
        <v>15</v>
      </c>
      <c r="D38" s="294" t="s">
        <v>23</v>
      </c>
      <c r="E38" s="29" t="s">
        <v>16</v>
      </c>
      <c r="F38" s="30">
        <f>AVERAGE(F36:F37)</f>
        <v>75.5</v>
      </c>
      <c r="G38" s="30">
        <f t="shared" ref="G38:R38" si="10">AVERAGE(G36:G37)</f>
        <v>69.5</v>
      </c>
      <c r="H38" s="30">
        <f t="shared" si="10"/>
        <v>47</v>
      </c>
      <c r="I38" s="30">
        <f t="shared" si="10"/>
        <v>56</v>
      </c>
      <c r="J38" s="30">
        <f t="shared" si="10"/>
        <v>50</v>
      </c>
      <c r="K38" s="30">
        <f t="shared" si="10"/>
        <v>52.5</v>
      </c>
      <c r="L38" s="30">
        <f t="shared" si="10"/>
        <v>63</v>
      </c>
      <c r="M38" s="30">
        <f t="shared" si="10"/>
        <v>53</v>
      </c>
      <c r="N38" s="30">
        <f t="shared" si="10"/>
        <v>68.5</v>
      </c>
      <c r="O38" s="30">
        <f t="shared" si="10"/>
        <v>79.5</v>
      </c>
      <c r="P38" s="30">
        <f t="shared" si="10"/>
        <v>80</v>
      </c>
      <c r="Q38" s="30">
        <f t="shared" si="10"/>
        <v>694.5</v>
      </c>
      <c r="R38" s="30">
        <f t="shared" si="10"/>
        <v>63.136363636363633</v>
      </c>
      <c r="S38" s="30">
        <f>'10B Sem avr'!$H$14</f>
        <v>38</v>
      </c>
      <c r="T38" s="45">
        <f>AVERAGE(T36:T37)</f>
        <v>0</v>
      </c>
      <c r="U38" s="45">
        <f>AVERAGE(U36:U37)</f>
        <v>0</v>
      </c>
    </row>
    <row r="39" spans="1:21" ht="17.25" customHeight="1" x14ac:dyDescent="0.25">
      <c r="A39" s="292">
        <v>12</v>
      </c>
      <c r="B39" s="296"/>
      <c r="C39" s="294">
        <v>15</v>
      </c>
      <c r="D39" s="294" t="s">
        <v>23</v>
      </c>
      <c r="E39" s="29" t="s">
        <v>21</v>
      </c>
      <c r="F39" s="30">
        <f>'10B Sem 1'!E15</f>
        <v>64</v>
      </c>
      <c r="G39" s="30">
        <f>'10B Sem 1'!F15</f>
        <v>59</v>
      </c>
      <c r="H39" s="30">
        <f>'10B Sem 1'!G15</f>
        <v>46</v>
      </c>
      <c r="I39" s="30">
        <f>'10B Sem 1'!H15</f>
        <v>53</v>
      </c>
      <c r="J39" s="30">
        <f>'10B Sem 1'!I15</f>
        <v>40</v>
      </c>
      <c r="K39" s="30">
        <f>'10B Sem 1'!J15</f>
        <v>45</v>
      </c>
      <c r="L39" s="30">
        <f>'10B Sem 1'!K15</f>
        <v>50</v>
      </c>
      <c r="M39" s="30">
        <f>'10B Sem 1'!L15</f>
        <v>50</v>
      </c>
      <c r="N39" s="30">
        <f>'10B Sem 1'!M15</f>
        <v>58</v>
      </c>
      <c r="O39" s="30">
        <f>'10B Sem 1'!N15</f>
        <v>54</v>
      </c>
      <c r="P39" s="30">
        <f>'10B Sem 1'!O15</f>
        <v>76</v>
      </c>
      <c r="Q39" s="30">
        <f>'10B Sem 1'!P15</f>
        <v>595</v>
      </c>
      <c r="R39" s="30">
        <f>'10B Sem 1'!Q15</f>
        <v>54.090909090909093</v>
      </c>
      <c r="S39" s="30">
        <f>'10B Sem 1'!R15</f>
        <v>52</v>
      </c>
      <c r="T39" s="30">
        <f>'10B Sem 1'!S15</f>
        <v>0</v>
      </c>
      <c r="U39" s="30">
        <f>'10B Sem 1'!T15</f>
        <v>0</v>
      </c>
    </row>
    <row r="40" spans="1:21" ht="17.25" customHeight="1" x14ac:dyDescent="0.25">
      <c r="A40" s="292"/>
      <c r="B40" s="296"/>
      <c r="C40" s="294">
        <v>15</v>
      </c>
      <c r="D40" s="294" t="s">
        <v>23</v>
      </c>
      <c r="E40" s="29" t="s">
        <v>22</v>
      </c>
      <c r="F40" s="30">
        <f>'10B Sem 2'!E15</f>
        <v>65</v>
      </c>
      <c r="G40" s="30">
        <f>'10B Sem 2'!F15</f>
        <v>54</v>
      </c>
      <c r="H40" s="30">
        <f>'10B Sem 2'!G15</f>
        <v>41</v>
      </c>
      <c r="I40" s="30">
        <f>'10B Sem 2'!H15</f>
        <v>38</v>
      </c>
      <c r="J40" s="30">
        <f>'10B Sem 2'!I15</f>
        <v>37</v>
      </c>
      <c r="K40" s="30">
        <f>'10B Sem 2'!J15</f>
        <v>51</v>
      </c>
      <c r="L40" s="30">
        <f>'10B Sem 2'!K15</f>
        <v>46</v>
      </c>
      <c r="M40" s="30">
        <f>'10B Sem 2'!L15</f>
        <v>50</v>
      </c>
      <c r="N40" s="30">
        <f>'10B Sem 2'!M15</f>
        <v>63</v>
      </c>
      <c r="O40" s="30">
        <f>'10B Sem 2'!N15</f>
        <v>65</v>
      </c>
      <c r="P40" s="30">
        <f>'10B Sem 2'!O15</f>
        <v>86</v>
      </c>
      <c r="Q40" s="30">
        <f>'10B Sem 2'!P15</f>
        <v>596</v>
      </c>
      <c r="R40" s="30">
        <f>'10B Sem 2'!Q15</f>
        <v>54.18181818181818</v>
      </c>
      <c r="S40" s="30">
        <f>'10B Sem 2'!R15</f>
        <v>53</v>
      </c>
      <c r="T40" s="30">
        <f>'10B Sem 2'!S15</f>
        <v>0</v>
      </c>
      <c r="U40" s="30">
        <f>'10B Sem 2'!T15</f>
        <v>0</v>
      </c>
    </row>
    <row r="41" spans="1:21" ht="17.25" customHeight="1" x14ac:dyDescent="0.25">
      <c r="A41" s="292"/>
      <c r="B41" s="296"/>
      <c r="C41" s="294">
        <v>15</v>
      </c>
      <c r="D41" s="294" t="s">
        <v>23</v>
      </c>
      <c r="E41" s="29" t="s">
        <v>16</v>
      </c>
      <c r="F41" s="30">
        <f>AVERAGE(F39:F40)</f>
        <v>64.5</v>
      </c>
      <c r="G41" s="30">
        <f t="shared" ref="G41:R41" si="11">AVERAGE(G39:G40)</f>
        <v>56.5</v>
      </c>
      <c r="H41" s="30">
        <f t="shared" si="11"/>
        <v>43.5</v>
      </c>
      <c r="I41" s="30">
        <f t="shared" si="11"/>
        <v>45.5</v>
      </c>
      <c r="J41" s="30">
        <f t="shared" si="11"/>
        <v>38.5</v>
      </c>
      <c r="K41" s="30">
        <f t="shared" si="11"/>
        <v>48</v>
      </c>
      <c r="L41" s="30">
        <f t="shared" si="11"/>
        <v>48</v>
      </c>
      <c r="M41" s="30">
        <f t="shared" si="11"/>
        <v>50</v>
      </c>
      <c r="N41" s="30">
        <f t="shared" si="11"/>
        <v>60.5</v>
      </c>
      <c r="O41" s="30">
        <f t="shared" si="11"/>
        <v>59.5</v>
      </c>
      <c r="P41" s="30">
        <f t="shared" si="11"/>
        <v>81</v>
      </c>
      <c r="Q41" s="30">
        <f t="shared" si="11"/>
        <v>595.5</v>
      </c>
      <c r="R41" s="30">
        <f t="shared" si="11"/>
        <v>54.13636363636364</v>
      </c>
      <c r="S41" s="30">
        <f>'10B Sem avr'!$H$15</f>
        <v>53</v>
      </c>
      <c r="T41" s="45">
        <f>AVERAGE(T39:T40)</f>
        <v>0</v>
      </c>
      <c r="U41" s="45">
        <f>AVERAGE(U39:U40)</f>
        <v>0</v>
      </c>
    </row>
    <row r="42" spans="1:21" ht="17.25" customHeight="1" x14ac:dyDescent="0.25">
      <c r="A42" s="292">
        <v>13</v>
      </c>
      <c r="B42" s="296"/>
      <c r="C42" s="294">
        <v>15</v>
      </c>
      <c r="D42" s="294" t="s">
        <v>23</v>
      </c>
      <c r="E42" s="29" t="s">
        <v>21</v>
      </c>
      <c r="F42" s="30">
        <f>'10B Sem 1'!E16</f>
        <v>78</v>
      </c>
      <c r="G42" s="30">
        <f>'10B Sem 1'!F16</f>
        <v>73</v>
      </c>
      <c r="H42" s="30">
        <f>'10B Sem 1'!G16</f>
        <v>76</v>
      </c>
      <c r="I42" s="30">
        <f>'10B Sem 1'!H16</f>
        <v>73</v>
      </c>
      <c r="J42" s="30">
        <f>'10B Sem 1'!I16</f>
        <v>63</v>
      </c>
      <c r="K42" s="30">
        <f>'10B Sem 1'!J16</f>
        <v>69</v>
      </c>
      <c r="L42" s="30">
        <f>'10B Sem 1'!K16</f>
        <v>66</v>
      </c>
      <c r="M42" s="30">
        <f>'10B Sem 1'!L16</f>
        <v>63</v>
      </c>
      <c r="N42" s="30">
        <f>'10B Sem 1'!M16</f>
        <v>72</v>
      </c>
      <c r="O42" s="30">
        <f>'10B Sem 1'!N16</f>
        <v>91</v>
      </c>
      <c r="P42" s="30">
        <f>'10B Sem 1'!O16</f>
        <v>91</v>
      </c>
      <c r="Q42" s="30">
        <f>'10B Sem 1'!P16</f>
        <v>815</v>
      </c>
      <c r="R42" s="30">
        <f>'10B Sem 1'!Q16</f>
        <v>74.090909090909093</v>
      </c>
      <c r="S42" s="30">
        <f>'10B Sem 1'!R16</f>
        <v>23</v>
      </c>
      <c r="T42" s="30">
        <f>'10B Sem 1'!S16</f>
        <v>0</v>
      </c>
      <c r="U42" s="30">
        <f>'10B Sem 1'!T16</f>
        <v>0</v>
      </c>
    </row>
    <row r="43" spans="1:21" ht="17.25" customHeight="1" x14ac:dyDescent="0.25">
      <c r="A43" s="292"/>
      <c r="B43" s="296"/>
      <c r="C43" s="294">
        <v>15</v>
      </c>
      <c r="D43" s="294" t="s">
        <v>23</v>
      </c>
      <c r="E43" s="29" t="s">
        <v>22</v>
      </c>
      <c r="F43" s="30">
        <f>'10B Sem 2'!E16</f>
        <v>73</v>
      </c>
      <c r="G43" s="30">
        <f>'10B Sem 2'!F16</f>
        <v>67</v>
      </c>
      <c r="H43" s="30">
        <f>'10B Sem 2'!G16</f>
        <v>80</v>
      </c>
      <c r="I43" s="30">
        <f>'10B Sem 2'!H16</f>
        <v>68</v>
      </c>
      <c r="J43" s="30">
        <f>'10B Sem 2'!I16</f>
        <v>58</v>
      </c>
      <c r="K43" s="30">
        <f>'10B Sem 2'!J16</f>
        <v>65</v>
      </c>
      <c r="L43" s="30">
        <f>'10B Sem 2'!K16</f>
        <v>63</v>
      </c>
      <c r="M43" s="30">
        <f>'10B Sem 2'!L16</f>
        <v>73</v>
      </c>
      <c r="N43" s="30">
        <f>'10B Sem 2'!M16</f>
        <v>80</v>
      </c>
      <c r="O43" s="30">
        <f>'10B Sem 2'!N16</f>
        <v>70</v>
      </c>
      <c r="P43" s="30">
        <f>'10B Sem 2'!O16</f>
        <v>96</v>
      </c>
      <c r="Q43" s="30">
        <f>'10B Sem 2'!P16</f>
        <v>793</v>
      </c>
      <c r="R43" s="30">
        <f>'10B Sem 2'!Q16</f>
        <v>72.090909090909093</v>
      </c>
      <c r="S43" s="30">
        <f>'10B Sem 2'!R16</f>
        <v>28</v>
      </c>
      <c r="T43" s="30">
        <f>'10B Sem 2'!S16</f>
        <v>0</v>
      </c>
      <c r="U43" s="30">
        <f>'10B Sem 2'!T16</f>
        <v>0</v>
      </c>
    </row>
    <row r="44" spans="1:21" ht="17.25" customHeight="1" x14ac:dyDescent="0.25">
      <c r="A44" s="292"/>
      <c r="B44" s="296"/>
      <c r="C44" s="294">
        <v>15</v>
      </c>
      <c r="D44" s="294" t="s">
        <v>23</v>
      </c>
      <c r="E44" s="29" t="s">
        <v>16</v>
      </c>
      <c r="F44" s="30">
        <f>AVERAGE(F42:F43)</f>
        <v>75.5</v>
      </c>
      <c r="G44" s="30">
        <f t="shared" ref="G44:R44" si="12">AVERAGE(G42:G43)</f>
        <v>70</v>
      </c>
      <c r="H44" s="30">
        <f t="shared" si="12"/>
        <v>78</v>
      </c>
      <c r="I44" s="30">
        <f t="shared" si="12"/>
        <v>70.5</v>
      </c>
      <c r="J44" s="30">
        <f t="shared" si="12"/>
        <v>60.5</v>
      </c>
      <c r="K44" s="30">
        <f t="shared" si="12"/>
        <v>67</v>
      </c>
      <c r="L44" s="30">
        <f t="shared" si="12"/>
        <v>64.5</v>
      </c>
      <c r="M44" s="30">
        <f t="shared" si="12"/>
        <v>68</v>
      </c>
      <c r="N44" s="30">
        <f t="shared" si="12"/>
        <v>76</v>
      </c>
      <c r="O44" s="30">
        <f t="shared" si="12"/>
        <v>80.5</v>
      </c>
      <c r="P44" s="30">
        <f t="shared" si="12"/>
        <v>93.5</v>
      </c>
      <c r="Q44" s="30">
        <f t="shared" si="12"/>
        <v>804</v>
      </c>
      <c r="R44" s="30">
        <f t="shared" si="12"/>
        <v>73.090909090909093</v>
      </c>
      <c r="S44" s="30">
        <f>'10B Sem avr'!$H$16</f>
        <v>28</v>
      </c>
      <c r="T44" s="45">
        <f>AVERAGE(T42:T43)</f>
        <v>0</v>
      </c>
      <c r="U44" s="45">
        <f>AVERAGE(U42:U43)</f>
        <v>0</v>
      </c>
    </row>
    <row r="45" spans="1:21" ht="17.25" customHeight="1" x14ac:dyDescent="0.25">
      <c r="A45" s="295">
        <v>14</v>
      </c>
      <c r="B45" s="293"/>
      <c r="C45" s="294">
        <v>16</v>
      </c>
      <c r="D45" s="294" t="s">
        <v>23</v>
      </c>
      <c r="E45" s="29" t="s">
        <v>21</v>
      </c>
      <c r="F45" s="190">
        <f>'10B Sem 1'!E17</f>
        <v>81</v>
      </c>
      <c r="G45" s="190">
        <f>'10B Sem 1'!F17</f>
        <v>77</v>
      </c>
      <c r="H45" s="190">
        <f>'10B Sem 1'!G17</f>
        <v>72</v>
      </c>
      <c r="I45" s="190">
        <f>'10B Sem 1'!H17</f>
        <v>68</v>
      </c>
      <c r="J45" s="190">
        <f>'10B Sem 1'!I17</f>
        <v>55</v>
      </c>
      <c r="K45" s="190">
        <f>'10B Sem 1'!J17</f>
        <v>65</v>
      </c>
      <c r="L45" s="190">
        <f>'10B Sem 1'!K17</f>
        <v>67</v>
      </c>
      <c r="M45" s="190">
        <f>'10B Sem 1'!L17</f>
        <v>68</v>
      </c>
      <c r="N45" s="190">
        <f>'10B Sem 1'!M17</f>
        <v>73</v>
      </c>
      <c r="O45" s="190">
        <f>'10B Sem 1'!N17</f>
        <v>89</v>
      </c>
      <c r="P45" s="190">
        <f>'10B Sem 1'!O17</f>
        <v>88</v>
      </c>
      <c r="Q45" s="190">
        <f>'10B Sem 1'!P17</f>
        <v>803</v>
      </c>
      <c r="R45" s="190">
        <f>'10B Sem 1'!Q17</f>
        <v>73</v>
      </c>
      <c r="S45" s="190">
        <f>'10B Sem 1'!R17</f>
        <v>25</v>
      </c>
      <c r="T45" s="44">
        <f>'10B Sem 1'!S17</f>
        <v>0</v>
      </c>
      <c r="U45" s="44">
        <f>'10B Sem 1'!T17</f>
        <v>0</v>
      </c>
    </row>
    <row r="46" spans="1:21" ht="17.25" customHeight="1" x14ac:dyDescent="0.25">
      <c r="A46" s="295"/>
      <c r="B46" s="293"/>
      <c r="C46" s="294">
        <v>16</v>
      </c>
      <c r="D46" s="294" t="s">
        <v>23</v>
      </c>
      <c r="E46" s="29" t="s">
        <v>22</v>
      </c>
      <c r="F46" s="190">
        <f>'10B Sem 2'!E17</f>
        <v>64</v>
      </c>
      <c r="G46" s="190">
        <f>'10B Sem 2'!F17</f>
        <v>81</v>
      </c>
      <c r="H46" s="190">
        <f>'10B Sem 2'!G17</f>
        <v>61</v>
      </c>
      <c r="I46" s="190">
        <f>'10B Sem 2'!H17</f>
        <v>62</v>
      </c>
      <c r="J46" s="190">
        <f>'10B Sem 2'!I17</f>
        <v>58</v>
      </c>
      <c r="K46" s="190">
        <f>'10B Sem 2'!J17</f>
        <v>72</v>
      </c>
      <c r="L46" s="190">
        <f>'10B Sem 2'!K17</f>
        <v>73</v>
      </c>
      <c r="M46" s="190">
        <f>'10B Sem 2'!L17</f>
        <v>77</v>
      </c>
      <c r="N46" s="190">
        <f>'10B Sem 2'!M17</f>
        <v>86</v>
      </c>
      <c r="O46" s="190">
        <f>'10B Sem 2'!N17</f>
        <v>91</v>
      </c>
      <c r="P46" s="190">
        <f>'10B Sem 2'!O17</f>
        <v>97</v>
      </c>
      <c r="Q46" s="190">
        <f>'10B Sem 2'!P17</f>
        <v>822</v>
      </c>
      <c r="R46" s="190">
        <f>'10B Sem 2'!Q17</f>
        <v>74.727272727272734</v>
      </c>
      <c r="S46" s="190">
        <f>'10B Sem 2'!R17</f>
        <v>24</v>
      </c>
      <c r="T46" s="44">
        <f>'10B Sem 2'!S17</f>
        <v>0</v>
      </c>
      <c r="U46" s="44">
        <f>'10B Sem 2'!T17</f>
        <v>0</v>
      </c>
    </row>
    <row r="47" spans="1:21" ht="17.25" customHeight="1" x14ac:dyDescent="0.25">
      <c r="A47" s="295"/>
      <c r="B47" s="293"/>
      <c r="C47" s="294">
        <v>16</v>
      </c>
      <c r="D47" s="294" t="s">
        <v>23</v>
      </c>
      <c r="E47" s="29" t="s">
        <v>16</v>
      </c>
      <c r="F47" s="190">
        <f>AVERAGE(F45:F46)</f>
        <v>72.5</v>
      </c>
      <c r="G47" s="190">
        <f t="shared" ref="G47:R47" si="13">AVERAGE(G45:G46)</f>
        <v>79</v>
      </c>
      <c r="H47" s="190">
        <f t="shared" si="13"/>
        <v>66.5</v>
      </c>
      <c r="I47" s="190">
        <f t="shared" si="13"/>
        <v>65</v>
      </c>
      <c r="J47" s="190">
        <f t="shared" si="13"/>
        <v>56.5</v>
      </c>
      <c r="K47" s="190">
        <f t="shared" si="13"/>
        <v>68.5</v>
      </c>
      <c r="L47" s="190">
        <f t="shared" si="13"/>
        <v>70</v>
      </c>
      <c r="M47" s="190">
        <f t="shared" si="13"/>
        <v>72.5</v>
      </c>
      <c r="N47" s="190">
        <f t="shared" si="13"/>
        <v>79.5</v>
      </c>
      <c r="O47" s="190">
        <f t="shared" si="13"/>
        <v>90</v>
      </c>
      <c r="P47" s="190">
        <f t="shared" si="13"/>
        <v>92.5</v>
      </c>
      <c r="Q47" s="190">
        <f t="shared" si="13"/>
        <v>812.5</v>
      </c>
      <c r="R47" s="190">
        <f t="shared" si="13"/>
        <v>73.863636363636374</v>
      </c>
      <c r="S47" s="190">
        <f>'10B Sem avr'!$H$17</f>
        <v>24</v>
      </c>
      <c r="T47" s="44">
        <f>AVERAGE(T45:T46)</f>
        <v>0</v>
      </c>
      <c r="U47" s="44">
        <f>AVERAGE(U45:U46)</f>
        <v>0</v>
      </c>
    </row>
    <row r="48" spans="1:21" ht="17.25" customHeight="1" x14ac:dyDescent="0.25">
      <c r="A48" s="292">
        <v>15</v>
      </c>
      <c r="B48" s="296"/>
      <c r="C48" s="294">
        <v>16</v>
      </c>
      <c r="D48" s="294" t="s">
        <v>23</v>
      </c>
      <c r="E48" s="29" t="s">
        <v>21</v>
      </c>
      <c r="F48" s="190">
        <f>'10B Sem 1'!E18</f>
        <v>77</v>
      </c>
      <c r="G48" s="190">
        <f>'10B Sem 1'!F18</f>
        <v>61</v>
      </c>
      <c r="H48" s="191">
        <f>'10B Sem 1'!G18</f>
        <v>59</v>
      </c>
      <c r="I48" s="190">
        <f>'10B Sem 1'!H18</f>
        <v>57</v>
      </c>
      <c r="J48" s="190">
        <f>'10B Sem 1'!I18</f>
        <v>50</v>
      </c>
      <c r="K48" s="190">
        <f>'10B Sem 1'!J18</f>
        <v>43</v>
      </c>
      <c r="L48" s="190">
        <f>'10B Sem 1'!K18</f>
        <v>53</v>
      </c>
      <c r="M48" s="190">
        <f>'10B Sem 1'!L18</f>
        <v>57</v>
      </c>
      <c r="N48" s="190">
        <f>'10B Sem 1'!M18</f>
        <v>46</v>
      </c>
      <c r="O48" s="190">
        <f>'10B Sem 1'!N18</f>
        <v>87</v>
      </c>
      <c r="P48" s="190">
        <f>'10B Sem 1'!O18</f>
        <v>78</v>
      </c>
      <c r="Q48" s="190">
        <f>'10B Sem 1'!P18</f>
        <v>668</v>
      </c>
      <c r="R48" s="190">
        <f>'10B Sem 1'!Q18</f>
        <v>60.727272727272727</v>
      </c>
      <c r="S48" s="190">
        <f>'10B Sem 1'!R18</f>
        <v>45</v>
      </c>
      <c r="T48" s="190">
        <f>'10B Sem 1'!S18</f>
        <v>0</v>
      </c>
      <c r="U48" s="190">
        <f>'10B Sem 1'!T18</f>
        <v>0</v>
      </c>
    </row>
    <row r="49" spans="1:26" ht="17.25" customHeight="1" x14ac:dyDescent="0.25">
      <c r="A49" s="292"/>
      <c r="B49" s="296"/>
      <c r="C49" s="294">
        <v>16</v>
      </c>
      <c r="D49" s="294" t="s">
        <v>23</v>
      </c>
      <c r="E49" s="29" t="s">
        <v>22</v>
      </c>
      <c r="F49" s="30">
        <f>'10B Sem 2'!E18</f>
        <v>68</v>
      </c>
      <c r="G49" s="30">
        <f>'10B Sem 2'!F18</f>
        <v>64</v>
      </c>
      <c r="H49" s="31">
        <f>'10B Sem 2'!G18</f>
        <v>45</v>
      </c>
      <c r="I49" s="30">
        <f>'10B Sem 2'!H18</f>
        <v>45</v>
      </c>
      <c r="J49" s="30">
        <f>'10B Sem 2'!I18</f>
        <v>42</v>
      </c>
      <c r="K49" s="30">
        <f>'10B Sem 2'!J18</f>
        <v>40</v>
      </c>
      <c r="L49" s="30">
        <f>'10B Sem 2'!K18</f>
        <v>53</v>
      </c>
      <c r="M49" s="30">
        <f>'10B Sem 2'!L18</f>
        <v>58</v>
      </c>
      <c r="N49" s="30">
        <f>'10B Sem 2'!M18</f>
        <v>60</v>
      </c>
      <c r="O49" s="30">
        <f>'10B Sem 2'!N18</f>
        <v>72</v>
      </c>
      <c r="P49" s="30">
        <f>'10B Sem 2'!O18</f>
        <v>81</v>
      </c>
      <c r="Q49" s="30">
        <f>'10B Sem 2'!P18</f>
        <v>628</v>
      </c>
      <c r="R49" s="30">
        <f>'10B Sem 2'!Q18</f>
        <v>57.090909090909093</v>
      </c>
      <c r="S49" s="30">
        <f>'10B Sem 2'!R18</f>
        <v>47</v>
      </c>
      <c r="T49" s="30">
        <f>'10B Sem 2'!S18</f>
        <v>0</v>
      </c>
      <c r="U49" s="30">
        <f>'10B Sem 2'!T18</f>
        <v>0</v>
      </c>
      <c r="V49" s="6"/>
      <c r="W49" s="6"/>
      <c r="X49" s="6"/>
      <c r="Y49" s="6"/>
      <c r="Z49" s="6"/>
    </row>
    <row r="50" spans="1:26" ht="17.25" customHeight="1" x14ac:dyDescent="0.25">
      <c r="A50" s="292"/>
      <c r="B50" s="296"/>
      <c r="C50" s="294">
        <v>16</v>
      </c>
      <c r="D50" s="294" t="s">
        <v>23</v>
      </c>
      <c r="E50" s="29" t="s">
        <v>16</v>
      </c>
      <c r="F50" s="30">
        <f>AVERAGE(F48:F49)</f>
        <v>72.5</v>
      </c>
      <c r="G50" s="30">
        <f t="shared" ref="G50:R50" si="14">AVERAGE(G48:G49)</f>
        <v>62.5</v>
      </c>
      <c r="H50" s="30">
        <f t="shared" si="14"/>
        <v>52</v>
      </c>
      <c r="I50" s="30">
        <f t="shared" si="14"/>
        <v>51</v>
      </c>
      <c r="J50" s="30">
        <f t="shared" si="14"/>
        <v>46</v>
      </c>
      <c r="K50" s="30">
        <f t="shared" si="14"/>
        <v>41.5</v>
      </c>
      <c r="L50" s="30">
        <f t="shared" si="14"/>
        <v>53</v>
      </c>
      <c r="M50" s="30">
        <f t="shared" si="14"/>
        <v>57.5</v>
      </c>
      <c r="N50" s="30">
        <f t="shared" si="14"/>
        <v>53</v>
      </c>
      <c r="O50" s="30">
        <f t="shared" si="14"/>
        <v>79.5</v>
      </c>
      <c r="P50" s="30">
        <f t="shared" si="14"/>
        <v>79.5</v>
      </c>
      <c r="Q50" s="30">
        <f t="shared" si="14"/>
        <v>648</v>
      </c>
      <c r="R50" s="30">
        <f t="shared" si="14"/>
        <v>58.909090909090907</v>
      </c>
      <c r="S50" s="30">
        <f>'10B Sem avr'!$H$18</f>
        <v>47</v>
      </c>
      <c r="T50" s="45">
        <f>AVERAGE(T48:T49)</f>
        <v>0</v>
      </c>
      <c r="U50" s="45">
        <f>AVERAGE(U48:U49)</f>
        <v>0</v>
      </c>
      <c r="V50" s="6"/>
      <c r="W50" s="6"/>
      <c r="X50" s="6"/>
      <c r="Y50" s="6"/>
      <c r="Z50" s="6"/>
    </row>
    <row r="51" spans="1:26" ht="17.25" customHeight="1" x14ac:dyDescent="0.25">
      <c r="A51" s="295">
        <v>16</v>
      </c>
      <c r="B51" s="296"/>
      <c r="C51" s="294">
        <v>16</v>
      </c>
      <c r="D51" s="294" t="s">
        <v>20</v>
      </c>
      <c r="E51" s="29" t="s">
        <v>21</v>
      </c>
      <c r="F51" s="30">
        <f>'10B Sem 1'!E19</f>
        <v>62</v>
      </c>
      <c r="G51" s="30">
        <f>'10B Sem 1'!F19</f>
        <v>61</v>
      </c>
      <c r="H51" s="30">
        <f>'10B Sem 1'!G19</f>
        <v>54</v>
      </c>
      <c r="I51" s="30">
        <f>'10B Sem 1'!H19</f>
        <v>55</v>
      </c>
      <c r="J51" s="30">
        <f>'10B Sem 1'!I19</f>
        <v>57</v>
      </c>
      <c r="K51" s="30">
        <f>'10B Sem 1'!J19</f>
        <v>42</v>
      </c>
      <c r="L51" s="30">
        <f>'10B Sem 1'!K19</f>
        <v>60</v>
      </c>
      <c r="M51" s="30">
        <f>'10B Sem 1'!L19</f>
        <v>67</v>
      </c>
      <c r="N51" s="30">
        <f>'10B Sem 1'!M19</f>
        <v>75</v>
      </c>
      <c r="O51" s="30">
        <f>'10B Sem 1'!N19</f>
        <v>63</v>
      </c>
      <c r="P51" s="30">
        <f>'10B Sem 1'!O19</f>
        <v>76</v>
      </c>
      <c r="Q51" s="30">
        <f>'10B Sem 1'!P19</f>
        <v>672</v>
      </c>
      <c r="R51" s="30">
        <f>'10B Sem 1'!Q19</f>
        <v>61.090909090909093</v>
      </c>
      <c r="S51" s="30">
        <f>'10B Sem 1'!R19</f>
        <v>44</v>
      </c>
      <c r="T51" s="30">
        <f>'10B Sem 1'!S19</f>
        <v>0</v>
      </c>
      <c r="U51" s="30">
        <f>'10B Sem 1'!T19</f>
        <v>0</v>
      </c>
      <c r="V51" s="6"/>
      <c r="W51" s="6"/>
      <c r="X51" s="6"/>
      <c r="Y51" s="6"/>
      <c r="Z51" s="6"/>
    </row>
    <row r="52" spans="1:26" ht="17.25" customHeight="1" x14ac:dyDescent="0.25">
      <c r="A52" s="295"/>
      <c r="B52" s="296"/>
      <c r="C52" s="294">
        <v>16</v>
      </c>
      <c r="D52" s="294" t="s">
        <v>20</v>
      </c>
      <c r="E52" s="29" t="s">
        <v>22</v>
      </c>
      <c r="F52" s="30">
        <f>'10B Sem 2'!E19</f>
        <v>65</v>
      </c>
      <c r="G52" s="30">
        <f>'10B Sem 2'!F19</f>
        <v>55</v>
      </c>
      <c r="H52" s="30">
        <f>'10B Sem 2'!G19</f>
        <v>43</v>
      </c>
      <c r="I52" s="30">
        <f>'10B Sem 2'!H19</f>
        <v>38</v>
      </c>
      <c r="J52" s="30">
        <f>'10B Sem 2'!I19</f>
        <v>42</v>
      </c>
      <c r="K52" s="30">
        <f>'10B Sem 2'!J19</f>
        <v>52</v>
      </c>
      <c r="L52" s="30">
        <f>'10B Sem 2'!K19</f>
        <v>57</v>
      </c>
      <c r="M52" s="30">
        <f>'10B Sem 2'!L19</f>
        <v>65</v>
      </c>
      <c r="N52" s="30">
        <f>'10B Sem 2'!M19</f>
        <v>58</v>
      </c>
      <c r="O52" s="30">
        <f>'10B Sem 2'!N19</f>
        <v>70</v>
      </c>
      <c r="P52" s="30">
        <f>'10B Sem 2'!O19</f>
        <v>76</v>
      </c>
      <c r="Q52" s="30">
        <f>'10B Sem 2'!P19</f>
        <v>621</v>
      </c>
      <c r="R52" s="30">
        <f>'10B Sem 2'!Q19</f>
        <v>56.454545454545453</v>
      </c>
      <c r="S52" s="30">
        <f>'10B Sem 2'!R19</f>
        <v>49</v>
      </c>
      <c r="T52" s="30">
        <f>'10B Sem 2'!S19</f>
        <v>0</v>
      </c>
      <c r="U52" s="30">
        <f>'10B Sem 2'!T19</f>
        <v>0</v>
      </c>
      <c r="V52" s="6"/>
      <c r="W52" s="6"/>
      <c r="X52" s="6"/>
      <c r="Y52" s="6"/>
      <c r="Z52" s="6"/>
    </row>
    <row r="53" spans="1:26" ht="17.25" customHeight="1" x14ac:dyDescent="0.25">
      <c r="A53" s="295"/>
      <c r="B53" s="296"/>
      <c r="C53" s="294">
        <v>16</v>
      </c>
      <c r="D53" s="294" t="s">
        <v>20</v>
      </c>
      <c r="E53" s="29" t="s">
        <v>16</v>
      </c>
      <c r="F53" s="30">
        <f>AVERAGE(F51:F52)</f>
        <v>63.5</v>
      </c>
      <c r="G53" s="30">
        <f t="shared" ref="G53:R53" si="15">AVERAGE(G51:G52)</f>
        <v>58</v>
      </c>
      <c r="H53" s="30">
        <f t="shared" si="15"/>
        <v>48.5</v>
      </c>
      <c r="I53" s="30">
        <f t="shared" si="15"/>
        <v>46.5</v>
      </c>
      <c r="J53" s="30">
        <f t="shared" si="15"/>
        <v>49.5</v>
      </c>
      <c r="K53" s="30">
        <f t="shared" si="15"/>
        <v>47</v>
      </c>
      <c r="L53" s="30">
        <f t="shared" si="15"/>
        <v>58.5</v>
      </c>
      <c r="M53" s="30">
        <f t="shared" si="15"/>
        <v>66</v>
      </c>
      <c r="N53" s="30">
        <f t="shared" si="15"/>
        <v>66.5</v>
      </c>
      <c r="O53" s="30">
        <f t="shared" si="15"/>
        <v>66.5</v>
      </c>
      <c r="P53" s="30">
        <f t="shared" si="15"/>
        <v>76</v>
      </c>
      <c r="Q53" s="30">
        <f t="shared" si="15"/>
        <v>646.5</v>
      </c>
      <c r="R53" s="30">
        <f t="shared" si="15"/>
        <v>58.772727272727273</v>
      </c>
      <c r="S53" s="30">
        <f>'10B Sem avr'!$H$19</f>
        <v>48</v>
      </c>
      <c r="T53" s="45">
        <f>AVERAGE(T51:T52)</f>
        <v>0</v>
      </c>
      <c r="U53" s="45">
        <f>AVERAGE(U51:U52)</f>
        <v>0</v>
      </c>
      <c r="V53" s="6"/>
      <c r="W53" s="6"/>
      <c r="X53" s="6"/>
      <c r="Y53" s="6"/>
      <c r="Z53" s="6"/>
    </row>
    <row r="54" spans="1:26" ht="17.25" customHeight="1" x14ac:dyDescent="0.25">
      <c r="A54" s="295">
        <v>17</v>
      </c>
      <c r="B54" s="293"/>
      <c r="C54" s="294">
        <v>15</v>
      </c>
      <c r="D54" s="294" t="s">
        <v>20</v>
      </c>
      <c r="E54" s="29" t="s">
        <v>21</v>
      </c>
      <c r="F54" s="30">
        <f>'10B Sem 1'!E20</f>
        <v>67</v>
      </c>
      <c r="G54" s="30">
        <f>'10B Sem 1'!F20</f>
        <v>56</v>
      </c>
      <c r="H54" s="30">
        <f>'10B Sem 1'!G20</f>
        <v>59</v>
      </c>
      <c r="I54" s="30">
        <f>'10B Sem 1'!H20</f>
        <v>60</v>
      </c>
      <c r="J54" s="30">
        <f>'10B Sem 1'!I20</f>
        <v>58</v>
      </c>
      <c r="K54" s="30">
        <f>'10B Sem 1'!J20</f>
        <v>60</v>
      </c>
      <c r="L54" s="30">
        <f>'10B Sem 1'!K20</f>
        <v>52</v>
      </c>
      <c r="M54" s="30">
        <f>'10B Sem 1'!L20</f>
        <v>65</v>
      </c>
      <c r="N54" s="30">
        <f>'10B Sem 1'!M20</f>
        <v>60</v>
      </c>
      <c r="O54" s="30">
        <f>'10B Sem 1'!N20</f>
        <v>66</v>
      </c>
      <c r="P54" s="30">
        <f>'10B Sem 1'!O20</f>
        <v>75</v>
      </c>
      <c r="Q54" s="30">
        <f>'10B Sem 1'!P20</f>
        <v>678</v>
      </c>
      <c r="R54" s="30">
        <f>'10B Sem 1'!Q20</f>
        <v>61.636363636363633</v>
      </c>
      <c r="S54" s="30">
        <f>'10B Sem 1'!R20</f>
        <v>42</v>
      </c>
      <c r="T54" s="30">
        <f>'10B Sem 1'!S20</f>
        <v>0</v>
      </c>
      <c r="U54" s="30">
        <f>'10B Sem 1'!T20</f>
        <v>0</v>
      </c>
      <c r="V54" s="6"/>
      <c r="W54" s="6"/>
      <c r="X54" s="6"/>
      <c r="Y54" s="6"/>
      <c r="Z54" s="6"/>
    </row>
    <row r="55" spans="1:26" ht="17.25" customHeight="1" x14ac:dyDescent="0.25">
      <c r="A55" s="295"/>
      <c r="B55" s="293"/>
      <c r="C55" s="294">
        <v>15</v>
      </c>
      <c r="D55" s="294" t="s">
        <v>20</v>
      </c>
      <c r="E55" s="29" t="s">
        <v>22</v>
      </c>
      <c r="F55" s="30">
        <f>'10B Sem 2'!E20</f>
        <v>68</v>
      </c>
      <c r="G55" s="30">
        <f>'10B Sem 2'!F20</f>
        <v>68</v>
      </c>
      <c r="H55" s="30">
        <f>'10B Sem 2'!G20</f>
        <v>42</v>
      </c>
      <c r="I55" s="30">
        <f>'10B Sem 2'!H20</f>
        <v>37</v>
      </c>
      <c r="J55" s="30">
        <f>'10B Sem 2'!I20</f>
        <v>42</v>
      </c>
      <c r="K55" s="30">
        <f>'10B Sem 2'!J20</f>
        <v>51</v>
      </c>
      <c r="L55" s="30">
        <f>'10B Sem 2'!K20</f>
        <v>48</v>
      </c>
      <c r="M55" s="30">
        <f>'10B Sem 2'!L20</f>
        <v>53</v>
      </c>
      <c r="N55" s="30">
        <f>'10B Sem 2'!M20</f>
        <v>71</v>
      </c>
      <c r="O55" s="30">
        <f>'10B Sem 2'!N20</f>
        <v>67</v>
      </c>
      <c r="P55" s="30">
        <f>'10B Sem 2'!O20</f>
        <v>79</v>
      </c>
      <c r="Q55" s="30">
        <f>'10B Sem 2'!P20</f>
        <v>626</v>
      </c>
      <c r="R55" s="30">
        <f>'10B Sem 2'!Q20</f>
        <v>56.909090909090907</v>
      </c>
      <c r="S55" s="30">
        <f>'10B Sem 2'!R20</f>
        <v>48</v>
      </c>
      <c r="T55" s="30">
        <f>'10B Sem 2'!S20</f>
        <v>0</v>
      </c>
      <c r="U55" s="30">
        <f>'10B Sem 2'!T20</f>
        <v>0</v>
      </c>
      <c r="V55" s="6"/>
      <c r="W55" s="6"/>
      <c r="X55" s="6"/>
      <c r="Y55" s="6"/>
      <c r="Z55" s="6"/>
    </row>
    <row r="56" spans="1:26" ht="17.25" customHeight="1" x14ac:dyDescent="0.25">
      <c r="A56" s="295"/>
      <c r="B56" s="293"/>
      <c r="C56" s="294">
        <v>15</v>
      </c>
      <c r="D56" s="294" t="s">
        <v>20</v>
      </c>
      <c r="E56" s="29" t="s">
        <v>16</v>
      </c>
      <c r="F56" s="30">
        <f>AVERAGE(F54:F55)</f>
        <v>67.5</v>
      </c>
      <c r="G56" s="30">
        <f t="shared" ref="G56:R56" si="16">AVERAGE(G54:G55)</f>
        <v>62</v>
      </c>
      <c r="H56" s="30">
        <f t="shared" si="16"/>
        <v>50.5</v>
      </c>
      <c r="I56" s="30">
        <f t="shared" si="16"/>
        <v>48.5</v>
      </c>
      <c r="J56" s="30">
        <f t="shared" si="16"/>
        <v>50</v>
      </c>
      <c r="K56" s="30">
        <f t="shared" si="16"/>
        <v>55.5</v>
      </c>
      <c r="L56" s="30">
        <f t="shared" si="16"/>
        <v>50</v>
      </c>
      <c r="M56" s="30">
        <f t="shared" si="16"/>
        <v>59</v>
      </c>
      <c r="N56" s="30">
        <f t="shared" si="16"/>
        <v>65.5</v>
      </c>
      <c r="O56" s="30">
        <f t="shared" si="16"/>
        <v>66.5</v>
      </c>
      <c r="P56" s="30">
        <f t="shared" si="16"/>
        <v>77</v>
      </c>
      <c r="Q56" s="30">
        <f t="shared" si="16"/>
        <v>652</v>
      </c>
      <c r="R56" s="30">
        <f t="shared" si="16"/>
        <v>59.272727272727266</v>
      </c>
      <c r="S56" s="30">
        <f>'10B Sem avr'!$H$20</f>
        <v>46</v>
      </c>
      <c r="T56" s="45">
        <f>AVERAGE(T54:T55)</f>
        <v>0</v>
      </c>
      <c r="U56" s="45">
        <f>AVERAGE(U54:U55)</f>
        <v>0</v>
      </c>
      <c r="V56" s="6"/>
      <c r="W56" s="6"/>
      <c r="X56" s="6"/>
      <c r="Y56" s="6"/>
      <c r="Z56" s="6"/>
    </row>
    <row r="57" spans="1:26" ht="17.25" customHeight="1" x14ac:dyDescent="0.25">
      <c r="A57" s="295">
        <v>18</v>
      </c>
      <c r="B57" s="293"/>
      <c r="C57" s="294">
        <v>16</v>
      </c>
      <c r="D57" s="294" t="s">
        <v>20</v>
      </c>
      <c r="E57" s="29" t="s">
        <v>21</v>
      </c>
      <c r="F57" s="30">
        <f>'10B Sem 1'!E21</f>
        <v>97</v>
      </c>
      <c r="G57" s="30">
        <f>'10B Sem 1'!F21</f>
        <v>72</v>
      </c>
      <c r="H57" s="31">
        <f>'10B Sem 1'!G21</f>
        <v>87</v>
      </c>
      <c r="I57" s="30">
        <f>'10B Sem 1'!H21</f>
        <v>72</v>
      </c>
      <c r="J57" s="30">
        <f>'10B Sem 1'!I21</f>
        <v>83</v>
      </c>
      <c r="K57" s="30">
        <f>'10B Sem 1'!J21</f>
        <v>72</v>
      </c>
      <c r="L57" s="30">
        <f>'10B Sem 1'!K21</f>
        <v>63</v>
      </c>
      <c r="M57" s="30">
        <f>'10B Sem 1'!L21</f>
        <v>82</v>
      </c>
      <c r="N57" s="30">
        <f>'10B Sem 1'!M21</f>
        <v>92</v>
      </c>
      <c r="O57" s="30">
        <f>'10B Sem 1'!N21</f>
        <v>90</v>
      </c>
      <c r="P57" s="30">
        <f>'10B Sem 1'!O21</f>
        <v>84</v>
      </c>
      <c r="Q57" s="30">
        <f>'10B Sem 1'!P21</f>
        <v>894</v>
      </c>
      <c r="R57" s="30">
        <f>'10B Sem 1'!Q21</f>
        <v>81.272727272727266</v>
      </c>
      <c r="S57" s="30">
        <f>'10B Sem 1'!R21</f>
        <v>13</v>
      </c>
      <c r="T57" s="30">
        <f>'10B Sem 1'!S21</f>
        <v>0</v>
      </c>
      <c r="U57" s="30">
        <f>'10B Sem 1'!T21</f>
        <v>0</v>
      </c>
      <c r="V57" s="6"/>
      <c r="W57" s="6"/>
      <c r="X57" s="6"/>
      <c r="Y57" s="6"/>
      <c r="Z57" s="6"/>
    </row>
    <row r="58" spans="1:26" ht="18.75" customHeight="1" x14ac:dyDescent="0.25">
      <c r="A58" s="295"/>
      <c r="B58" s="293"/>
      <c r="C58" s="294">
        <v>16</v>
      </c>
      <c r="D58" s="294" t="s">
        <v>20</v>
      </c>
      <c r="E58" s="29" t="s">
        <v>22</v>
      </c>
      <c r="F58" s="30">
        <f>'10B Sem 2'!E21</f>
        <v>87</v>
      </c>
      <c r="G58" s="30">
        <f>'10B Sem 2'!F21</f>
        <v>69</v>
      </c>
      <c r="H58" s="31">
        <f>'10B Sem 2'!G21</f>
        <v>81</v>
      </c>
      <c r="I58" s="30">
        <f>'10B Sem 2'!H21</f>
        <v>76</v>
      </c>
      <c r="J58" s="30">
        <f>'10B Sem 2'!I21</f>
        <v>76</v>
      </c>
      <c r="K58" s="30">
        <f>'10B Sem 2'!J21</f>
        <v>87</v>
      </c>
      <c r="L58" s="30">
        <f>'10B Sem 2'!K21</f>
        <v>92</v>
      </c>
      <c r="M58" s="30">
        <f>'10B Sem 2'!L21</f>
        <v>87</v>
      </c>
      <c r="N58" s="30">
        <f>'10B Sem 2'!M21</f>
        <v>98</v>
      </c>
      <c r="O58" s="30">
        <f>'10B Sem 2'!N21</f>
        <v>87</v>
      </c>
      <c r="P58" s="30">
        <f>'10B Sem 2'!O21</f>
        <v>95</v>
      </c>
      <c r="Q58" s="30">
        <f>'10B Sem 2'!P21</f>
        <v>935</v>
      </c>
      <c r="R58" s="30">
        <f>'10B Sem 2'!Q21</f>
        <v>85</v>
      </c>
      <c r="S58" s="30">
        <f>'10B Sem 2'!R21</f>
        <v>12</v>
      </c>
      <c r="T58" s="30">
        <f>'10B Sem 2'!S21</f>
        <v>0</v>
      </c>
      <c r="U58" s="30">
        <f>'10B Sem 2'!T21</f>
        <v>0</v>
      </c>
      <c r="V58" s="6"/>
      <c r="W58" s="6"/>
      <c r="X58" s="6"/>
      <c r="Y58" s="6"/>
      <c r="Z58" s="6"/>
    </row>
    <row r="59" spans="1:26" ht="18.75" customHeight="1" x14ac:dyDescent="0.25">
      <c r="A59" s="295"/>
      <c r="B59" s="293"/>
      <c r="C59" s="294">
        <v>16</v>
      </c>
      <c r="D59" s="294" t="s">
        <v>20</v>
      </c>
      <c r="E59" s="29" t="s">
        <v>16</v>
      </c>
      <c r="F59" s="30">
        <f>AVERAGE(F57:F58)</f>
        <v>92</v>
      </c>
      <c r="G59" s="30">
        <f t="shared" ref="G59:R59" si="17">AVERAGE(G57:G58)</f>
        <v>70.5</v>
      </c>
      <c r="H59" s="30">
        <f t="shared" si="17"/>
        <v>84</v>
      </c>
      <c r="I59" s="30">
        <f t="shared" si="17"/>
        <v>74</v>
      </c>
      <c r="J59" s="30">
        <f t="shared" si="17"/>
        <v>79.5</v>
      </c>
      <c r="K59" s="30">
        <f t="shared" si="17"/>
        <v>79.5</v>
      </c>
      <c r="L59" s="30">
        <f t="shared" si="17"/>
        <v>77.5</v>
      </c>
      <c r="M59" s="30">
        <f t="shared" si="17"/>
        <v>84.5</v>
      </c>
      <c r="N59" s="30">
        <f t="shared" si="17"/>
        <v>95</v>
      </c>
      <c r="O59" s="30">
        <f t="shared" si="17"/>
        <v>88.5</v>
      </c>
      <c r="P59" s="30">
        <f t="shared" si="17"/>
        <v>89.5</v>
      </c>
      <c r="Q59" s="30">
        <f t="shared" si="17"/>
        <v>914.5</v>
      </c>
      <c r="R59" s="30">
        <f t="shared" si="17"/>
        <v>83.136363636363626</v>
      </c>
      <c r="S59" s="30">
        <f>'10B Sem avr'!$H$21</f>
        <v>12</v>
      </c>
      <c r="T59" s="45">
        <f>AVERAGE(T57:T58)</f>
        <v>0</v>
      </c>
      <c r="U59" s="45">
        <f>AVERAGE(U57:U58)</f>
        <v>0</v>
      </c>
      <c r="V59" s="6"/>
      <c r="W59" s="6"/>
      <c r="X59" s="6"/>
      <c r="Y59" s="6"/>
      <c r="Z59" s="6"/>
    </row>
    <row r="60" spans="1:26" ht="18.75" customHeight="1" x14ac:dyDescent="0.25">
      <c r="A60" s="292">
        <v>19</v>
      </c>
      <c r="B60" s="293"/>
      <c r="C60" s="294">
        <v>15</v>
      </c>
      <c r="D60" s="294" t="s">
        <v>23</v>
      </c>
      <c r="E60" s="29" t="s">
        <v>21</v>
      </c>
      <c r="F60" s="30">
        <f>'10B Sem 1'!E22</f>
        <v>81</v>
      </c>
      <c r="G60" s="30">
        <f>'10B Sem 1'!F22</f>
        <v>85</v>
      </c>
      <c r="H60" s="30">
        <f>'10B Sem 1'!G22</f>
        <v>72</v>
      </c>
      <c r="I60" s="30">
        <f>'10B Sem 1'!H22</f>
        <v>75</v>
      </c>
      <c r="J60" s="30">
        <f>'10B Sem 1'!I22</f>
        <v>71</v>
      </c>
      <c r="K60" s="30">
        <f>'10B Sem 1'!J22</f>
        <v>80</v>
      </c>
      <c r="L60" s="30">
        <f>'10B Sem 1'!K22</f>
        <v>68</v>
      </c>
      <c r="M60" s="30">
        <f>'10B Sem 1'!L22</f>
        <v>79</v>
      </c>
      <c r="N60" s="30">
        <f>'10B Sem 1'!M22</f>
        <v>82</v>
      </c>
      <c r="O60" s="30">
        <f>'10B Sem 1'!N22</f>
        <v>94</v>
      </c>
      <c r="P60" s="30">
        <f>'10B Sem 1'!O22</f>
        <v>88</v>
      </c>
      <c r="Q60" s="30">
        <f>'10B Sem 1'!P22</f>
        <v>875</v>
      </c>
      <c r="R60" s="30">
        <f>'10B Sem 1'!Q22</f>
        <v>79.545454545454547</v>
      </c>
      <c r="S60" s="30">
        <f>'10B Sem 1'!R22</f>
        <v>15</v>
      </c>
      <c r="T60" s="30">
        <f>'10B Sem 1'!S22</f>
        <v>0</v>
      </c>
      <c r="U60" s="30">
        <f>'10B Sem 1'!T22</f>
        <v>0</v>
      </c>
      <c r="V60" s="6"/>
      <c r="W60" s="6"/>
      <c r="X60" s="6"/>
      <c r="Y60" s="6"/>
      <c r="Z60" s="6"/>
    </row>
    <row r="61" spans="1:26" ht="18.75" customHeight="1" x14ac:dyDescent="0.25">
      <c r="A61" s="292"/>
      <c r="B61" s="293"/>
      <c r="C61" s="294">
        <v>15</v>
      </c>
      <c r="D61" s="294" t="s">
        <v>23</v>
      </c>
      <c r="E61" s="29" t="s">
        <v>22</v>
      </c>
      <c r="F61" s="30">
        <f>'10B Sem 2'!E22</f>
        <v>77</v>
      </c>
      <c r="G61" s="30">
        <f>'10B Sem 2'!F22</f>
        <v>88</v>
      </c>
      <c r="H61" s="30">
        <f>'10B Sem 2'!G22</f>
        <v>67</v>
      </c>
      <c r="I61" s="30">
        <f>'10B Sem 2'!H22</f>
        <v>70</v>
      </c>
      <c r="J61" s="30">
        <f>'10B Sem 2'!I22</f>
        <v>74</v>
      </c>
      <c r="K61" s="30">
        <f>'10B Sem 2'!J22</f>
        <v>89</v>
      </c>
      <c r="L61" s="30">
        <f>'10B Sem 2'!K22</f>
        <v>81</v>
      </c>
      <c r="M61" s="30">
        <f>'10B Sem 2'!L22</f>
        <v>88</v>
      </c>
      <c r="N61" s="30">
        <f>'10B Sem 2'!M22</f>
        <v>97</v>
      </c>
      <c r="O61" s="30">
        <f>'10B Sem 2'!N22</f>
        <v>94</v>
      </c>
      <c r="P61" s="30">
        <f>'10B Sem 2'!O22</f>
        <v>99</v>
      </c>
      <c r="Q61" s="30">
        <f>'10B Sem 2'!P22</f>
        <v>924</v>
      </c>
      <c r="R61" s="30">
        <f>'10B Sem 2'!Q22</f>
        <v>84</v>
      </c>
      <c r="S61" s="30">
        <f>'10B Sem 2'!R22</f>
        <v>13</v>
      </c>
      <c r="T61" s="30">
        <f>'10B Sem 2'!S22</f>
        <v>0</v>
      </c>
      <c r="U61" s="30">
        <f>'10B Sem 2'!T22</f>
        <v>0</v>
      </c>
      <c r="V61" s="6"/>
      <c r="W61" s="6"/>
      <c r="X61" s="6"/>
      <c r="Y61" s="6"/>
      <c r="Z61" s="6"/>
    </row>
    <row r="62" spans="1:26" ht="18.75" customHeight="1" x14ac:dyDescent="0.25">
      <c r="A62" s="292"/>
      <c r="B62" s="293"/>
      <c r="C62" s="294">
        <v>15</v>
      </c>
      <c r="D62" s="294" t="s">
        <v>23</v>
      </c>
      <c r="E62" s="29" t="s">
        <v>16</v>
      </c>
      <c r="F62" s="30">
        <f>AVERAGE(F60:F61)</f>
        <v>79</v>
      </c>
      <c r="G62" s="30">
        <f t="shared" ref="G62:R62" si="18">AVERAGE(G60:G61)</f>
        <v>86.5</v>
      </c>
      <c r="H62" s="30">
        <f t="shared" si="18"/>
        <v>69.5</v>
      </c>
      <c r="I62" s="30">
        <f t="shared" si="18"/>
        <v>72.5</v>
      </c>
      <c r="J62" s="30">
        <f t="shared" si="18"/>
        <v>72.5</v>
      </c>
      <c r="K62" s="30">
        <f t="shared" si="18"/>
        <v>84.5</v>
      </c>
      <c r="L62" s="30">
        <f t="shared" si="18"/>
        <v>74.5</v>
      </c>
      <c r="M62" s="30">
        <f t="shared" si="18"/>
        <v>83.5</v>
      </c>
      <c r="N62" s="30">
        <f t="shared" si="18"/>
        <v>89.5</v>
      </c>
      <c r="O62" s="30">
        <f t="shared" si="18"/>
        <v>94</v>
      </c>
      <c r="P62" s="30">
        <f t="shared" si="18"/>
        <v>93.5</v>
      </c>
      <c r="Q62" s="30">
        <f t="shared" si="18"/>
        <v>899.5</v>
      </c>
      <c r="R62" s="30">
        <f t="shared" si="18"/>
        <v>81.77272727272728</v>
      </c>
      <c r="S62" s="30">
        <f>'10B Sem avr'!$H$22</f>
        <v>14</v>
      </c>
      <c r="T62" s="45">
        <f>AVERAGE(T60:T61)</f>
        <v>0</v>
      </c>
      <c r="U62" s="45">
        <f>AVERAGE(U60:U61)</f>
        <v>0</v>
      </c>
      <c r="V62" s="6"/>
      <c r="W62" s="6"/>
      <c r="X62" s="6"/>
      <c r="Y62" s="6"/>
      <c r="Z62" s="6"/>
    </row>
    <row r="63" spans="1:26" ht="18.75" customHeight="1" x14ac:dyDescent="0.25">
      <c r="A63" s="292">
        <v>20</v>
      </c>
      <c r="B63" s="333"/>
      <c r="C63" s="297">
        <v>16</v>
      </c>
      <c r="D63" s="297" t="s">
        <v>20</v>
      </c>
      <c r="E63" s="29" t="s">
        <v>21</v>
      </c>
      <c r="F63" s="30">
        <f>'10B Sem 1'!E23</f>
        <v>81</v>
      </c>
      <c r="G63" s="30">
        <f>'10B Sem 1'!F23</f>
        <v>53</v>
      </c>
      <c r="H63" s="30">
        <f>'10B Sem 1'!G23</f>
        <v>46</v>
      </c>
      <c r="I63" s="30">
        <f>'10B Sem 1'!H23</f>
        <v>57</v>
      </c>
      <c r="J63" s="30">
        <f>'10B Sem 1'!I23</f>
        <v>51</v>
      </c>
      <c r="K63" s="30">
        <f>'10B Sem 1'!J23</f>
        <v>49</v>
      </c>
      <c r="L63" s="30">
        <f>'10B Sem 1'!K23</f>
        <v>51</v>
      </c>
      <c r="M63" s="30">
        <f>'10B Sem 1'!L23</f>
        <v>51</v>
      </c>
      <c r="N63" s="30">
        <f>'10B Sem 1'!M23</f>
        <v>61</v>
      </c>
      <c r="O63" s="30">
        <f>'10B Sem 1'!N23</f>
        <v>79</v>
      </c>
      <c r="P63" s="30">
        <f>'10B Sem 1'!O23</f>
        <v>87</v>
      </c>
      <c r="Q63" s="30">
        <f>'10B Sem 1'!P23</f>
        <v>666</v>
      </c>
      <c r="R63" s="30">
        <f>'10B Sem 1'!Q23</f>
        <v>60.545454545454547</v>
      </c>
      <c r="S63" s="30">
        <f>'10B Sem 1'!R23</f>
        <v>46</v>
      </c>
      <c r="T63" s="30">
        <f>'10B Sem 1'!S23</f>
        <v>0</v>
      </c>
      <c r="U63" s="30">
        <f>'10B Sem 1'!T23</f>
        <v>0</v>
      </c>
      <c r="V63" s="6"/>
      <c r="W63" s="6"/>
      <c r="X63" s="6"/>
      <c r="Y63" s="6"/>
      <c r="Z63" s="6"/>
    </row>
    <row r="64" spans="1:26" ht="18.75" customHeight="1" x14ac:dyDescent="0.25">
      <c r="A64" s="292"/>
      <c r="B64" s="333"/>
      <c r="C64" s="297">
        <v>16</v>
      </c>
      <c r="D64" s="297" t="s">
        <v>20</v>
      </c>
      <c r="E64" s="29" t="s">
        <v>22</v>
      </c>
      <c r="F64" s="30">
        <f>'10B Sem 2'!E23</f>
        <v>75</v>
      </c>
      <c r="G64" s="30">
        <f>'10B Sem 2'!F23</f>
        <v>61</v>
      </c>
      <c r="H64" s="30">
        <f>'10B Sem 2'!G23</f>
        <v>44</v>
      </c>
      <c r="I64" s="30">
        <f>'10B Sem 2'!H23</f>
        <v>39</v>
      </c>
      <c r="J64" s="30">
        <f>'10B Sem 2'!I23</f>
        <v>39</v>
      </c>
      <c r="K64" s="30">
        <f>'10B Sem 2'!J23</f>
        <v>53</v>
      </c>
      <c r="L64" s="30">
        <f>'10B Sem 2'!K23</f>
        <v>52</v>
      </c>
      <c r="M64" s="30">
        <f>'10B Sem 2'!L23</f>
        <v>59</v>
      </c>
      <c r="N64" s="30">
        <f>'10B Sem 2'!M23</f>
        <v>64</v>
      </c>
      <c r="O64" s="30">
        <f>'10B Sem 2'!N23</f>
        <v>82</v>
      </c>
      <c r="P64" s="30">
        <f>'10B Sem 2'!O23</f>
        <v>96</v>
      </c>
      <c r="Q64" s="30">
        <f>'10B Sem 2'!P23</f>
        <v>664</v>
      </c>
      <c r="R64" s="30">
        <f>'10B Sem 2'!Q23</f>
        <v>60.363636363636367</v>
      </c>
      <c r="S64" s="30">
        <f>'10B Sem 2'!R23</f>
        <v>44</v>
      </c>
      <c r="T64" s="30">
        <f>'10B Sem 2'!S23</f>
        <v>0</v>
      </c>
      <c r="U64" s="30">
        <f>'10B Sem 2'!T23</f>
        <v>0</v>
      </c>
      <c r="V64" s="6"/>
      <c r="W64" s="6"/>
      <c r="X64" s="6"/>
      <c r="Y64" s="6"/>
      <c r="Z64" s="6"/>
    </row>
    <row r="65" spans="1:26" ht="18.75" customHeight="1" x14ac:dyDescent="0.25">
      <c r="A65" s="292"/>
      <c r="B65" s="333"/>
      <c r="C65" s="297">
        <v>16</v>
      </c>
      <c r="D65" s="297" t="s">
        <v>20</v>
      </c>
      <c r="E65" s="29" t="s">
        <v>16</v>
      </c>
      <c r="F65" s="30">
        <f>AVERAGE(F63:F64)</f>
        <v>78</v>
      </c>
      <c r="G65" s="30">
        <f t="shared" ref="G65:R65" si="19">AVERAGE(G63:G64)</f>
        <v>57</v>
      </c>
      <c r="H65" s="30">
        <f t="shared" si="19"/>
        <v>45</v>
      </c>
      <c r="I65" s="30">
        <f t="shared" si="19"/>
        <v>48</v>
      </c>
      <c r="J65" s="30">
        <f t="shared" si="19"/>
        <v>45</v>
      </c>
      <c r="K65" s="30">
        <f t="shared" si="19"/>
        <v>51</v>
      </c>
      <c r="L65" s="30">
        <f t="shared" si="19"/>
        <v>51.5</v>
      </c>
      <c r="M65" s="30">
        <f t="shared" si="19"/>
        <v>55</v>
      </c>
      <c r="N65" s="30">
        <f t="shared" si="19"/>
        <v>62.5</v>
      </c>
      <c r="O65" s="30">
        <f t="shared" si="19"/>
        <v>80.5</v>
      </c>
      <c r="P65" s="30">
        <f t="shared" si="19"/>
        <v>91.5</v>
      </c>
      <c r="Q65" s="30">
        <f t="shared" si="19"/>
        <v>665</v>
      </c>
      <c r="R65" s="30">
        <f t="shared" si="19"/>
        <v>60.454545454545453</v>
      </c>
      <c r="S65" s="30">
        <f>'10B Sem avr'!$H$23</f>
        <v>43</v>
      </c>
      <c r="T65" s="45">
        <f>AVERAGE(T63:T64)</f>
        <v>0</v>
      </c>
      <c r="U65" s="45">
        <f>AVERAGE(U63:U64)</f>
        <v>0</v>
      </c>
      <c r="V65" s="6"/>
      <c r="W65" s="6"/>
      <c r="X65" s="6"/>
      <c r="Y65" s="6"/>
      <c r="Z65" s="6"/>
    </row>
    <row r="66" spans="1:26" ht="18.75" customHeight="1" x14ac:dyDescent="0.25">
      <c r="A66" s="292">
        <v>21</v>
      </c>
      <c r="B66" s="296"/>
      <c r="C66" s="294">
        <v>15</v>
      </c>
      <c r="D66" s="294" t="s">
        <v>23</v>
      </c>
      <c r="E66" s="29" t="s">
        <v>21</v>
      </c>
      <c r="F66" s="30">
        <f>'10B Sem 1'!E24</f>
        <v>84</v>
      </c>
      <c r="G66" s="30">
        <f>'10B Sem 1'!F24</f>
        <v>56</v>
      </c>
      <c r="H66" s="30">
        <f>'10B Sem 1'!G24</f>
        <v>54</v>
      </c>
      <c r="I66" s="30">
        <f>'10B Sem 1'!H24</f>
        <v>66</v>
      </c>
      <c r="J66" s="30">
        <f>'10B Sem 1'!I24</f>
        <v>63</v>
      </c>
      <c r="K66" s="30">
        <f>'10B Sem 1'!J24</f>
        <v>58</v>
      </c>
      <c r="L66" s="30">
        <f>'10B Sem 1'!K24</f>
        <v>62</v>
      </c>
      <c r="M66" s="30">
        <f>'10B Sem 1'!L24</f>
        <v>71</v>
      </c>
      <c r="N66" s="30">
        <f>'10B Sem 1'!M24</f>
        <v>63</v>
      </c>
      <c r="O66" s="30">
        <f>'10B Sem 1'!N24</f>
        <v>76</v>
      </c>
      <c r="P66" s="30">
        <f>'10B Sem 1'!O24</f>
        <v>88</v>
      </c>
      <c r="Q66" s="30">
        <f>'10B Sem 1'!P24</f>
        <v>741</v>
      </c>
      <c r="R66" s="30">
        <f>'10B Sem 1'!Q24</f>
        <v>67.36363636363636</v>
      </c>
      <c r="S66" s="30">
        <f>'10B Sem 1'!R24</f>
        <v>33</v>
      </c>
      <c r="T66" s="30">
        <f>'10B Sem 1'!S24</f>
        <v>0</v>
      </c>
      <c r="U66" s="30">
        <f>'10B Sem 1'!T24</f>
        <v>0</v>
      </c>
      <c r="V66" s="6"/>
      <c r="W66" s="6"/>
      <c r="X66" s="6"/>
      <c r="Y66" s="6"/>
      <c r="Z66" s="6"/>
    </row>
    <row r="67" spans="1:26" ht="18.75" customHeight="1" x14ac:dyDescent="0.25">
      <c r="A67" s="292"/>
      <c r="B67" s="296"/>
      <c r="C67" s="294">
        <v>15</v>
      </c>
      <c r="D67" s="294" t="s">
        <v>23</v>
      </c>
      <c r="E67" s="29" t="s">
        <v>22</v>
      </c>
      <c r="F67" s="30">
        <f>'10B Sem 2'!E24</f>
        <v>74</v>
      </c>
      <c r="G67" s="30">
        <f>'10B Sem 2'!F24</f>
        <v>49</v>
      </c>
      <c r="H67" s="30">
        <f>'10B Sem 2'!G24</f>
        <v>56</v>
      </c>
      <c r="I67" s="30">
        <f>'10B Sem 2'!H24</f>
        <v>55</v>
      </c>
      <c r="J67" s="30">
        <f>'10B Sem 2'!I24</f>
        <v>62</v>
      </c>
      <c r="K67" s="30">
        <f>'10B Sem 2'!J24</f>
        <v>68</v>
      </c>
      <c r="L67" s="30">
        <f>'10B Sem 2'!K24</f>
        <v>72</v>
      </c>
      <c r="M67" s="30">
        <f>'10B Sem 2'!L24</f>
        <v>63</v>
      </c>
      <c r="N67" s="30">
        <f>'10B Sem 2'!M24</f>
        <v>68</v>
      </c>
      <c r="O67" s="30">
        <f>'10B Sem 2'!N24</f>
        <v>74</v>
      </c>
      <c r="P67" s="30">
        <f>'10B Sem 2'!O24</f>
        <v>96</v>
      </c>
      <c r="Q67" s="30">
        <f>'10B Sem 2'!P24</f>
        <v>737</v>
      </c>
      <c r="R67" s="30">
        <f>'10B Sem 2'!Q24</f>
        <v>67</v>
      </c>
      <c r="S67" s="30">
        <f>'10B Sem 2'!R24</f>
        <v>33</v>
      </c>
      <c r="T67" s="30">
        <f>'10B Sem 2'!S24</f>
        <v>0</v>
      </c>
      <c r="U67" s="30">
        <f>'10B Sem 2'!T24</f>
        <v>0</v>
      </c>
      <c r="V67" s="6"/>
      <c r="W67" s="6"/>
      <c r="X67" s="6"/>
      <c r="Y67" s="6"/>
      <c r="Z67" s="6"/>
    </row>
    <row r="68" spans="1:26" ht="18.75" customHeight="1" x14ac:dyDescent="0.25">
      <c r="A68" s="292"/>
      <c r="B68" s="296"/>
      <c r="C68" s="294">
        <v>15</v>
      </c>
      <c r="D68" s="294" t="s">
        <v>23</v>
      </c>
      <c r="E68" s="29" t="s">
        <v>16</v>
      </c>
      <c r="F68" s="30">
        <f>AVERAGE(F66:F67)</f>
        <v>79</v>
      </c>
      <c r="G68" s="30">
        <f t="shared" ref="G68:R68" si="20">AVERAGE(G66:G67)</f>
        <v>52.5</v>
      </c>
      <c r="H68" s="30">
        <f t="shared" si="20"/>
        <v>55</v>
      </c>
      <c r="I68" s="30">
        <f t="shared" si="20"/>
        <v>60.5</v>
      </c>
      <c r="J68" s="30">
        <f t="shared" si="20"/>
        <v>62.5</v>
      </c>
      <c r="K68" s="30">
        <f t="shared" si="20"/>
        <v>63</v>
      </c>
      <c r="L68" s="30">
        <f t="shared" si="20"/>
        <v>67</v>
      </c>
      <c r="M68" s="30">
        <f t="shared" si="20"/>
        <v>67</v>
      </c>
      <c r="N68" s="30">
        <f t="shared" si="20"/>
        <v>65.5</v>
      </c>
      <c r="O68" s="30">
        <f t="shared" si="20"/>
        <v>75</v>
      </c>
      <c r="P68" s="30">
        <f t="shared" si="20"/>
        <v>92</v>
      </c>
      <c r="Q68" s="30">
        <f t="shared" si="20"/>
        <v>739</v>
      </c>
      <c r="R68" s="30">
        <f t="shared" si="20"/>
        <v>67.181818181818187</v>
      </c>
      <c r="S68" s="30">
        <f>'10B Sem avr'!$H$24</f>
        <v>33</v>
      </c>
      <c r="T68" s="45">
        <f>AVERAGE(T66:T67)</f>
        <v>0</v>
      </c>
      <c r="U68" s="45">
        <f>AVERAGE(U66:U67)</f>
        <v>0</v>
      </c>
      <c r="V68" s="6"/>
      <c r="W68" s="6"/>
      <c r="X68" s="6"/>
      <c r="Y68" s="6"/>
      <c r="Z68" s="6"/>
    </row>
    <row r="69" spans="1:26" ht="18.75" customHeight="1" x14ac:dyDescent="0.25">
      <c r="A69" s="295">
        <v>22</v>
      </c>
      <c r="B69" s="293"/>
      <c r="C69" s="294">
        <v>16</v>
      </c>
      <c r="D69" s="294" t="s">
        <v>23</v>
      </c>
      <c r="E69" s="29" t="s">
        <v>21</v>
      </c>
      <c r="F69" s="30">
        <f>'10B Sem 1'!E25</f>
        <v>86</v>
      </c>
      <c r="G69" s="30">
        <f>'10B Sem 1'!F25</f>
        <v>80</v>
      </c>
      <c r="H69" s="30">
        <f>'10B Sem 1'!G25</f>
        <v>81</v>
      </c>
      <c r="I69" s="30">
        <f>'10B Sem 1'!H25</f>
        <v>93</v>
      </c>
      <c r="J69" s="30">
        <f>'10B Sem 1'!I25</f>
        <v>90</v>
      </c>
      <c r="K69" s="30">
        <f>'10B Sem 1'!J25</f>
        <v>93</v>
      </c>
      <c r="L69" s="30">
        <f>'10B Sem 1'!K25</f>
        <v>91</v>
      </c>
      <c r="M69" s="30">
        <f>'10B Sem 1'!L25</f>
        <v>93</v>
      </c>
      <c r="N69" s="30">
        <f>'10B Sem 1'!M25</f>
        <v>93</v>
      </c>
      <c r="O69" s="30">
        <f>'10B Sem 1'!N25</f>
        <v>94</v>
      </c>
      <c r="P69" s="30">
        <f>'10B Sem 1'!O25</f>
        <v>99</v>
      </c>
      <c r="Q69" s="30">
        <f>'10B Sem 1'!P25</f>
        <v>993</v>
      </c>
      <c r="R69" s="30">
        <f>'10B Sem 1'!Q25</f>
        <v>90.272727272727266</v>
      </c>
      <c r="S69" s="30">
        <f>'10B Sem 1'!R25</f>
        <v>4</v>
      </c>
      <c r="T69" s="30">
        <f>'10B Sem 1'!S25</f>
        <v>0</v>
      </c>
      <c r="U69" s="30">
        <f>'10B Sem 1'!T25</f>
        <v>0</v>
      </c>
      <c r="V69" s="6"/>
      <c r="W69" s="6"/>
      <c r="X69" s="6"/>
      <c r="Y69" s="6"/>
      <c r="Z69" s="6"/>
    </row>
    <row r="70" spans="1:26" ht="18.75" customHeight="1" x14ac:dyDescent="0.25">
      <c r="A70" s="295"/>
      <c r="B70" s="293"/>
      <c r="C70" s="294">
        <v>16</v>
      </c>
      <c r="D70" s="294" t="s">
        <v>23</v>
      </c>
      <c r="E70" s="29" t="s">
        <v>22</v>
      </c>
      <c r="F70" s="30">
        <f>'10B Sem 2'!E25</f>
        <v>85</v>
      </c>
      <c r="G70" s="30">
        <f>'10B Sem 2'!F25</f>
        <v>81</v>
      </c>
      <c r="H70" s="30">
        <f>'10B Sem 2'!G25</f>
        <v>78</v>
      </c>
      <c r="I70" s="30">
        <f>'10B Sem 2'!H25</f>
        <v>88</v>
      </c>
      <c r="J70" s="30">
        <f>'10B Sem 2'!I25</f>
        <v>84</v>
      </c>
      <c r="K70" s="30">
        <f>'10B Sem 2'!J25</f>
        <v>95</v>
      </c>
      <c r="L70" s="30">
        <f>'10B Sem 2'!K25</f>
        <v>93</v>
      </c>
      <c r="M70" s="30">
        <f>'10B Sem 2'!L25</f>
        <v>95</v>
      </c>
      <c r="N70" s="30">
        <f>'10B Sem 2'!M25</f>
        <v>93</v>
      </c>
      <c r="O70" s="30">
        <f>'10B Sem 2'!N25</f>
        <v>81</v>
      </c>
      <c r="P70" s="30">
        <f>'10B Sem 2'!O25</f>
        <v>96</v>
      </c>
      <c r="Q70" s="30">
        <f>'10B Sem 2'!P25</f>
        <v>969</v>
      </c>
      <c r="R70" s="30">
        <f>'10B Sem 2'!Q25</f>
        <v>88.090909090909093</v>
      </c>
      <c r="S70" s="30">
        <f>'10B Sem 2'!R25</f>
        <v>6</v>
      </c>
      <c r="T70" s="30">
        <f>'10B Sem 2'!S25</f>
        <v>0</v>
      </c>
      <c r="U70" s="30">
        <f>'10B Sem 2'!T25</f>
        <v>0</v>
      </c>
      <c r="V70" s="6"/>
      <c r="W70" s="6"/>
      <c r="X70" s="6"/>
      <c r="Y70" s="6"/>
      <c r="Z70" s="6"/>
    </row>
    <row r="71" spans="1:26" ht="18.75" customHeight="1" x14ac:dyDescent="0.25">
      <c r="A71" s="295"/>
      <c r="B71" s="293"/>
      <c r="C71" s="294">
        <v>16</v>
      </c>
      <c r="D71" s="294" t="s">
        <v>23</v>
      </c>
      <c r="E71" s="29" t="s">
        <v>16</v>
      </c>
      <c r="F71" s="30">
        <f>AVERAGE(F69:F70)</f>
        <v>85.5</v>
      </c>
      <c r="G71" s="30">
        <f t="shared" ref="G71:R71" si="21">AVERAGE(G69:G70)</f>
        <v>80.5</v>
      </c>
      <c r="H71" s="30">
        <f t="shared" si="21"/>
        <v>79.5</v>
      </c>
      <c r="I71" s="30">
        <f t="shared" si="21"/>
        <v>90.5</v>
      </c>
      <c r="J71" s="30">
        <f t="shared" si="21"/>
        <v>87</v>
      </c>
      <c r="K71" s="30">
        <f t="shared" si="21"/>
        <v>94</v>
      </c>
      <c r="L71" s="30">
        <f t="shared" si="21"/>
        <v>92</v>
      </c>
      <c r="M71" s="30">
        <f t="shared" si="21"/>
        <v>94</v>
      </c>
      <c r="N71" s="30">
        <f t="shared" si="21"/>
        <v>93</v>
      </c>
      <c r="O71" s="30">
        <f t="shared" si="21"/>
        <v>87.5</v>
      </c>
      <c r="P71" s="30">
        <f t="shared" si="21"/>
        <v>97.5</v>
      </c>
      <c r="Q71" s="30">
        <f t="shared" si="21"/>
        <v>981</v>
      </c>
      <c r="R71" s="30">
        <f t="shared" si="21"/>
        <v>89.181818181818187</v>
      </c>
      <c r="S71" s="30">
        <f>'10B Sem avr'!$H$25</f>
        <v>5</v>
      </c>
      <c r="T71" s="45">
        <f>AVERAGE(T69:T70)</f>
        <v>0</v>
      </c>
      <c r="U71" s="45">
        <f>AVERAGE(U69:U70)</f>
        <v>0</v>
      </c>
      <c r="V71" s="6"/>
      <c r="W71" s="6"/>
      <c r="X71" s="6"/>
      <c r="Y71" s="6"/>
      <c r="Z71" s="6"/>
    </row>
    <row r="72" spans="1:26" ht="18.75" customHeight="1" x14ac:dyDescent="0.25">
      <c r="A72" s="295">
        <v>23</v>
      </c>
      <c r="B72" s="293"/>
      <c r="C72" s="294">
        <v>16</v>
      </c>
      <c r="D72" s="294" t="s">
        <v>20</v>
      </c>
      <c r="E72" s="29" t="s">
        <v>21</v>
      </c>
      <c r="F72" s="30">
        <f>'10B Sem 1'!E26</f>
        <v>86</v>
      </c>
      <c r="G72" s="30">
        <f>'10B Sem 1'!F26</f>
        <v>84</v>
      </c>
      <c r="H72" s="30">
        <f>'10B Sem 1'!G26</f>
        <v>86</v>
      </c>
      <c r="I72" s="30">
        <f>'10B Sem 1'!H26</f>
        <v>85</v>
      </c>
      <c r="J72" s="30">
        <f>'10B Sem 1'!I26</f>
        <v>89</v>
      </c>
      <c r="K72" s="30">
        <f>'10B Sem 1'!J26</f>
        <v>93</v>
      </c>
      <c r="L72" s="30">
        <f>'10B Sem 1'!K26</f>
        <v>90</v>
      </c>
      <c r="M72" s="30">
        <f>'10B Sem 1'!L26</f>
        <v>87</v>
      </c>
      <c r="N72" s="30">
        <f>'10B Sem 1'!M26</f>
        <v>89</v>
      </c>
      <c r="O72" s="30">
        <f>'10B Sem 1'!N26</f>
        <v>98</v>
      </c>
      <c r="P72" s="30">
        <f>'10B Sem 1'!O26</f>
        <v>99</v>
      </c>
      <c r="Q72" s="30">
        <f>'10B Sem 1'!P26</f>
        <v>986</v>
      </c>
      <c r="R72" s="30">
        <f>'10B Sem 1'!Q26</f>
        <v>89.63636363636364</v>
      </c>
      <c r="S72" s="30">
        <f>'10B Sem 1'!R26</f>
        <v>6</v>
      </c>
      <c r="T72" s="30">
        <f>'10B Sem 1'!S26</f>
        <v>0</v>
      </c>
      <c r="U72" s="30">
        <f>'10B Sem 1'!T26</f>
        <v>0</v>
      </c>
      <c r="V72" s="6"/>
      <c r="W72" s="6"/>
      <c r="X72" s="6"/>
      <c r="Y72" s="6"/>
      <c r="Z72" s="6"/>
    </row>
    <row r="73" spans="1:26" ht="18.75" customHeight="1" x14ac:dyDescent="0.25">
      <c r="A73" s="295"/>
      <c r="B73" s="293"/>
      <c r="C73" s="294">
        <v>16</v>
      </c>
      <c r="D73" s="294" t="s">
        <v>20</v>
      </c>
      <c r="E73" s="29" t="s">
        <v>22</v>
      </c>
      <c r="F73" s="30">
        <f>'10B Sem 2'!E26</f>
        <v>89</v>
      </c>
      <c r="G73" s="30">
        <f>'10B Sem 2'!F26</f>
        <v>85</v>
      </c>
      <c r="H73" s="30">
        <f>'10B Sem 2'!G26</f>
        <v>80</v>
      </c>
      <c r="I73" s="30">
        <f>'10B Sem 2'!H26</f>
        <v>85</v>
      </c>
      <c r="J73" s="30">
        <f>'10B Sem 2'!I26</f>
        <v>80</v>
      </c>
      <c r="K73" s="30">
        <f>'10B Sem 2'!J26</f>
        <v>90</v>
      </c>
      <c r="L73" s="30">
        <f>'10B Sem 2'!K26</f>
        <v>85</v>
      </c>
      <c r="M73" s="30">
        <f>'10B Sem 2'!L26</f>
        <v>83</v>
      </c>
      <c r="N73" s="30">
        <f>'10B Sem 2'!M26</f>
        <v>82</v>
      </c>
      <c r="O73" s="30">
        <f>'10B Sem 2'!N26</f>
        <v>92</v>
      </c>
      <c r="P73" s="30">
        <f>'10B Sem 2'!O26</f>
        <v>100</v>
      </c>
      <c r="Q73" s="30">
        <f>'10B Sem 2'!P26</f>
        <v>951</v>
      </c>
      <c r="R73" s="30">
        <f>'10B Sem 2'!Q26</f>
        <v>86.454545454545453</v>
      </c>
      <c r="S73" s="30">
        <f>'10B Sem 2'!R26</f>
        <v>10</v>
      </c>
      <c r="T73" s="30">
        <f>'10B Sem 2'!S26</f>
        <v>0</v>
      </c>
      <c r="U73" s="30">
        <f>'10B Sem 2'!T26</f>
        <v>0</v>
      </c>
      <c r="V73" s="6"/>
      <c r="W73" s="6"/>
      <c r="X73" s="6"/>
      <c r="Y73" s="6"/>
      <c r="Z73" s="6"/>
    </row>
    <row r="74" spans="1:26" ht="18.75" customHeight="1" x14ac:dyDescent="0.25">
      <c r="A74" s="295"/>
      <c r="B74" s="293"/>
      <c r="C74" s="294">
        <v>16</v>
      </c>
      <c r="D74" s="294" t="s">
        <v>20</v>
      </c>
      <c r="E74" s="29" t="s">
        <v>16</v>
      </c>
      <c r="F74" s="30">
        <f>AVERAGE(F72:F73)</f>
        <v>87.5</v>
      </c>
      <c r="G74" s="30">
        <f t="shared" ref="G74:R74" si="22">AVERAGE(G72:G73)</f>
        <v>84.5</v>
      </c>
      <c r="H74" s="30">
        <f t="shared" si="22"/>
        <v>83</v>
      </c>
      <c r="I74" s="30">
        <f t="shared" si="22"/>
        <v>85</v>
      </c>
      <c r="J74" s="30">
        <f t="shared" si="22"/>
        <v>84.5</v>
      </c>
      <c r="K74" s="30">
        <f t="shared" si="22"/>
        <v>91.5</v>
      </c>
      <c r="L74" s="30">
        <f t="shared" si="22"/>
        <v>87.5</v>
      </c>
      <c r="M74" s="30">
        <f t="shared" si="22"/>
        <v>85</v>
      </c>
      <c r="N74" s="30">
        <f t="shared" si="22"/>
        <v>85.5</v>
      </c>
      <c r="O74" s="30">
        <f t="shared" si="22"/>
        <v>95</v>
      </c>
      <c r="P74" s="30">
        <f t="shared" si="22"/>
        <v>99.5</v>
      </c>
      <c r="Q74" s="30">
        <f t="shared" si="22"/>
        <v>968.5</v>
      </c>
      <c r="R74" s="30">
        <f t="shared" si="22"/>
        <v>88.045454545454547</v>
      </c>
      <c r="S74" s="30">
        <f>'10B Sem avr'!$H$26</f>
        <v>8</v>
      </c>
      <c r="T74" s="45">
        <f>AVERAGE(T72:T73)</f>
        <v>0</v>
      </c>
      <c r="U74" s="45">
        <f>AVERAGE(U72:U73)</f>
        <v>0</v>
      </c>
      <c r="V74" s="6"/>
      <c r="W74" s="6"/>
      <c r="X74" s="6"/>
      <c r="Y74" s="6"/>
      <c r="Z74" s="6"/>
    </row>
    <row r="75" spans="1:26" ht="18.75" customHeight="1" x14ac:dyDescent="0.25">
      <c r="A75" s="292">
        <v>24</v>
      </c>
      <c r="B75" s="293"/>
      <c r="C75" s="294">
        <v>15</v>
      </c>
      <c r="D75" s="294" t="s">
        <v>20</v>
      </c>
      <c r="E75" s="29" t="s">
        <v>21</v>
      </c>
      <c r="F75" s="30">
        <f>'10B Sem 1'!E27</f>
        <v>68</v>
      </c>
      <c r="G75" s="30">
        <f>'10B Sem 1'!F27</f>
        <v>58</v>
      </c>
      <c r="H75" s="31">
        <f>'10B Sem 1'!G27</f>
        <v>73</v>
      </c>
      <c r="I75" s="31">
        <f>'10B Sem 1'!H27</f>
        <v>62</v>
      </c>
      <c r="J75" s="30">
        <f>'10B Sem 1'!I27</f>
        <v>70</v>
      </c>
      <c r="K75" s="31">
        <f>'10B Sem 1'!J27</f>
        <v>59</v>
      </c>
      <c r="L75" s="30">
        <f>'10B Sem 1'!K27</f>
        <v>58</v>
      </c>
      <c r="M75" s="30">
        <f>'10B Sem 1'!L27</f>
        <v>74</v>
      </c>
      <c r="N75" s="30">
        <f>'10B Sem 1'!M27</f>
        <v>68</v>
      </c>
      <c r="O75" s="30">
        <f>'10B Sem 1'!N27</f>
        <v>84</v>
      </c>
      <c r="P75" s="30">
        <f>'10B Sem 1'!O27</f>
        <v>70</v>
      </c>
      <c r="Q75" s="30">
        <f>'10B Sem 1'!P27</f>
        <v>744</v>
      </c>
      <c r="R75" s="30">
        <f>'10B Sem 1'!Q27</f>
        <v>67.63636363636364</v>
      </c>
      <c r="S75" s="30">
        <f>'10B Sem 1'!R27</f>
        <v>32</v>
      </c>
      <c r="T75" s="30">
        <f>'10B Sem 1'!S27</f>
        <v>0</v>
      </c>
      <c r="U75" s="30">
        <f>'10B Sem 1'!T27</f>
        <v>0</v>
      </c>
      <c r="V75" s="6"/>
      <c r="W75" s="6"/>
      <c r="X75" s="6"/>
      <c r="Y75" s="6"/>
      <c r="Z75" s="6"/>
    </row>
    <row r="76" spans="1:26" ht="18.75" customHeight="1" x14ac:dyDescent="0.25">
      <c r="A76" s="292"/>
      <c r="B76" s="293"/>
      <c r="C76" s="294">
        <v>15</v>
      </c>
      <c r="D76" s="294" t="s">
        <v>20</v>
      </c>
      <c r="E76" s="29" t="s">
        <v>22</v>
      </c>
      <c r="F76" s="30">
        <f>'10B Sem 2'!E27</f>
        <v>64</v>
      </c>
      <c r="G76" s="30">
        <f>'10B Sem 2'!F27</f>
        <v>65</v>
      </c>
      <c r="H76" s="31">
        <f>'10B Sem 2'!G27</f>
        <v>55</v>
      </c>
      <c r="I76" s="31">
        <f>'10B Sem 2'!H27</f>
        <v>42</v>
      </c>
      <c r="J76" s="30">
        <f>'10B Sem 2'!I27</f>
        <v>50</v>
      </c>
      <c r="K76" s="31">
        <f>'10B Sem 2'!J27</f>
        <v>57</v>
      </c>
      <c r="L76" s="30">
        <f>'10B Sem 2'!K27</f>
        <v>76</v>
      </c>
      <c r="M76" s="30">
        <f>'10B Sem 2'!L27</f>
        <v>80</v>
      </c>
      <c r="N76" s="30">
        <f>'10B Sem 2'!M27</f>
        <v>65</v>
      </c>
      <c r="O76" s="30">
        <f>'10B Sem 2'!N27</f>
        <v>83</v>
      </c>
      <c r="P76" s="30">
        <f>'10B Sem 2'!O27</f>
        <v>90</v>
      </c>
      <c r="Q76" s="30">
        <f>'10B Sem 2'!P27</f>
        <v>727</v>
      </c>
      <c r="R76" s="30">
        <f>'10B Sem 2'!Q27</f>
        <v>66.090909090909093</v>
      </c>
      <c r="S76" s="30">
        <f>'10B Sem 2'!R27</f>
        <v>34</v>
      </c>
      <c r="T76" s="30">
        <f>'10B Sem 2'!S27</f>
        <v>0</v>
      </c>
      <c r="U76" s="30">
        <f>'10B Sem 2'!T27</f>
        <v>0</v>
      </c>
      <c r="V76" s="6"/>
      <c r="W76" s="6"/>
      <c r="X76" s="6"/>
      <c r="Y76" s="6"/>
      <c r="Z76" s="6"/>
    </row>
    <row r="77" spans="1:26" ht="18.75" customHeight="1" x14ac:dyDescent="0.25">
      <c r="A77" s="292"/>
      <c r="B77" s="293"/>
      <c r="C77" s="294">
        <v>15</v>
      </c>
      <c r="D77" s="294" t="s">
        <v>20</v>
      </c>
      <c r="E77" s="29" t="s">
        <v>16</v>
      </c>
      <c r="F77" s="30">
        <f>AVERAGE(F75:F76)</f>
        <v>66</v>
      </c>
      <c r="G77" s="30">
        <f t="shared" ref="G77:R77" si="23">AVERAGE(G75:G76)</f>
        <v>61.5</v>
      </c>
      <c r="H77" s="30">
        <f t="shared" si="23"/>
        <v>64</v>
      </c>
      <c r="I77" s="30">
        <f t="shared" si="23"/>
        <v>52</v>
      </c>
      <c r="J77" s="30">
        <f t="shared" si="23"/>
        <v>60</v>
      </c>
      <c r="K77" s="30">
        <f t="shared" si="23"/>
        <v>58</v>
      </c>
      <c r="L77" s="30">
        <f t="shared" si="23"/>
        <v>67</v>
      </c>
      <c r="M77" s="30">
        <f t="shared" si="23"/>
        <v>77</v>
      </c>
      <c r="N77" s="30">
        <f t="shared" si="23"/>
        <v>66.5</v>
      </c>
      <c r="O77" s="30">
        <f t="shared" si="23"/>
        <v>83.5</v>
      </c>
      <c r="P77" s="30">
        <f t="shared" si="23"/>
        <v>80</v>
      </c>
      <c r="Q77" s="30">
        <f t="shared" si="23"/>
        <v>735.5</v>
      </c>
      <c r="R77" s="30">
        <f t="shared" si="23"/>
        <v>66.863636363636374</v>
      </c>
      <c r="S77" s="30">
        <f>'10B Sem avr'!$H$27</f>
        <v>34</v>
      </c>
      <c r="T77" s="45">
        <f>AVERAGE(T75:T76)</f>
        <v>0</v>
      </c>
      <c r="U77" s="45">
        <f>AVERAGE(U75:U76)</f>
        <v>0</v>
      </c>
      <c r="V77" s="6"/>
      <c r="W77" s="6"/>
      <c r="X77" s="6"/>
      <c r="Y77" s="6"/>
      <c r="Z77" s="6"/>
    </row>
    <row r="78" spans="1:26" ht="18.75" customHeight="1" x14ac:dyDescent="0.25">
      <c r="A78" s="295">
        <v>25</v>
      </c>
      <c r="B78" s="293"/>
      <c r="C78" s="294">
        <v>14</v>
      </c>
      <c r="D78" s="294" t="s">
        <v>23</v>
      </c>
      <c r="E78" s="29" t="s">
        <v>21</v>
      </c>
      <c r="F78" s="30">
        <f>'10B Sem 1'!E28</f>
        <v>92</v>
      </c>
      <c r="G78" s="31">
        <f>'10B Sem 1'!F28</f>
        <v>75</v>
      </c>
      <c r="H78" s="31">
        <f>'10B Sem 1'!G28</f>
        <v>88</v>
      </c>
      <c r="I78" s="30">
        <f>'10B Sem 1'!H28</f>
        <v>83</v>
      </c>
      <c r="J78" s="31">
        <f>'10B Sem 1'!I28</f>
        <v>65</v>
      </c>
      <c r="K78" s="30">
        <f>'10B Sem 1'!J28</f>
        <v>76</v>
      </c>
      <c r="L78" s="30">
        <f>'10B Sem 1'!K28</f>
        <v>82</v>
      </c>
      <c r="M78" s="30">
        <f>'10B Sem 1'!L28</f>
        <v>76</v>
      </c>
      <c r="N78" s="30">
        <f>'10B Sem 1'!M28</f>
        <v>80</v>
      </c>
      <c r="O78" s="30">
        <f>'10B Sem 1'!N28</f>
        <v>97</v>
      </c>
      <c r="P78" s="30">
        <f>'10B Sem 1'!O28</f>
        <v>100</v>
      </c>
      <c r="Q78" s="30">
        <f>'10B Sem 1'!P28</f>
        <v>914</v>
      </c>
      <c r="R78" s="30">
        <f>'10B Sem 1'!Q28</f>
        <v>83.090909090909093</v>
      </c>
      <c r="S78" s="30">
        <f>'10B Sem 1'!R28</f>
        <v>10</v>
      </c>
      <c r="T78" s="30">
        <f>'10B Sem 1'!S28</f>
        <v>0</v>
      </c>
      <c r="U78" s="30">
        <f>'10B Sem 1'!T28</f>
        <v>0</v>
      </c>
      <c r="V78" s="6"/>
      <c r="W78" s="6"/>
      <c r="X78" s="6"/>
      <c r="Y78" s="6"/>
      <c r="Z78" s="6"/>
    </row>
    <row r="79" spans="1:26" ht="18.75" customHeight="1" x14ac:dyDescent="0.25">
      <c r="A79" s="295"/>
      <c r="B79" s="293"/>
      <c r="C79" s="294">
        <v>14</v>
      </c>
      <c r="D79" s="294" t="s">
        <v>23</v>
      </c>
      <c r="E79" s="29" t="s">
        <v>22</v>
      </c>
      <c r="F79" s="30">
        <f>'10B Sem 2'!E28</f>
        <v>84</v>
      </c>
      <c r="G79" s="31">
        <f>'10B Sem 2'!F28</f>
        <v>88</v>
      </c>
      <c r="H79" s="31">
        <f>'10B Sem 2'!G28</f>
        <v>93</v>
      </c>
      <c r="I79" s="30">
        <f>'10B Sem 2'!H28</f>
        <v>65</v>
      </c>
      <c r="J79" s="31">
        <f>'10B Sem 2'!I28</f>
        <v>74</v>
      </c>
      <c r="K79" s="30">
        <f>'10B Sem 2'!J28</f>
        <v>90</v>
      </c>
      <c r="L79" s="30">
        <f>'10B Sem 2'!K28</f>
        <v>87</v>
      </c>
      <c r="M79" s="30">
        <f>'10B Sem 2'!L28</f>
        <v>89</v>
      </c>
      <c r="N79" s="30">
        <f>'10B Sem 2'!M28</f>
        <v>86</v>
      </c>
      <c r="O79" s="30">
        <f>'10B Sem 2'!N28</f>
        <v>96</v>
      </c>
      <c r="P79" s="30">
        <f>'10B Sem 2'!O28</f>
        <v>94</v>
      </c>
      <c r="Q79" s="30">
        <f>'10B Sem 2'!P28</f>
        <v>946</v>
      </c>
      <c r="R79" s="30">
        <f>'10B Sem 2'!Q28</f>
        <v>86</v>
      </c>
      <c r="S79" s="30">
        <f>'10B Sem 2'!R28</f>
        <v>11</v>
      </c>
      <c r="T79" s="30">
        <f>'10B Sem 2'!S28</f>
        <v>0</v>
      </c>
      <c r="U79" s="30">
        <f>'10B Sem 2'!T28</f>
        <v>0</v>
      </c>
      <c r="V79" s="6"/>
      <c r="W79" s="6"/>
      <c r="X79" s="6"/>
      <c r="Y79" s="6"/>
      <c r="Z79" s="6"/>
    </row>
    <row r="80" spans="1:26" ht="18.75" customHeight="1" x14ac:dyDescent="0.25">
      <c r="A80" s="295"/>
      <c r="B80" s="293"/>
      <c r="C80" s="294">
        <v>14</v>
      </c>
      <c r="D80" s="294" t="s">
        <v>23</v>
      </c>
      <c r="E80" s="29" t="s">
        <v>16</v>
      </c>
      <c r="F80" s="30">
        <f>AVERAGE(F78:F79)</f>
        <v>88</v>
      </c>
      <c r="G80" s="30">
        <f t="shared" ref="G80:R80" si="24">AVERAGE(G78:G79)</f>
        <v>81.5</v>
      </c>
      <c r="H80" s="30">
        <f t="shared" si="24"/>
        <v>90.5</v>
      </c>
      <c r="I80" s="30">
        <f t="shared" si="24"/>
        <v>74</v>
      </c>
      <c r="J80" s="30">
        <f t="shared" si="24"/>
        <v>69.5</v>
      </c>
      <c r="K80" s="30">
        <f t="shared" si="24"/>
        <v>83</v>
      </c>
      <c r="L80" s="30">
        <f t="shared" si="24"/>
        <v>84.5</v>
      </c>
      <c r="M80" s="30">
        <f t="shared" si="24"/>
        <v>82.5</v>
      </c>
      <c r="N80" s="30">
        <f t="shared" si="24"/>
        <v>83</v>
      </c>
      <c r="O80" s="30">
        <f t="shared" si="24"/>
        <v>96.5</v>
      </c>
      <c r="P80" s="30">
        <f t="shared" si="24"/>
        <v>97</v>
      </c>
      <c r="Q80" s="30">
        <f t="shared" si="24"/>
        <v>930</v>
      </c>
      <c r="R80" s="30">
        <f t="shared" si="24"/>
        <v>84.545454545454547</v>
      </c>
      <c r="S80" s="30">
        <f>'10B Sem avr'!$H$28</f>
        <v>10</v>
      </c>
      <c r="T80" s="45">
        <f>AVERAGE(T78:T79)</f>
        <v>0</v>
      </c>
      <c r="U80" s="45">
        <f>AVERAGE(U78:U79)</f>
        <v>0</v>
      </c>
      <c r="V80" s="6"/>
      <c r="W80" s="6"/>
      <c r="X80" s="6"/>
      <c r="Y80" s="6"/>
      <c r="Z80" s="6"/>
    </row>
    <row r="81" spans="1:26" ht="18.75" customHeight="1" x14ac:dyDescent="0.25">
      <c r="A81" s="292">
        <v>26</v>
      </c>
      <c r="B81" s="334"/>
      <c r="C81" s="305">
        <v>14</v>
      </c>
      <c r="D81" s="305" t="s">
        <v>20</v>
      </c>
      <c r="E81" s="29" t="s">
        <v>21</v>
      </c>
      <c r="F81" s="30">
        <f>'10B Sem 1'!E29</f>
        <v>81</v>
      </c>
      <c r="G81" s="30">
        <f>'10B Sem 1'!F29</f>
        <v>55</v>
      </c>
      <c r="H81" s="30">
        <f>'10B Sem 1'!G29</f>
        <v>36</v>
      </c>
      <c r="I81" s="30">
        <f>'10B Sem 1'!H29</f>
        <v>55</v>
      </c>
      <c r="J81" s="30">
        <f>'10B Sem 1'!I29</f>
        <v>39</v>
      </c>
      <c r="K81" s="30">
        <f>'10B Sem 1'!J29</f>
        <v>38</v>
      </c>
      <c r="L81" s="30">
        <f>'10B Sem 1'!K29</f>
        <v>45</v>
      </c>
      <c r="M81" s="30">
        <f>'10B Sem 1'!L29</f>
        <v>53</v>
      </c>
      <c r="N81" s="30">
        <f>'10B Sem 1'!M29</f>
        <v>63</v>
      </c>
      <c r="O81" s="30">
        <f>'10B Sem 1'!N29</f>
        <v>63</v>
      </c>
      <c r="P81" s="30">
        <f>'10B Sem 1'!O29</f>
        <v>66</v>
      </c>
      <c r="Q81" s="30">
        <f>'10B Sem 1'!P29</f>
        <v>594</v>
      </c>
      <c r="R81" s="30">
        <f>'10B Sem 1'!Q29</f>
        <v>54</v>
      </c>
      <c r="S81" s="30">
        <f>'10B Sem 1'!R29</f>
        <v>54</v>
      </c>
      <c r="T81" s="30">
        <f>'10B Sem 1'!S29</f>
        <v>0</v>
      </c>
      <c r="U81" s="30">
        <f>'10B Sem 1'!T29</f>
        <v>0</v>
      </c>
      <c r="V81" s="6"/>
      <c r="W81" s="6"/>
      <c r="X81" s="6"/>
      <c r="Y81" s="6"/>
      <c r="Z81" s="6"/>
    </row>
    <row r="82" spans="1:26" ht="18.75" customHeight="1" x14ac:dyDescent="0.25">
      <c r="A82" s="292"/>
      <c r="B82" s="335"/>
      <c r="C82" s="306">
        <v>14</v>
      </c>
      <c r="D82" s="306" t="s">
        <v>20</v>
      </c>
      <c r="E82" s="29" t="s">
        <v>22</v>
      </c>
      <c r="F82" s="30">
        <f>'10B Sem 2'!E29</f>
        <v>71</v>
      </c>
      <c r="G82" s="30">
        <f>'10B Sem 2'!F29</f>
        <v>43</v>
      </c>
      <c r="H82" s="30">
        <f>'10B Sem 2'!G29</f>
        <v>33</v>
      </c>
      <c r="I82" s="30">
        <f>'10B Sem 2'!H29</f>
        <v>19</v>
      </c>
      <c r="J82" s="30">
        <f>'10B Sem 2'!I29</f>
        <v>37</v>
      </c>
      <c r="K82" s="30">
        <f>'10B Sem 2'!J29</f>
        <v>35</v>
      </c>
      <c r="L82" s="30">
        <f>'10B Sem 2'!K29</f>
        <v>51</v>
      </c>
      <c r="M82" s="30">
        <f>'10B Sem 2'!L29</f>
        <v>44</v>
      </c>
      <c r="N82" s="30">
        <f>'10B Sem 2'!M29</f>
        <v>52</v>
      </c>
      <c r="O82" s="30">
        <f>'10B Sem 2'!N29</f>
        <v>54</v>
      </c>
      <c r="P82" s="30">
        <f>'10B Sem 2'!O29</f>
        <v>60</v>
      </c>
      <c r="Q82" s="30">
        <f>'10B Sem 2'!P29</f>
        <v>499</v>
      </c>
      <c r="R82" s="30">
        <f>'10B Sem 2'!Q29</f>
        <v>45.363636363636367</v>
      </c>
      <c r="S82" s="30">
        <f>'10B Sem 2'!R29</f>
        <v>54</v>
      </c>
      <c r="T82" s="30">
        <f>'10B Sem 2'!S29</f>
        <v>0</v>
      </c>
      <c r="U82" s="30">
        <f>'10B Sem 2'!T29</f>
        <v>0</v>
      </c>
      <c r="V82" s="6"/>
      <c r="W82" s="6"/>
      <c r="X82" s="6"/>
      <c r="Y82" s="6"/>
      <c r="Z82" s="6"/>
    </row>
    <row r="83" spans="1:26" ht="18.75" customHeight="1" x14ac:dyDescent="0.25">
      <c r="A83" s="292"/>
      <c r="B83" s="336"/>
      <c r="C83" s="307">
        <v>14</v>
      </c>
      <c r="D83" s="307" t="s">
        <v>20</v>
      </c>
      <c r="E83" s="29" t="s">
        <v>16</v>
      </c>
      <c r="F83" s="30">
        <f>AVERAGE(F81:F82)</f>
        <v>76</v>
      </c>
      <c r="G83" s="30">
        <f t="shared" ref="G83:R83" si="25">AVERAGE(G81:G82)</f>
        <v>49</v>
      </c>
      <c r="H83" s="30">
        <f t="shared" si="25"/>
        <v>34.5</v>
      </c>
      <c r="I83" s="30">
        <f t="shared" si="25"/>
        <v>37</v>
      </c>
      <c r="J83" s="30">
        <f t="shared" si="25"/>
        <v>38</v>
      </c>
      <c r="K83" s="30">
        <f t="shared" si="25"/>
        <v>36.5</v>
      </c>
      <c r="L83" s="30">
        <f t="shared" si="25"/>
        <v>48</v>
      </c>
      <c r="M83" s="30">
        <f t="shared" si="25"/>
        <v>48.5</v>
      </c>
      <c r="N83" s="30">
        <f t="shared" si="25"/>
        <v>57.5</v>
      </c>
      <c r="O83" s="30">
        <f t="shared" si="25"/>
        <v>58.5</v>
      </c>
      <c r="P83" s="30">
        <f t="shared" si="25"/>
        <v>63</v>
      </c>
      <c r="Q83" s="30">
        <f t="shared" si="25"/>
        <v>546.5</v>
      </c>
      <c r="R83" s="30">
        <f t="shared" si="25"/>
        <v>49.681818181818187</v>
      </c>
      <c r="S83" s="30">
        <f>'10B Sem avr'!$H$29</f>
        <v>54</v>
      </c>
      <c r="T83" s="45">
        <f>AVERAGE(T81:T82)</f>
        <v>0</v>
      </c>
      <c r="U83" s="45">
        <f>AVERAGE(U81:U82)</f>
        <v>0</v>
      </c>
      <c r="V83" s="6"/>
      <c r="W83" s="6"/>
      <c r="X83" s="6"/>
      <c r="Y83" s="6"/>
      <c r="Z83" s="6"/>
    </row>
    <row r="84" spans="1:26" ht="18.75" customHeight="1" x14ac:dyDescent="0.25">
      <c r="A84" s="292">
        <v>27</v>
      </c>
      <c r="B84" s="296"/>
      <c r="C84" s="294">
        <v>15</v>
      </c>
      <c r="D84" s="294" t="s">
        <v>20</v>
      </c>
      <c r="E84" s="29" t="s">
        <v>21</v>
      </c>
      <c r="F84" s="30">
        <f>'10B Sem 1'!E30</f>
        <v>65</v>
      </c>
      <c r="G84" s="30">
        <f>'10B Sem 1'!F30</f>
        <v>67</v>
      </c>
      <c r="H84" s="31">
        <f>'10B Sem 1'!G30</f>
        <v>71</v>
      </c>
      <c r="I84" s="30">
        <f>'10B Sem 1'!H30</f>
        <v>58</v>
      </c>
      <c r="J84" s="30">
        <f>'10B Sem 1'!I30</f>
        <v>53</v>
      </c>
      <c r="K84" s="30">
        <f>'10B Sem 1'!J30</f>
        <v>69</v>
      </c>
      <c r="L84" s="30">
        <f>'10B Sem 1'!K30</f>
        <v>55</v>
      </c>
      <c r="M84" s="30">
        <f>'10B Sem 1'!L30</f>
        <v>62</v>
      </c>
      <c r="N84" s="30">
        <f>'10B Sem 1'!M30</f>
        <v>71</v>
      </c>
      <c r="O84" s="30">
        <f>'10B Sem 1'!N30</f>
        <v>84</v>
      </c>
      <c r="P84" s="30">
        <f>'10B Sem 1'!O30</f>
        <v>84</v>
      </c>
      <c r="Q84" s="30">
        <f>'10B Sem 1'!P30</f>
        <v>739</v>
      </c>
      <c r="R84" s="30">
        <f>'10B Sem 1'!Q30</f>
        <v>67.181818181818187</v>
      </c>
      <c r="S84" s="30">
        <f>'10B Sem 1'!R30</f>
        <v>34</v>
      </c>
      <c r="T84" s="30">
        <f>'10B Sem 1'!S30</f>
        <v>0</v>
      </c>
      <c r="U84" s="30">
        <f>'10B Sem 1'!T30</f>
        <v>0</v>
      </c>
      <c r="V84" s="6"/>
      <c r="W84" s="6"/>
      <c r="X84" s="6"/>
      <c r="Y84" s="6"/>
      <c r="Z84" s="6"/>
    </row>
    <row r="85" spans="1:26" ht="18.75" customHeight="1" x14ac:dyDescent="0.25">
      <c r="A85" s="292"/>
      <c r="B85" s="296"/>
      <c r="C85" s="294">
        <v>15</v>
      </c>
      <c r="D85" s="294" t="s">
        <v>20</v>
      </c>
      <c r="E85" s="29" t="s">
        <v>22</v>
      </c>
      <c r="F85" s="30">
        <f>'10B Sem 2'!E30</f>
        <v>68</v>
      </c>
      <c r="G85" s="30">
        <f>'10B Sem 2'!F30</f>
        <v>57</v>
      </c>
      <c r="H85" s="31">
        <f>'10B Sem 2'!G30</f>
        <v>64</v>
      </c>
      <c r="I85" s="30">
        <f>'10B Sem 2'!H30</f>
        <v>67</v>
      </c>
      <c r="J85" s="30">
        <f>'10B Sem 2'!I30</f>
        <v>55</v>
      </c>
      <c r="K85" s="30">
        <f>'10B Sem 2'!J30</f>
        <v>48</v>
      </c>
      <c r="L85" s="30">
        <f>'10B Sem 2'!K30</f>
        <v>63</v>
      </c>
      <c r="M85" s="30">
        <f>'10B Sem 2'!L30</f>
        <v>65</v>
      </c>
      <c r="N85" s="30">
        <f>'10B Sem 2'!M30</f>
        <v>67</v>
      </c>
      <c r="O85" s="30">
        <f>'10B Sem 2'!N30</f>
        <v>73</v>
      </c>
      <c r="P85" s="30">
        <f>'10B Sem 2'!O30</f>
        <v>85</v>
      </c>
      <c r="Q85" s="30">
        <f>'10B Sem 2'!P30</f>
        <v>712</v>
      </c>
      <c r="R85" s="30">
        <f>'10B Sem 2'!Q30</f>
        <v>64.727272727272734</v>
      </c>
      <c r="S85" s="30">
        <f>'10B Sem 2'!R30</f>
        <v>35</v>
      </c>
      <c r="T85" s="30">
        <f>'10B Sem 2'!S30</f>
        <v>0</v>
      </c>
      <c r="U85" s="30">
        <f>'10B Sem 2'!T30</f>
        <v>0</v>
      </c>
      <c r="V85" s="6"/>
      <c r="W85" s="6"/>
      <c r="X85" s="6"/>
      <c r="Y85" s="6"/>
      <c r="Z85" s="6"/>
    </row>
    <row r="86" spans="1:26" ht="18.75" customHeight="1" x14ac:dyDescent="0.25">
      <c r="A86" s="292"/>
      <c r="B86" s="296"/>
      <c r="C86" s="294">
        <v>15</v>
      </c>
      <c r="D86" s="294" t="s">
        <v>20</v>
      </c>
      <c r="E86" s="29" t="s">
        <v>16</v>
      </c>
      <c r="F86" s="30">
        <f>AVERAGE(F84:F85)</f>
        <v>66.5</v>
      </c>
      <c r="G86" s="30">
        <f t="shared" ref="G86:R86" si="26">AVERAGE(G84:G85)</f>
        <v>62</v>
      </c>
      <c r="H86" s="30">
        <f t="shared" si="26"/>
        <v>67.5</v>
      </c>
      <c r="I86" s="30">
        <f t="shared" si="26"/>
        <v>62.5</v>
      </c>
      <c r="J86" s="30">
        <f t="shared" si="26"/>
        <v>54</v>
      </c>
      <c r="K86" s="30">
        <f t="shared" si="26"/>
        <v>58.5</v>
      </c>
      <c r="L86" s="30">
        <f t="shared" si="26"/>
        <v>59</v>
      </c>
      <c r="M86" s="30">
        <f t="shared" si="26"/>
        <v>63.5</v>
      </c>
      <c r="N86" s="30">
        <f t="shared" si="26"/>
        <v>69</v>
      </c>
      <c r="O86" s="30">
        <f t="shared" si="26"/>
        <v>78.5</v>
      </c>
      <c r="P86" s="30">
        <f t="shared" si="26"/>
        <v>84.5</v>
      </c>
      <c r="Q86" s="30">
        <f t="shared" si="26"/>
        <v>725.5</v>
      </c>
      <c r="R86" s="30">
        <f t="shared" si="26"/>
        <v>65.954545454545467</v>
      </c>
      <c r="S86" s="30">
        <f>'10B Sem avr'!$H$30</f>
        <v>35</v>
      </c>
      <c r="T86" s="45">
        <f>AVERAGE(T84:T85)</f>
        <v>0</v>
      </c>
      <c r="U86" s="45">
        <f>AVERAGE(U84:U85)</f>
        <v>0</v>
      </c>
      <c r="V86" s="6"/>
      <c r="W86" s="6"/>
      <c r="X86" s="6"/>
      <c r="Y86" s="6"/>
      <c r="Z86" s="6"/>
    </row>
    <row r="87" spans="1:26" ht="18.75" customHeight="1" x14ac:dyDescent="0.25">
      <c r="A87" s="292">
        <v>28</v>
      </c>
      <c r="B87" s="293"/>
      <c r="C87" s="294">
        <v>16</v>
      </c>
      <c r="D87" s="294" t="s">
        <v>23</v>
      </c>
      <c r="E87" s="29" t="s">
        <v>21</v>
      </c>
      <c r="F87" s="30">
        <f>'10B Sem 1'!E31</f>
        <v>71</v>
      </c>
      <c r="G87" s="30">
        <f>'10B Sem 1'!F31</f>
        <v>66</v>
      </c>
      <c r="H87" s="30">
        <f>'10B Sem 1'!G31</f>
        <v>47</v>
      </c>
      <c r="I87" s="30">
        <f>'10B Sem 1'!H31</f>
        <v>59</v>
      </c>
      <c r="J87" s="30">
        <f>'10B Sem 1'!I31</f>
        <v>51</v>
      </c>
      <c r="K87" s="30">
        <f>'10B Sem 1'!J31</f>
        <v>58</v>
      </c>
      <c r="L87" s="30">
        <f>'10B Sem 1'!K31</f>
        <v>54</v>
      </c>
      <c r="M87" s="30">
        <f>'10B Sem 1'!L31</f>
        <v>68</v>
      </c>
      <c r="N87" s="30">
        <f>'10B Sem 1'!M31</f>
        <v>79</v>
      </c>
      <c r="O87" s="30">
        <f>'10B Sem 1'!N31</f>
        <v>77</v>
      </c>
      <c r="P87" s="30">
        <f>'10B Sem 1'!O31</f>
        <v>91</v>
      </c>
      <c r="Q87" s="30">
        <f>'10B Sem 1'!P31</f>
        <v>721</v>
      </c>
      <c r="R87" s="30">
        <f>'10B Sem 1'!Q31</f>
        <v>65.545454545454547</v>
      </c>
      <c r="S87" s="30">
        <f>'10B Sem 1'!R31</f>
        <v>37</v>
      </c>
      <c r="T87" s="30">
        <f>'10B Sem 1'!S31</f>
        <v>0</v>
      </c>
      <c r="U87" s="30">
        <f>'10B Sem 1'!T31</f>
        <v>0</v>
      </c>
      <c r="V87" s="6"/>
      <c r="W87" s="6"/>
      <c r="X87" s="6"/>
      <c r="Y87" s="6"/>
      <c r="Z87" s="6"/>
    </row>
    <row r="88" spans="1:26" ht="18.75" customHeight="1" x14ac:dyDescent="0.25">
      <c r="A88" s="292"/>
      <c r="B88" s="293"/>
      <c r="C88" s="294">
        <v>16</v>
      </c>
      <c r="D88" s="294" t="s">
        <v>23</v>
      </c>
      <c r="E88" s="29" t="s">
        <v>22</v>
      </c>
      <c r="F88" s="30">
        <f>'10B Sem 2'!E31</f>
        <v>72</v>
      </c>
      <c r="G88" s="30">
        <f>'10B Sem 2'!F31</f>
        <v>71</v>
      </c>
      <c r="H88" s="30">
        <f>'10B Sem 2'!G31</f>
        <v>54</v>
      </c>
      <c r="I88" s="30">
        <f>'10B Sem 2'!H31</f>
        <v>40</v>
      </c>
      <c r="J88" s="30">
        <f>'10B Sem 2'!I31</f>
        <v>48</v>
      </c>
      <c r="K88" s="30">
        <f>'10B Sem 2'!J31</f>
        <v>61</v>
      </c>
      <c r="L88" s="30">
        <f>'10B Sem 2'!K31</f>
        <v>60</v>
      </c>
      <c r="M88" s="30">
        <f>'10B Sem 2'!L31</f>
        <v>57</v>
      </c>
      <c r="N88" s="30">
        <f>'10B Sem 2'!M31</f>
        <v>72</v>
      </c>
      <c r="O88" s="30">
        <f>'10B Sem 2'!N31</f>
        <v>78</v>
      </c>
      <c r="P88" s="30">
        <f>'10B Sem 2'!O31</f>
        <v>86</v>
      </c>
      <c r="Q88" s="30">
        <f>'10B Sem 2'!P31</f>
        <v>699</v>
      </c>
      <c r="R88" s="30">
        <f>'10B Sem 2'!Q31</f>
        <v>63.545454545454547</v>
      </c>
      <c r="S88" s="30">
        <f>'10B Sem 2'!R31</f>
        <v>37</v>
      </c>
      <c r="T88" s="30">
        <f>'10B Sem 2'!S31</f>
        <v>0</v>
      </c>
      <c r="U88" s="30">
        <f>'10B Sem 2'!T31</f>
        <v>0</v>
      </c>
      <c r="V88" s="6"/>
      <c r="W88" s="6"/>
      <c r="X88" s="6"/>
      <c r="Y88" s="6"/>
      <c r="Z88" s="6"/>
    </row>
    <row r="89" spans="1:26" ht="18.75" customHeight="1" x14ac:dyDescent="0.25">
      <c r="A89" s="292"/>
      <c r="B89" s="293"/>
      <c r="C89" s="294">
        <v>16</v>
      </c>
      <c r="D89" s="294" t="s">
        <v>23</v>
      </c>
      <c r="E89" s="29" t="s">
        <v>16</v>
      </c>
      <c r="F89" s="30">
        <f>AVERAGE(F87:F88)</f>
        <v>71.5</v>
      </c>
      <c r="G89" s="30">
        <f t="shared" ref="G89:R89" si="27">AVERAGE(G87:G88)</f>
        <v>68.5</v>
      </c>
      <c r="H89" s="30">
        <f t="shared" si="27"/>
        <v>50.5</v>
      </c>
      <c r="I89" s="30">
        <f t="shared" si="27"/>
        <v>49.5</v>
      </c>
      <c r="J89" s="30">
        <f t="shared" si="27"/>
        <v>49.5</v>
      </c>
      <c r="K89" s="30">
        <f t="shared" si="27"/>
        <v>59.5</v>
      </c>
      <c r="L89" s="30">
        <f t="shared" si="27"/>
        <v>57</v>
      </c>
      <c r="M89" s="30">
        <f t="shared" si="27"/>
        <v>62.5</v>
      </c>
      <c r="N89" s="30">
        <f t="shared" si="27"/>
        <v>75.5</v>
      </c>
      <c r="O89" s="30">
        <f t="shared" si="27"/>
        <v>77.5</v>
      </c>
      <c r="P89" s="30">
        <f t="shared" si="27"/>
        <v>88.5</v>
      </c>
      <c r="Q89" s="30">
        <f t="shared" si="27"/>
        <v>710</v>
      </c>
      <c r="R89" s="30">
        <f t="shared" si="27"/>
        <v>64.545454545454547</v>
      </c>
      <c r="S89" s="30">
        <f>'10B Sem avr'!$H$31</f>
        <v>36</v>
      </c>
      <c r="T89" s="45">
        <f>AVERAGE(T87:T88)</f>
        <v>0</v>
      </c>
      <c r="U89" s="45">
        <f>AVERAGE(U87:U88)</f>
        <v>0</v>
      </c>
      <c r="V89" s="6"/>
      <c r="W89" s="6"/>
      <c r="X89" s="6"/>
      <c r="Y89" s="6"/>
      <c r="Z89" s="6"/>
    </row>
    <row r="90" spans="1:26" ht="18.75" customHeight="1" x14ac:dyDescent="0.25">
      <c r="A90" s="295">
        <v>29</v>
      </c>
      <c r="B90" s="293"/>
      <c r="C90" s="294">
        <v>16</v>
      </c>
      <c r="D90" s="294" t="s">
        <v>23</v>
      </c>
      <c r="E90" s="29" t="s">
        <v>21</v>
      </c>
      <c r="F90" s="30">
        <f>'10B Sem 1'!E32</f>
        <v>91</v>
      </c>
      <c r="G90" s="30">
        <f>'10B Sem 1'!F32</f>
        <v>94</v>
      </c>
      <c r="H90" s="30">
        <f>'10B Sem 1'!G32</f>
        <v>93</v>
      </c>
      <c r="I90" s="30">
        <f>'10B Sem 1'!H32</f>
        <v>92</v>
      </c>
      <c r="J90" s="30">
        <f>'10B Sem 1'!I32</f>
        <v>89</v>
      </c>
      <c r="K90" s="30">
        <f>'10B Sem 1'!J32</f>
        <v>94</v>
      </c>
      <c r="L90" s="30">
        <f>'10B Sem 1'!K32</f>
        <v>95</v>
      </c>
      <c r="M90" s="30">
        <f>'10B Sem 1'!L32</f>
        <v>94</v>
      </c>
      <c r="N90" s="30">
        <f>'10B Sem 1'!M32</f>
        <v>92</v>
      </c>
      <c r="O90" s="30">
        <f>'10B Sem 1'!N32</f>
        <v>100</v>
      </c>
      <c r="P90" s="30">
        <f>'10B Sem 1'!O32</f>
        <v>100</v>
      </c>
      <c r="Q90" s="30">
        <f>'10B Sem 1'!P32</f>
        <v>1034</v>
      </c>
      <c r="R90" s="30">
        <f>'10B Sem 1'!Q32</f>
        <v>94</v>
      </c>
      <c r="S90" s="30">
        <f>'10B Sem 1'!R32</f>
        <v>2</v>
      </c>
      <c r="T90" s="30">
        <f>'10B Sem 1'!S32</f>
        <v>0</v>
      </c>
      <c r="U90" s="30">
        <f>'10B Sem 1'!T32</f>
        <v>0</v>
      </c>
      <c r="V90" s="6"/>
      <c r="W90" s="6"/>
      <c r="X90" s="6"/>
      <c r="Y90" s="6"/>
      <c r="Z90" s="6"/>
    </row>
    <row r="91" spans="1:26" ht="18.75" customHeight="1" x14ac:dyDescent="0.25">
      <c r="A91" s="295"/>
      <c r="B91" s="293"/>
      <c r="C91" s="294">
        <v>16</v>
      </c>
      <c r="D91" s="294" t="s">
        <v>23</v>
      </c>
      <c r="E91" s="29" t="s">
        <v>22</v>
      </c>
      <c r="F91" s="30">
        <f>'10B Sem 2'!E32</f>
        <v>89</v>
      </c>
      <c r="G91" s="30">
        <f>'10B Sem 2'!F32</f>
        <v>95</v>
      </c>
      <c r="H91" s="30">
        <f>'10B Sem 2'!G32</f>
        <v>95</v>
      </c>
      <c r="I91" s="30">
        <f>'10B Sem 2'!H32</f>
        <v>96</v>
      </c>
      <c r="J91" s="30">
        <f>'10B Sem 2'!I32</f>
        <v>93</v>
      </c>
      <c r="K91" s="30">
        <f>'10B Sem 2'!J32</f>
        <v>100</v>
      </c>
      <c r="L91" s="30">
        <f>'10B Sem 2'!K32</f>
        <v>97</v>
      </c>
      <c r="M91" s="30">
        <f>'10B Sem 2'!L32</f>
        <v>93</v>
      </c>
      <c r="N91" s="30">
        <f>'10B Sem 2'!M32</f>
        <v>97</v>
      </c>
      <c r="O91" s="30">
        <f>'10B Sem 2'!N32</f>
        <v>100</v>
      </c>
      <c r="P91" s="30">
        <f>'10B Sem 2'!O32</f>
        <v>100</v>
      </c>
      <c r="Q91" s="30">
        <f>'10B Sem 2'!P32</f>
        <v>1055</v>
      </c>
      <c r="R91" s="30">
        <f>'10B Sem 2'!Q32</f>
        <v>95.909090909090907</v>
      </c>
      <c r="S91" s="30">
        <f>'10B Sem 2'!R32</f>
        <v>1</v>
      </c>
      <c r="T91" s="30">
        <f>'10B Sem 2'!S32</f>
        <v>0</v>
      </c>
      <c r="U91" s="30">
        <f>'10B Sem 2'!T32</f>
        <v>0</v>
      </c>
      <c r="V91" s="6"/>
      <c r="W91" s="6"/>
      <c r="X91" s="6"/>
      <c r="Y91" s="6"/>
      <c r="Z91" s="6"/>
    </row>
    <row r="92" spans="1:26" ht="18.75" customHeight="1" x14ac:dyDescent="0.25">
      <c r="A92" s="295"/>
      <c r="B92" s="293"/>
      <c r="C92" s="294">
        <v>16</v>
      </c>
      <c r="D92" s="294" t="s">
        <v>23</v>
      </c>
      <c r="E92" s="29" t="s">
        <v>16</v>
      </c>
      <c r="F92" s="30">
        <f>AVERAGE(F90:F91)</f>
        <v>90</v>
      </c>
      <c r="G92" s="30">
        <f t="shared" ref="G92:R92" si="28">AVERAGE(G90:G91)</f>
        <v>94.5</v>
      </c>
      <c r="H92" s="30">
        <f t="shared" si="28"/>
        <v>94</v>
      </c>
      <c r="I92" s="30">
        <f t="shared" si="28"/>
        <v>94</v>
      </c>
      <c r="J92" s="30">
        <f t="shared" si="28"/>
        <v>91</v>
      </c>
      <c r="K92" s="30">
        <f t="shared" si="28"/>
        <v>97</v>
      </c>
      <c r="L92" s="30">
        <f t="shared" si="28"/>
        <v>96</v>
      </c>
      <c r="M92" s="30">
        <f t="shared" si="28"/>
        <v>93.5</v>
      </c>
      <c r="N92" s="30">
        <f t="shared" si="28"/>
        <v>94.5</v>
      </c>
      <c r="O92" s="30">
        <f t="shared" si="28"/>
        <v>100</v>
      </c>
      <c r="P92" s="30">
        <f t="shared" si="28"/>
        <v>100</v>
      </c>
      <c r="Q92" s="30">
        <f t="shared" si="28"/>
        <v>1044.5</v>
      </c>
      <c r="R92" s="30">
        <f t="shared" si="28"/>
        <v>94.954545454545453</v>
      </c>
      <c r="S92" s="30">
        <f>'10B Sem avr'!$H$32</f>
        <v>2</v>
      </c>
      <c r="T92" s="45">
        <f>AVERAGE(T90:T91)</f>
        <v>0</v>
      </c>
      <c r="U92" s="45">
        <f>AVERAGE(U90:U91)</f>
        <v>0</v>
      </c>
      <c r="V92" s="6"/>
      <c r="W92" s="6"/>
      <c r="X92" s="6"/>
      <c r="Y92" s="6"/>
      <c r="Z92" s="6"/>
    </row>
    <row r="93" spans="1:26" ht="18.75" customHeight="1" x14ac:dyDescent="0.25">
      <c r="A93" s="292">
        <v>30</v>
      </c>
      <c r="B93" s="293"/>
      <c r="C93" s="294">
        <v>15</v>
      </c>
      <c r="D93" s="294" t="s">
        <v>23</v>
      </c>
      <c r="E93" s="29" t="s">
        <v>21</v>
      </c>
      <c r="F93" s="30">
        <f>'10B Sem 1'!E33</f>
        <v>95</v>
      </c>
      <c r="G93" s="31">
        <f>'10B Sem 1'!F33</f>
        <v>88</v>
      </c>
      <c r="H93" s="31">
        <f>'10B Sem 1'!G33</f>
        <v>88</v>
      </c>
      <c r="I93" s="31">
        <f>'10B Sem 1'!H33</f>
        <v>98</v>
      </c>
      <c r="J93" s="30">
        <f>'10B Sem 1'!I33</f>
        <v>87</v>
      </c>
      <c r="K93" s="30">
        <f>'10B Sem 1'!J33</f>
        <v>90</v>
      </c>
      <c r="L93" s="30">
        <f>'10B Sem 1'!K33</f>
        <v>89</v>
      </c>
      <c r="M93" s="30">
        <f>'10B Sem 1'!L33</f>
        <v>90</v>
      </c>
      <c r="N93" s="30">
        <f>'10B Sem 1'!M33</f>
        <v>89</v>
      </c>
      <c r="O93" s="30">
        <f>'10B Sem 1'!N33</f>
        <v>100</v>
      </c>
      <c r="P93" s="31">
        <f>'10B Sem 1'!O33</f>
        <v>100</v>
      </c>
      <c r="Q93" s="30">
        <f>'10B Sem 1'!P33</f>
        <v>1014</v>
      </c>
      <c r="R93" s="30">
        <f>'10B Sem 1'!Q33</f>
        <v>92.181818181818187</v>
      </c>
      <c r="S93" s="30">
        <f>'10B Sem 1'!R33</f>
        <v>3</v>
      </c>
      <c r="T93" s="30">
        <f>'10B Sem 1'!S33</f>
        <v>0</v>
      </c>
      <c r="U93" s="30">
        <f>'10B Sem 1'!T33</f>
        <v>0</v>
      </c>
      <c r="V93" s="6"/>
      <c r="W93" s="6"/>
      <c r="X93" s="6"/>
      <c r="Y93" s="6"/>
      <c r="Z93" s="6"/>
    </row>
    <row r="94" spans="1:26" ht="18.75" customHeight="1" x14ac:dyDescent="0.25">
      <c r="A94" s="292"/>
      <c r="B94" s="293"/>
      <c r="C94" s="294">
        <v>15</v>
      </c>
      <c r="D94" s="294" t="s">
        <v>23</v>
      </c>
      <c r="E94" s="29" t="s">
        <v>22</v>
      </c>
      <c r="F94" s="30">
        <f>'10B Sem 2'!E33</f>
        <v>90</v>
      </c>
      <c r="G94" s="31">
        <f>'10B Sem 2'!F33</f>
        <v>86</v>
      </c>
      <c r="H94" s="31">
        <f>'10B Sem 2'!G33</f>
        <v>87</v>
      </c>
      <c r="I94" s="31">
        <f>'10B Sem 2'!H33</f>
        <v>89</v>
      </c>
      <c r="J94" s="30">
        <f>'10B Sem 2'!I33</f>
        <v>86</v>
      </c>
      <c r="K94" s="30">
        <f>'10B Sem 2'!J33</f>
        <v>96</v>
      </c>
      <c r="L94" s="30">
        <f>'10B Sem 2'!K33</f>
        <v>96</v>
      </c>
      <c r="M94" s="30">
        <f>'10B Sem 2'!L33</f>
        <v>91</v>
      </c>
      <c r="N94" s="30">
        <f>'10B Sem 2'!M33</f>
        <v>97</v>
      </c>
      <c r="O94" s="30">
        <f>'10B Sem 2'!N33</f>
        <v>98</v>
      </c>
      <c r="P94" s="31">
        <f>'10B Sem 2'!O33</f>
        <v>100</v>
      </c>
      <c r="Q94" s="30">
        <f>'10B Sem 2'!P33</f>
        <v>1016</v>
      </c>
      <c r="R94" s="30">
        <f>'10B Sem 2'!Q33</f>
        <v>92.36363636363636</v>
      </c>
      <c r="S94" s="30">
        <f>'10B Sem 2'!R33</f>
        <v>3</v>
      </c>
      <c r="T94" s="30">
        <f>'10B Sem 2'!S33</f>
        <v>0</v>
      </c>
      <c r="U94" s="30">
        <f>'10B Sem 2'!T33</f>
        <v>0</v>
      </c>
      <c r="V94" s="6"/>
      <c r="W94" s="6"/>
      <c r="X94" s="6"/>
      <c r="Y94" s="6"/>
      <c r="Z94" s="6"/>
    </row>
    <row r="95" spans="1:26" ht="18.75" customHeight="1" x14ac:dyDescent="0.25">
      <c r="A95" s="292"/>
      <c r="B95" s="293"/>
      <c r="C95" s="294">
        <v>15</v>
      </c>
      <c r="D95" s="294" t="s">
        <v>23</v>
      </c>
      <c r="E95" s="29" t="s">
        <v>16</v>
      </c>
      <c r="F95" s="30">
        <f>AVERAGE(F93:F94)</f>
        <v>92.5</v>
      </c>
      <c r="G95" s="30">
        <f t="shared" ref="G95:R95" si="29">AVERAGE(G93:G94)</f>
        <v>87</v>
      </c>
      <c r="H95" s="30">
        <f t="shared" si="29"/>
        <v>87.5</v>
      </c>
      <c r="I95" s="30">
        <f t="shared" si="29"/>
        <v>93.5</v>
      </c>
      <c r="J95" s="30">
        <f t="shared" si="29"/>
        <v>86.5</v>
      </c>
      <c r="K95" s="30">
        <f t="shared" si="29"/>
        <v>93</v>
      </c>
      <c r="L95" s="30">
        <f t="shared" si="29"/>
        <v>92.5</v>
      </c>
      <c r="M95" s="30">
        <f t="shared" si="29"/>
        <v>90.5</v>
      </c>
      <c r="N95" s="30">
        <f t="shared" si="29"/>
        <v>93</v>
      </c>
      <c r="O95" s="30">
        <f t="shared" si="29"/>
        <v>99</v>
      </c>
      <c r="P95" s="30">
        <f t="shared" si="29"/>
        <v>100</v>
      </c>
      <c r="Q95" s="30">
        <f t="shared" si="29"/>
        <v>1015</v>
      </c>
      <c r="R95" s="30">
        <f t="shared" si="29"/>
        <v>92.27272727272728</v>
      </c>
      <c r="S95" s="30">
        <f>'10B Sem avr'!$H$33</f>
        <v>3</v>
      </c>
      <c r="T95" s="45">
        <f>AVERAGE(T93:T94)</f>
        <v>0</v>
      </c>
      <c r="U95" s="45">
        <f>AVERAGE(U93:U94)</f>
        <v>0</v>
      </c>
      <c r="V95" s="6"/>
      <c r="W95" s="6"/>
      <c r="X95" s="6"/>
      <c r="Y95" s="6"/>
      <c r="Z95" s="6"/>
    </row>
    <row r="96" spans="1:26" ht="18.75" customHeight="1" x14ac:dyDescent="0.25">
      <c r="A96" s="295">
        <v>31</v>
      </c>
      <c r="B96" s="296"/>
      <c r="C96" s="294">
        <v>14</v>
      </c>
      <c r="D96" s="294" t="s">
        <v>23</v>
      </c>
      <c r="E96" s="29" t="s">
        <v>21</v>
      </c>
      <c r="F96" s="30">
        <f>'10B Sem 1'!E34</f>
        <v>80</v>
      </c>
      <c r="G96" s="30">
        <f>'10B Sem 1'!F34</f>
        <v>77</v>
      </c>
      <c r="H96" s="31">
        <f>'10B Sem 1'!G34</f>
        <v>89</v>
      </c>
      <c r="I96" s="30">
        <f>'10B Sem 1'!H34</f>
        <v>91</v>
      </c>
      <c r="J96" s="30">
        <f>'10B Sem 1'!I34</f>
        <v>94</v>
      </c>
      <c r="K96" s="30">
        <f>'10B Sem 1'!J34</f>
        <v>91</v>
      </c>
      <c r="L96" s="31">
        <f>'10B Sem 1'!K34</f>
        <v>95</v>
      </c>
      <c r="M96" s="30">
        <f>'10B Sem 1'!L34</f>
        <v>86</v>
      </c>
      <c r="N96" s="30">
        <f>'10B Sem 1'!M34</f>
        <v>90</v>
      </c>
      <c r="O96" s="30">
        <f>'10B Sem 1'!N34</f>
        <v>95</v>
      </c>
      <c r="P96" s="30">
        <f>'10B Sem 1'!O34</f>
        <v>97</v>
      </c>
      <c r="Q96" s="30">
        <f>'10B Sem 1'!P34</f>
        <v>985</v>
      </c>
      <c r="R96" s="30">
        <f>'10B Sem 1'!Q34</f>
        <v>89.545454545454547</v>
      </c>
      <c r="S96" s="30">
        <f>'10B Sem 1'!R34</f>
        <v>7</v>
      </c>
      <c r="T96" s="30">
        <f>'10B Sem 1'!S34</f>
        <v>0</v>
      </c>
      <c r="U96" s="30">
        <f>'10B Sem 1'!T34</f>
        <v>0</v>
      </c>
      <c r="V96" s="6"/>
      <c r="W96" s="6"/>
      <c r="X96" s="6"/>
      <c r="Y96" s="6"/>
      <c r="Z96" s="6"/>
    </row>
    <row r="97" spans="1:26" ht="18.75" customHeight="1" x14ac:dyDescent="0.25">
      <c r="A97" s="295"/>
      <c r="B97" s="296"/>
      <c r="C97" s="294">
        <v>14</v>
      </c>
      <c r="D97" s="294" t="s">
        <v>23</v>
      </c>
      <c r="E97" s="29" t="s">
        <v>22</v>
      </c>
      <c r="F97" s="30">
        <f>'10B Sem 2'!E34</f>
        <v>77</v>
      </c>
      <c r="G97" s="30">
        <f>'10B Sem 2'!F34</f>
        <v>84</v>
      </c>
      <c r="H97" s="31">
        <f>'10B Sem 2'!G34</f>
        <v>92</v>
      </c>
      <c r="I97" s="30">
        <f>'10B Sem 2'!H34</f>
        <v>84</v>
      </c>
      <c r="J97" s="30">
        <f>'10B Sem 2'!I34</f>
        <v>95</v>
      </c>
      <c r="K97" s="30">
        <f>'10B Sem 2'!J34</f>
        <v>95</v>
      </c>
      <c r="L97" s="31">
        <f>'10B Sem 2'!K34</f>
        <v>98</v>
      </c>
      <c r="M97" s="30">
        <f>'10B Sem 2'!L34</f>
        <v>96</v>
      </c>
      <c r="N97" s="30">
        <f>'10B Sem 2'!M34</f>
        <v>97</v>
      </c>
      <c r="O97" s="30">
        <f>'10B Sem 2'!N34</f>
        <v>98</v>
      </c>
      <c r="P97" s="30">
        <f>'10B Sem 2'!O34</f>
        <v>96</v>
      </c>
      <c r="Q97" s="30">
        <f>'10B Sem 2'!P34</f>
        <v>1012</v>
      </c>
      <c r="R97" s="30">
        <f>'10B Sem 2'!Q34</f>
        <v>92</v>
      </c>
      <c r="S97" s="30">
        <f>'10B Sem 2'!R34</f>
        <v>4</v>
      </c>
      <c r="T97" s="30">
        <f>'10B Sem 2'!S34</f>
        <v>0</v>
      </c>
      <c r="U97" s="30">
        <f>'10B Sem 2'!T34</f>
        <v>0</v>
      </c>
      <c r="V97" s="6"/>
      <c r="W97" s="6"/>
      <c r="X97" s="6"/>
      <c r="Y97" s="6"/>
      <c r="Z97" s="6"/>
    </row>
    <row r="98" spans="1:26" ht="18.75" customHeight="1" x14ac:dyDescent="0.25">
      <c r="A98" s="295"/>
      <c r="B98" s="296"/>
      <c r="C98" s="294">
        <v>14</v>
      </c>
      <c r="D98" s="294" t="s">
        <v>23</v>
      </c>
      <c r="E98" s="29" t="s">
        <v>16</v>
      </c>
      <c r="F98" s="30">
        <f>AVERAGE(F96:F97)</f>
        <v>78.5</v>
      </c>
      <c r="G98" s="30">
        <f t="shared" ref="G98:R98" si="30">AVERAGE(G96:G97)</f>
        <v>80.5</v>
      </c>
      <c r="H98" s="30">
        <f t="shared" si="30"/>
        <v>90.5</v>
      </c>
      <c r="I98" s="30">
        <f t="shared" si="30"/>
        <v>87.5</v>
      </c>
      <c r="J98" s="30">
        <f t="shared" si="30"/>
        <v>94.5</v>
      </c>
      <c r="K98" s="30">
        <f t="shared" si="30"/>
        <v>93</v>
      </c>
      <c r="L98" s="30">
        <f t="shared" si="30"/>
        <v>96.5</v>
      </c>
      <c r="M98" s="30">
        <f t="shared" si="30"/>
        <v>91</v>
      </c>
      <c r="N98" s="30">
        <f t="shared" si="30"/>
        <v>93.5</v>
      </c>
      <c r="O98" s="30">
        <f t="shared" si="30"/>
        <v>96.5</v>
      </c>
      <c r="P98" s="30">
        <f t="shared" si="30"/>
        <v>96.5</v>
      </c>
      <c r="Q98" s="30">
        <f t="shared" si="30"/>
        <v>998.5</v>
      </c>
      <c r="R98" s="30">
        <f t="shared" si="30"/>
        <v>90.77272727272728</v>
      </c>
      <c r="S98" s="30">
        <f>'10B Sem avr'!$H$34</f>
        <v>4</v>
      </c>
      <c r="T98" s="45">
        <f>AVERAGE(T96:T97)</f>
        <v>0</v>
      </c>
      <c r="U98" s="45">
        <f>AVERAGE(U96:U97)</f>
        <v>0</v>
      </c>
      <c r="V98" s="6"/>
      <c r="W98" s="6"/>
      <c r="X98" s="6"/>
      <c r="Y98" s="6"/>
      <c r="Z98" s="6"/>
    </row>
    <row r="99" spans="1:26" ht="18.75" customHeight="1" x14ac:dyDescent="0.25">
      <c r="A99" s="295">
        <v>32</v>
      </c>
      <c r="B99" s="293"/>
      <c r="C99" s="294">
        <v>15</v>
      </c>
      <c r="D99" s="294" t="s">
        <v>23</v>
      </c>
      <c r="E99" s="29" t="s">
        <v>21</v>
      </c>
      <c r="F99" s="30">
        <f>'10B Sem 1'!E35</f>
        <v>74</v>
      </c>
      <c r="G99" s="30">
        <f>'10B Sem 1'!F35</f>
        <v>52</v>
      </c>
      <c r="H99" s="30">
        <f>'10B Sem 1'!G35</f>
        <v>42</v>
      </c>
      <c r="I99" s="30">
        <f>'10B Sem 1'!H35</f>
        <v>52</v>
      </c>
      <c r="J99" s="30">
        <f>'10B Sem 1'!I35</f>
        <v>53</v>
      </c>
      <c r="K99" s="30">
        <f>'10B Sem 1'!J35</f>
        <v>48</v>
      </c>
      <c r="L99" s="30">
        <f>'10B Sem 1'!K35</f>
        <v>51</v>
      </c>
      <c r="M99" s="30">
        <f>'10B Sem 1'!L35</f>
        <v>55</v>
      </c>
      <c r="N99" s="30">
        <f>'10B Sem 1'!M35</f>
        <v>53</v>
      </c>
      <c r="O99" s="30">
        <f>'10B Sem 1'!N35</f>
        <v>67</v>
      </c>
      <c r="P99" s="30">
        <f>'10B Sem 1'!O35</f>
        <v>80</v>
      </c>
      <c r="Q99" s="30">
        <f>'10B Sem 1'!P35</f>
        <v>627</v>
      </c>
      <c r="R99" s="30">
        <f>'10B Sem 1'!Q35</f>
        <v>57</v>
      </c>
      <c r="S99" s="30">
        <f>'10B Sem 1'!R35</f>
        <v>50</v>
      </c>
      <c r="T99" s="30">
        <f>'10B Sem 1'!S35</f>
        <v>0</v>
      </c>
      <c r="U99" s="30">
        <f>'10B Sem 1'!T35</f>
        <v>0</v>
      </c>
      <c r="V99" s="6"/>
      <c r="W99" s="6"/>
      <c r="X99" s="6"/>
      <c r="Y99" s="6"/>
      <c r="Z99" s="6"/>
    </row>
    <row r="100" spans="1:26" ht="17.25" customHeight="1" x14ac:dyDescent="0.25">
      <c r="A100" s="295"/>
      <c r="B100" s="293"/>
      <c r="C100" s="294">
        <v>15</v>
      </c>
      <c r="D100" s="294" t="s">
        <v>23</v>
      </c>
      <c r="E100" s="29" t="s">
        <v>22</v>
      </c>
      <c r="F100" s="30">
        <f>'10B Sem 2'!E35</f>
        <v>72</v>
      </c>
      <c r="G100" s="30">
        <f>'10B Sem 2'!F35</f>
        <v>63</v>
      </c>
      <c r="H100" s="30">
        <f>'10B Sem 2'!G35</f>
        <v>41</v>
      </c>
      <c r="I100" s="30">
        <f>'10B Sem 2'!H35</f>
        <v>39</v>
      </c>
      <c r="J100" s="30">
        <f>'10B Sem 2'!I35</f>
        <v>47</v>
      </c>
      <c r="K100" s="30">
        <f>'10B Sem 2'!J35</f>
        <v>55</v>
      </c>
      <c r="L100" s="30">
        <f>'10B Sem 2'!K35</f>
        <v>54</v>
      </c>
      <c r="M100" s="30">
        <f>'10B Sem 2'!L35</f>
        <v>52</v>
      </c>
      <c r="N100" s="30">
        <f>'10B Sem 2'!M35</f>
        <v>59</v>
      </c>
      <c r="O100" s="30">
        <f>'10B Sem 2'!N35</f>
        <v>76</v>
      </c>
      <c r="P100" s="30">
        <f>'10B Sem 2'!O35</f>
        <v>88</v>
      </c>
      <c r="Q100" s="30">
        <f>'10B Sem 2'!P35</f>
        <v>646</v>
      </c>
      <c r="R100" s="30">
        <f>'10B Sem 2'!Q35</f>
        <v>58.727272727272727</v>
      </c>
      <c r="S100" s="30">
        <f>'10B Sem 2'!R35</f>
        <v>46</v>
      </c>
      <c r="T100" s="30">
        <f>'10B Sem 2'!S35</f>
        <v>0</v>
      </c>
      <c r="U100" s="30">
        <f>'10B Sem 2'!T35</f>
        <v>0</v>
      </c>
      <c r="V100" s="6"/>
      <c r="W100" s="6"/>
      <c r="X100" s="6"/>
      <c r="Y100" s="6"/>
      <c r="Z100" s="6"/>
    </row>
    <row r="101" spans="1:26" ht="17.25" customHeight="1" x14ac:dyDescent="0.25">
      <c r="A101" s="295"/>
      <c r="B101" s="293"/>
      <c r="C101" s="294">
        <v>15</v>
      </c>
      <c r="D101" s="294" t="s">
        <v>23</v>
      </c>
      <c r="E101" s="29" t="s">
        <v>16</v>
      </c>
      <c r="F101" s="30">
        <f>AVERAGE(F99:F100)</f>
        <v>73</v>
      </c>
      <c r="G101" s="30">
        <f t="shared" ref="G101:R101" si="31">AVERAGE(G99:G100)</f>
        <v>57.5</v>
      </c>
      <c r="H101" s="30">
        <f t="shared" si="31"/>
        <v>41.5</v>
      </c>
      <c r="I101" s="30">
        <f t="shared" si="31"/>
        <v>45.5</v>
      </c>
      <c r="J101" s="30">
        <f t="shared" si="31"/>
        <v>50</v>
      </c>
      <c r="K101" s="30">
        <f t="shared" si="31"/>
        <v>51.5</v>
      </c>
      <c r="L101" s="30">
        <f t="shared" si="31"/>
        <v>52.5</v>
      </c>
      <c r="M101" s="30">
        <f t="shared" si="31"/>
        <v>53.5</v>
      </c>
      <c r="N101" s="30">
        <f t="shared" si="31"/>
        <v>56</v>
      </c>
      <c r="O101" s="30">
        <f t="shared" si="31"/>
        <v>71.5</v>
      </c>
      <c r="P101" s="30">
        <f t="shared" si="31"/>
        <v>84</v>
      </c>
      <c r="Q101" s="30">
        <f t="shared" si="31"/>
        <v>636.5</v>
      </c>
      <c r="R101" s="30">
        <f t="shared" si="31"/>
        <v>57.86363636363636</v>
      </c>
      <c r="S101" s="30">
        <f>'10B Sem avr'!$H$35</f>
        <v>49</v>
      </c>
      <c r="T101" s="45">
        <f>AVERAGE(T99:T100)</f>
        <v>0</v>
      </c>
      <c r="U101" s="45">
        <f>AVERAGE(U99:U100)</f>
        <v>0</v>
      </c>
      <c r="V101" s="6"/>
      <c r="W101" s="6"/>
      <c r="X101" s="6"/>
      <c r="Y101" s="6"/>
      <c r="Z101" s="6"/>
    </row>
    <row r="102" spans="1:26" ht="17.25" customHeight="1" x14ac:dyDescent="0.25">
      <c r="A102" s="295">
        <v>33</v>
      </c>
      <c r="B102" s="293"/>
      <c r="C102" s="323">
        <v>16</v>
      </c>
      <c r="D102" s="323" t="s">
        <v>23</v>
      </c>
      <c r="E102" s="29" t="s">
        <v>21</v>
      </c>
      <c r="F102" s="30">
        <f>'10B Sem 1'!E36</f>
        <v>67</v>
      </c>
      <c r="G102" s="30">
        <f>'10B Sem 1'!F36</f>
        <v>60</v>
      </c>
      <c r="H102" s="31">
        <f>'10B Sem 1'!G36</f>
        <v>40</v>
      </c>
      <c r="I102" s="30">
        <f>'10B Sem 1'!H36</f>
        <v>57</v>
      </c>
      <c r="J102" s="30">
        <f>'10B Sem 1'!I36</f>
        <v>51</v>
      </c>
      <c r="K102" s="30">
        <f>'10B Sem 1'!J36</f>
        <v>51</v>
      </c>
      <c r="L102" s="30">
        <f>'10B Sem 1'!K36</f>
        <v>53</v>
      </c>
      <c r="M102" s="30">
        <f>'10B Sem 1'!L36</f>
        <v>60</v>
      </c>
      <c r="N102" s="30">
        <f>'10B Sem 1'!M36</f>
        <v>58</v>
      </c>
      <c r="O102" s="30">
        <f>'10B Sem 1'!N36</f>
        <v>69</v>
      </c>
      <c r="P102" s="30">
        <f>'10B Sem 1'!O36</f>
        <v>86</v>
      </c>
      <c r="Q102" s="30">
        <f>'10B Sem 1'!P36</f>
        <v>652</v>
      </c>
      <c r="R102" s="30">
        <f>'10B Sem 1'!Q36</f>
        <v>59.272727272727273</v>
      </c>
      <c r="S102" s="30">
        <f>'10B Sem 1'!R36</f>
        <v>48</v>
      </c>
      <c r="T102" s="30">
        <f>'10B Sem 1'!S36</f>
        <v>0</v>
      </c>
      <c r="U102" s="30">
        <f>'10B Sem 1'!T36</f>
        <v>0</v>
      </c>
      <c r="V102" s="6"/>
      <c r="W102" s="6"/>
      <c r="X102" s="6"/>
      <c r="Y102" s="6"/>
      <c r="Z102" s="6"/>
    </row>
    <row r="103" spans="1:26" ht="17.25" customHeight="1" x14ac:dyDescent="0.25">
      <c r="A103" s="295"/>
      <c r="B103" s="293"/>
      <c r="C103" s="324">
        <v>16</v>
      </c>
      <c r="D103" s="324" t="s">
        <v>23</v>
      </c>
      <c r="E103" s="29" t="s">
        <v>22</v>
      </c>
      <c r="F103" s="30">
        <f>'10B Sem 2'!E36</f>
        <v>72</v>
      </c>
      <c r="G103" s="30">
        <f>'10B Sem 2'!F36</f>
        <v>68</v>
      </c>
      <c r="H103" s="31">
        <f>'10B Sem 2'!G36</f>
        <v>37</v>
      </c>
      <c r="I103" s="30">
        <f>'10B Sem 2'!H36</f>
        <v>42</v>
      </c>
      <c r="J103" s="30">
        <f>'10B Sem 2'!I36</f>
        <v>51</v>
      </c>
      <c r="K103" s="30">
        <f>'10B Sem 2'!J36</f>
        <v>55</v>
      </c>
      <c r="L103" s="30">
        <f>'10B Sem 2'!K36</f>
        <v>60</v>
      </c>
      <c r="M103" s="30">
        <f>'10B Sem 2'!L36</f>
        <v>58</v>
      </c>
      <c r="N103" s="30">
        <f>'10B Sem 2'!M36</f>
        <v>67</v>
      </c>
      <c r="O103" s="30">
        <f>'10B Sem 2'!N36</f>
        <v>79</v>
      </c>
      <c r="P103" s="30">
        <f>'10B Sem 2'!O36</f>
        <v>88</v>
      </c>
      <c r="Q103" s="30">
        <f>'10B Sem 2'!P36</f>
        <v>677</v>
      </c>
      <c r="R103" s="30">
        <f>'10B Sem 2'!Q36</f>
        <v>61.545454545454547</v>
      </c>
      <c r="S103" s="30">
        <f>'10B Sem 2'!R36</f>
        <v>39</v>
      </c>
      <c r="T103" s="30">
        <f>'10B Sem 2'!S36</f>
        <v>0</v>
      </c>
      <c r="U103" s="30">
        <f>'10B Sem 2'!T36</f>
        <v>0</v>
      </c>
      <c r="V103" s="6"/>
      <c r="W103" s="6"/>
      <c r="X103" s="6"/>
      <c r="Y103" s="6"/>
      <c r="Z103" s="6"/>
    </row>
    <row r="104" spans="1:26" ht="17.25" customHeight="1" x14ac:dyDescent="0.25">
      <c r="A104" s="295"/>
      <c r="B104" s="293"/>
      <c r="C104" s="325">
        <v>16</v>
      </c>
      <c r="D104" s="325" t="s">
        <v>23</v>
      </c>
      <c r="E104" s="29" t="s">
        <v>16</v>
      </c>
      <c r="F104" s="30">
        <f>AVERAGE(F102:F103)</f>
        <v>69.5</v>
      </c>
      <c r="G104" s="30">
        <f t="shared" ref="G104:R104" si="32">AVERAGE(G102:G103)</f>
        <v>64</v>
      </c>
      <c r="H104" s="30">
        <f t="shared" si="32"/>
        <v>38.5</v>
      </c>
      <c r="I104" s="30">
        <f t="shared" si="32"/>
        <v>49.5</v>
      </c>
      <c r="J104" s="30">
        <f t="shared" si="32"/>
        <v>51</v>
      </c>
      <c r="K104" s="30">
        <f t="shared" si="32"/>
        <v>53</v>
      </c>
      <c r="L104" s="30">
        <f t="shared" si="32"/>
        <v>56.5</v>
      </c>
      <c r="M104" s="30">
        <f t="shared" si="32"/>
        <v>59</v>
      </c>
      <c r="N104" s="30">
        <f t="shared" si="32"/>
        <v>62.5</v>
      </c>
      <c r="O104" s="30">
        <f t="shared" si="32"/>
        <v>74</v>
      </c>
      <c r="P104" s="30">
        <f t="shared" si="32"/>
        <v>87</v>
      </c>
      <c r="Q104" s="30">
        <f t="shared" si="32"/>
        <v>664.5</v>
      </c>
      <c r="R104" s="30">
        <f t="shared" si="32"/>
        <v>60.409090909090907</v>
      </c>
      <c r="S104" s="30">
        <f>'10B Sem avr'!$H$36</f>
        <v>44</v>
      </c>
      <c r="T104" s="45">
        <f>AVERAGE(T102:T103)</f>
        <v>0</v>
      </c>
      <c r="U104" s="45">
        <f>AVERAGE(U102:U103)</f>
        <v>0</v>
      </c>
      <c r="V104" s="6"/>
      <c r="W104" s="6"/>
      <c r="X104" s="6"/>
      <c r="Y104" s="6"/>
      <c r="Z104" s="6"/>
    </row>
    <row r="105" spans="1:26" ht="17.25" customHeight="1" x14ac:dyDescent="0.25">
      <c r="A105" s="292">
        <v>34</v>
      </c>
      <c r="B105" s="296"/>
      <c r="C105" s="294">
        <v>15</v>
      </c>
      <c r="D105" s="294" t="s">
        <v>23</v>
      </c>
      <c r="E105" s="29" t="s">
        <v>21</v>
      </c>
      <c r="F105" s="30">
        <f>'10B Sem 1'!E37</f>
        <v>83</v>
      </c>
      <c r="G105" s="30">
        <f>'10B Sem 1'!F37</f>
        <v>68</v>
      </c>
      <c r="H105" s="30">
        <f>'10B Sem 1'!G37</f>
        <v>66</v>
      </c>
      <c r="I105" s="30">
        <f>'10B Sem 1'!H37</f>
        <v>70</v>
      </c>
      <c r="J105" s="30">
        <f>'10B Sem 1'!I37</f>
        <v>57</v>
      </c>
      <c r="K105" s="30">
        <f>'10B Sem 1'!J37</f>
        <v>58</v>
      </c>
      <c r="L105" s="30">
        <f>'10B Sem 1'!K37</f>
        <v>70</v>
      </c>
      <c r="M105" s="30">
        <f>'10B Sem 1'!L37</f>
        <v>60</v>
      </c>
      <c r="N105" s="30">
        <f>'10B Sem 1'!M37</f>
        <v>75</v>
      </c>
      <c r="O105" s="30">
        <f>'10B Sem 1'!N37</f>
        <v>95</v>
      </c>
      <c r="P105" s="30">
        <f>'10B Sem 1'!O37</f>
        <v>91</v>
      </c>
      <c r="Q105" s="30">
        <f>'10B Sem 1'!P37</f>
        <v>793</v>
      </c>
      <c r="R105" s="30">
        <f>'10B Sem 1'!Q37</f>
        <v>72.090909090909093</v>
      </c>
      <c r="S105" s="30">
        <f>'10B Sem 1'!R37</f>
        <v>27</v>
      </c>
      <c r="T105" s="30">
        <f>'10B Sem 1'!S37</f>
        <v>0</v>
      </c>
      <c r="U105" s="30">
        <f>'10B Sem 1'!T37</f>
        <v>0</v>
      </c>
      <c r="V105" s="6"/>
      <c r="W105" s="6"/>
      <c r="X105" s="6"/>
      <c r="Y105" s="6"/>
      <c r="Z105" s="6"/>
    </row>
    <row r="106" spans="1:26" ht="17.25" customHeight="1" x14ac:dyDescent="0.25">
      <c r="A106" s="292"/>
      <c r="B106" s="296"/>
      <c r="C106" s="294">
        <v>15</v>
      </c>
      <c r="D106" s="294" t="s">
        <v>23</v>
      </c>
      <c r="E106" s="29" t="s">
        <v>22</v>
      </c>
      <c r="F106" s="30">
        <f>'10B Sem 2'!E37</f>
        <v>85</v>
      </c>
      <c r="G106" s="30">
        <f>'10B Sem 2'!F37</f>
        <v>71</v>
      </c>
      <c r="H106" s="30">
        <f>'10B Sem 2'!G37</f>
        <v>63</v>
      </c>
      <c r="I106" s="30">
        <f>'10B Sem 2'!H37</f>
        <v>65</v>
      </c>
      <c r="J106" s="30">
        <f>'10B Sem 2'!I37</f>
        <v>72</v>
      </c>
      <c r="K106" s="30">
        <f>'10B Sem 2'!J37</f>
        <v>77</v>
      </c>
      <c r="L106" s="30">
        <f>'10B Sem 2'!K37</f>
        <v>85</v>
      </c>
      <c r="M106" s="30">
        <f>'10B Sem 2'!L37</f>
        <v>67</v>
      </c>
      <c r="N106" s="30">
        <f>'10B Sem 2'!M37</f>
        <v>93</v>
      </c>
      <c r="O106" s="30">
        <f>'10B Sem 2'!N37</f>
        <v>94</v>
      </c>
      <c r="P106" s="30">
        <f>'10B Sem 2'!O37</f>
        <v>97</v>
      </c>
      <c r="Q106" s="30">
        <f>'10B Sem 2'!P37</f>
        <v>869</v>
      </c>
      <c r="R106" s="30">
        <f>'10B Sem 2'!Q37</f>
        <v>79</v>
      </c>
      <c r="S106" s="30">
        <f>'10B Sem 2'!R37</f>
        <v>20</v>
      </c>
      <c r="T106" s="30">
        <f>'10B Sem 2'!S37</f>
        <v>0</v>
      </c>
      <c r="U106" s="30">
        <f>'10B Sem 2'!T37</f>
        <v>0</v>
      </c>
      <c r="V106" s="6"/>
      <c r="W106" s="6"/>
      <c r="X106" s="6"/>
      <c r="Y106" s="6"/>
      <c r="Z106" s="6"/>
    </row>
    <row r="107" spans="1:26" ht="17.25" customHeight="1" x14ac:dyDescent="0.25">
      <c r="A107" s="292"/>
      <c r="B107" s="296"/>
      <c r="C107" s="294">
        <v>15</v>
      </c>
      <c r="D107" s="294" t="s">
        <v>23</v>
      </c>
      <c r="E107" s="29" t="s">
        <v>16</v>
      </c>
      <c r="F107" s="30">
        <f>AVERAGE(F105:F106)</f>
        <v>84</v>
      </c>
      <c r="G107" s="30">
        <f t="shared" ref="G107:R107" si="33">AVERAGE(G105:G106)</f>
        <v>69.5</v>
      </c>
      <c r="H107" s="30">
        <f t="shared" si="33"/>
        <v>64.5</v>
      </c>
      <c r="I107" s="30">
        <f t="shared" si="33"/>
        <v>67.5</v>
      </c>
      <c r="J107" s="30">
        <f t="shared" si="33"/>
        <v>64.5</v>
      </c>
      <c r="K107" s="30">
        <f t="shared" si="33"/>
        <v>67.5</v>
      </c>
      <c r="L107" s="30">
        <f t="shared" si="33"/>
        <v>77.5</v>
      </c>
      <c r="M107" s="30">
        <f t="shared" si="33"/>
        <v>63.5</v>
      </c>
      <c r="N107" s="30">
        <f t="shared" si="33"/>
        <v>84</v>
      </c>
      <c r="O107" s="30">
        <f t="shared" si="33"/>
        <v>94.5</v>
      </c>
      <c r="P107" s="30">
        <f t="shared" si="33"/>
        <v>94</v>
      </c>
      <c r="Q107" s="30">
        <f t="shared" si="33"/>
        <v>831</v>
      </c>
      <c r="R107" s="30">
        <f t="shared" si="33"/>
        <v>75.545454545454547</v>
      </c>
      <c r="S107" s="30">
        <f>'10B Sem avr'!$H$37</f>
        <v>22</v>
      </c>
      <c r="T107" s="45">
        <f>AVERAGE(T105:T106)</f>
        <v>0</v>
      </c>
      <c r="U107" s="45">
        <f>AVERAGE(U105:U106)</f>
        <v>0</v>
      </c>
      <c r="V107" s="6"/>
      <c r="W107" s="6"/>
      <c r="X107" s="6"/>
      <c r="Y107" s="6"/>
      <c r="Z107" s="6"/>
    </row>
    <row r="108" spans="1:26" ht="17.25" customHeight="1" x14ac:dyDescent="0.25">
      <c r="A108" s="292">
        <v>35</v>
      </c>
      <c r="B108" s="293"/>
      <c r="C108" s="294">
        <v>15</v>
      </c>
      <c r="D108" s="294" t="s">
        <v>20</v>
      </c>
      <c r="E108" s="29" t="s">
        <v>21</v>
      </c>
      <c r="F108" s="30">
        <f>'10B Sem 1'!E38</f>
        <v>78</v>
      </c>
      <c r="G108" s="30">
        <f>'10B Sem 1'!F38</f>
        <v>76</v>
      </c>
      <c r="H108" s="30">
        <f>'10B Sem 1'!G38</f>
        <v>70</v>
      </c>
      <c r="I108" s="30">
        <f>'10B Sem 1'!H38</f>
        <v>68</v>
      </c>
      <c r="J108" s="30">
        <f>'10B Sem 1'!I38</f>
        <v>63</v>
      </c>
      <c r="K108" s="30">
        <f>'10B Sem 1'!J38</f>
        <v>65</v>
      </c>
      <c r="L108" s="30">
        <f>'10B Sem 1'!K38</f>
        <v>68</v>
      </c>
      <c r="M108" s="30">
        <f>'10B Sem 1'!L38</f>
        <v>73</v>
      </c>
      <c r="N108" s="30">
        <f>'10B Sem 1'!M38</f>
        <v>78</v>
      </c>
      <c r="O108" s="30">
        <f>'10B Sem 1'!N38</f>
        <v>88</v>
      </c>
      <c r="P108" s="30">
        <f>'10B Sem 1'!O38</f>
        <v>86</v>
      </c>
      <c r="Q108" s="30">
        <f>'10B Sem 1'!P38</f>
        <v>813</v>
      </c>
      <c r="R108" s="30">
        <f>'10B Sem 1'!Q38</f>
        <v>73.909090909090907</v>
      </c>
      <c r="S108" s="30">
        <f>'10B Sem 1'!R38</f>
        <v>24</v>
      </c>
      <c r="T108" s="30">
        <f>'10B Sem 1'!S38</f>
        <v>0</v>
      </c>
      <c r="U108" s="30">
        <f>'10B Sem 1'!T38</f>
        <v>0</v>
      </c>
      <c r="V108" s="6"/>
      <c r="W108" s="6"/>
      <c r="X108" s="6"/>
      <c r="Y108" s="6"/>
      <c r="Z108" s="6"/>
    </row>
    <row r="109" spans="1:26" ht="17.25" customHeight="1" x14ac:dyDescent="0.25">
      <c r="A109" s="292"/>
      <c r="B109" s="293"/>
      <c r="C109" s="294">
        <v>15</v>
      </c>
      <c r="D109" s="294" t="s">
        <v>20</v>
      </c>
      <c r="E109" s="29" t="s">
        <v>22</v>
      </c>
      <c r="F109" s="30">
        <f>'10B Sem 2'!E38</f>
        <v>77</v>
      </c>
      <c r="G109" s="30">
        <f>'10B Sem 2'!F38</f>
        <v>75</v>
      </c>
      <c r="H109" s="30">
        <f>'10B Sem 2'!G38</f>
        <v>58</v>
      </c>
      <c r="I109" s="30">
        <f>'10B Sem 2'!H38</f>
        <v>58</v>
      </c>
      <c r="J109" s="30">
        <f>'10B Sem 2'!I38</f>
        <v>59</v>
      </c>
      <c r="K109" s="30">
        <f>'10B Sem 2'!J38</f>
        <v>66</v>
      </c>
      <c r="L109" s="30">
        <f>'10B Sem 2'!K38</f>
        <v>73</v>
      </c>
      <c r="M109" s="30">
        <f>'10B Sem 2'!L38</f>
        <v>66</v>
      </c>
      <c r="N109" s="30">
        <f>'10B Sem 2'!M38</f>
        <v>89</v>
      </c>
      <c r="O109" s="30">
        <f>'10B Sem 2'!N38</f>
        <v>91</v>
      </c>
      <c r="P109" s="30">
        <f>'10B Sem 2'!O38</f>
        <v>87</v>
      </c>
      <c r="Q109" s="30">
        <f>'10B Sem 2'!P38</f>
        <v>799</v>
      </c>
      <c r="R109" s="30">
        <f>'10B Sem 2'!Q38</f>
        <v>72.63636363636364</v>
      </c>
      <c r="S109" s="30">
        <f>'10B Sem 2'!R38</f>
        <v>27</v>
      </c>
      <c r="T109" s="30">
        <f>'10B Sem 2'!S38</f>
        <v>0</v>
      </c>
      <c r="U109" s="30">
        <f>'10B Sem 2'!T38</f>
        <v>0</v>
      </c>
      <c r="V109" s="6"/>
      <c r="W109" s="6"/>
      <c r="X109" s="6"/>
      <c r="Y109" s="6"/>
      <c r="Z109" s="6"/>
    </row>
    <row r="110" spans="1:26" ht="17.25" customHeight="1" x14ac:dyDescent="0.25">
      <c r="A110" s="292"/>
      <c r="B110" s="293"/>
      <c r="C110" s="294">
        <v>15</v>
      </c>
      <c r="D110" s="294" t="s">
        <v>20</v>
      </c>
      <c r="E110" s="29" t="s">
        <v>16</v>
      </c>
      <c r="F110" s="30">
        <f>AVERAGE(F108:F109)</f>
        <v>77.5</v>
      </c>
      <c r="G110" s="30">
        <f t="shared" ref="G110:R110" si="34">AVERAGE(G108:G109)</f>
        <v>75.5</v>
      </c>
      <c r="H110" s="30">
        <f t="shared" si="34"/>
        <v>64</v>
      </c>
      <c r="I110" s="30">
        <f t="shared" si="34"/>
        <v>63</v>
      </c>
      <c r="J110" s="30">
        <f t="shared" si="34"/>
        <v>61</v>
      </c>
      <c r="K110" s="30">
        <f t="shared" si="34"/>
        <v>65.5</v>
      </c>
      <c r="L110" s="30">
        <f t="shared" si="34"/>
        <v>70.5</v>
      </c>
      <c r="M110" s="30">
        <f t="shared" si="34"/>
        <v>69.5</v>
      </c>
      <c r="N110" s="30">
        <f t="shared" si="34"/>
        <v>83.5</v>
      </c>
      <c r="O110" s="30">
        <f t="shared" si="34"/>
        <v>89.5</v>
      </c>
      <c r="P110" s="30">
        <f t="shared" si="34"/>
        <v>86.5</v>
      </c>
      <c r="Q110" s="30">
        <f t="shared" si="34"/>
        <v>806</v>
      </c>
      <c r="R110" s="30">
        <f t="shared" si="34"/>
        <v>73.27272727272728</v>
      </c>
      <c r="S110" s="30">
        <f>'10B Sem avr'!$H$38</f>
        <v>27</v>
      </c>
      <c r="T110" s="45">
        <f>AVERAGE(T108:T109)</f>
        <v>0</v>
      </c>
      <c r="U110" s="45">
        <f>AVERAGE(U108:U109)</f>
        <v>0</v>
      </c>
      <c r="V110" s="6"/>
      <c r="W110" s="6"/>
      <c r="X110" s="6"/>
      <c r="Y110" s="6"/>
      <c r="Z110" s="6"/>
    </row>
    <row r="111" spans="1:26" ht="17.25" customHeight="1" x14ac:dyDescent="0.25">
      <c r="A111" s="292">
        <v>36</v>
      </c>
      <c r="B111" s="293"/>
      <c r="C111" s="294">
        <v>15</v>
      </c>
      <c r="D111" s="294" t="s">
        <v>23</v>
      </c>
      <c r="E111" s="29" t="s">
        <v>21</v>
      </c>
      <c r="F111" s="30">
        <f>'10B Sem 1'!E39</f>
        <v>72</v>
      </c>
      <c r="G111" s="30">
        <f>'10B Sem 1'!F39</f>
        <v>41</v>
      </c>
      <c r="H111" s="31">
        <f>'10B Sem 1'!G39</f>
        <v>36</v>
      </c>
      <c r="I111" s="30">
        <f>'10B Sem 1'!H39</f>
        <v>55</v>
      </c>
      <c r="J111" s="30">
        <f>'10B Sem 1'!I39</f>
        <v>50</v>
      </c>
      <c r="K111" s="30">
        <f>'10B Sem 1'!J39</f>
        <v>44</v>
      </c>
      <c r="L111" s="30">
        <f>'10B Sem 1'!K39</f>
        <v>46</v>
      </c>
      <c r="M111" s="30">
        <f>'10B Sem 1'!L39</f>
        <v>60</v>
      </c>
      <c r="N111" s="30">
        <f>'10B Sem 1'!M39</f>
        <v>49</v>
      </c>
      <c r="O111" s="30">
        <f>'10B Sem 1'!N39</f>
        <v>62</v>
      </c>
      <c r="P111" s="30">
        <f>'10B Sem 1'!O39</f>
        <v>80</v>
      </c>
      <c r="Q111" s="30">
        <f>'10B Sem 1'!P39</f>
        <v>595</v>
      </c>
      <c r="R111" s="30">
        <f>'10B Sem 1'!Q39</f>
        <v>54.090909090909093</v>
      </c>
      <c r="S111" s="30">
        <f>'10B Sem 1'!R39</f>
        <v>52</v>
      </c>
      <c r="T111" s="30">
        <f>'10B Sem 1'!S39</f>
        <v>0</v>
      </c>
      <c r="U111" s="30">
        <f>'10B Sem 1'!T39</f>
        <v>0</v>
      </c>
      <c r="V111" s="6"/>
      <c r="W111" s="6"/>
      <c r="X111" s="6"/>
      <c r="Y111" s="6"/>
      <c r="Z111" s="6"/>
    </row>
    <row r="112" spans="1:26" ht="17.25" customHeight="1" x14ac:dyDescent="0.25">
      <c r="A112" s="292"/>
      <c r="B112" s="293"/>
      <c r="C112" s="294">
        <v>15</v>
      </c>
      <c r="D112" s="294" t="s">
        <v>23</v>
      </c>
      <c r="E112" s="29" t="s">
        <v>22</v>
      </c>
      <c r="F112" s="30">
        <f>'10B Sem 2'!E39</f>
        <v>71</v>
      </c>
      <c r="G112" s="30">
        <f>'10B Sem 2'!F39</f>
        <v>49</v>
      </c>
      <c r="H112" s="31">
        <f>'10B Sem 2'!G39</f>
        <v>38</v>
      </c>
      <c r="I112" s="30">
        <f>'10B Sem 2'!H39</f>
        <v>48</v>
      </c>
      <c r="J112" s="30">
        <f>'10B Sem 2'!I39</f>
        <v>53</v>
      </c>
      <c r="K112" s="30">
        <f>'10B Sem 2'!J39</f>
        <v>44</v>
      </c>
      <c r="L112" s="30">
        <f>'10B Sem 2'!K39</f>
        <v>50</v>
      </c>
      <c r="M112" s="30">
        <f>'10B Sem 2'!L39</f>
        <v>50</v>
      </c>
      <c r="N112" s="30">
        <f>'10B Sem 2'!M39</f>
        <v>62</v>
      </c>
      <c r="O112" s="30">
        <f>'10B Sem 2'!N39</f>
        <v>78</v>
      </c>
      <c r="P112" s="30">
        <f>'10B Sem 2'!O39</f>
        <v>75</v>
      </c>
      <c r="Q112" s="30">
        <f>'10B Sem 2'!P39</f>
        <v>618</v>
      </c>
      <c r="R112" s="30">
        <f>'10B Sem 2'!Q39</f>
        <v>56.18181818181818</v>
      </c>
      <c r="S112" s="30">
        <f>'10B Sem 2'!R39</f>
        <v>51</v>
      </c>
      <c r="T112" s="30">
        <f>'10B Sem 2'!S39</f>
        <v>0</v>
      </c>
      <c r="U112" s="30">
        <f>'10B Sem 2'!T39</f>
        <v>0</v>
      </c>
      <c r="V112" s="6"/>
      <c r="W112" s="6"/>
      <c r="X112" s="6"/>
      <c r="Y112" s="6"/>
      <c r="Z112" s="6"/>
    </row>
    <row r="113" spans="1:26" ht="17.25" customHeight="1" x14ac:dyDescent="0.25">
      <c r="A113" s="292"/>
      <c r="B113" s="293"/>
      <c r="C113" s="294">
        <v>15</v>
      </c>
      <c r="D113" s="294" t="s">
        <v>23</v>
      </c>
      <c r="E113" s="29" t="s">
        <v>16</v>
      </c>
      <c r="F113" s="30">
        <f>AVERAGE(F111:F112)</f>
        <v>71.5</v>
      </c>
      <c r="G113" s="30">
        <f t="shared" ref="G113:R113" si="35">AVERAGE(G111:G112)</f>
        <v>45</v>
      </c>
      <c r="H113" s="30">
        <f t="shared" si="35"/>
        <v>37</v>
      </c>
      <c r="I113" s="30">
        <f t="shared" si="35"/>
        <v>51.5</v>
      </c>
      <c r="J113" s="30">
        <f t="shared" si="35"/>
        <v>51.5</v>
      </c>
      <c r="K113" s="30">
        <f t="shared" si="35"/>
        <v>44</v>
      </c>
      <c r="L113" s="30">
        <f t="shared" si="35"/>
        <v>48</v>
      </c>
      <c r="M113" s="30">
        <f t="shared" si="35"/>
        <v>55</v>
      </c>
      <c r="N113" s="30">
        <f t="shared" si="35"/>
        <v>55.5</v>
      </c>
      <c r="O113" s="30">
        <f t="shared" si="35"/>
        <v>70</v>
      </c>
      <c r="P113" s="30">
        <f t="shared" si="35"/>
        <v>77.5</v>
      </c>
      <c r="Q113" s="30">
        <f t="shared" si="35"/>
        <v>606.5</v>
      </c>
      <c r="R113" s="30">
        <f t="shared" si="35"/>
        <v>55.13636363636364</v>
      </c>
      <c r="S113" s="30">
        <f>'10B Sem avr'!$H$39</f>
        <v>52</v>
      </c>
      <c r="T113" s="45">
        <f>AVERAGE(T111:T112)</f>
        <v>0</v>
      </c>
      <c r="U113" s="45">
        <f>AVERAGE(U111:U112)</f>
        <v>0</v>
      </c>
      <c r="V113" s="6"/>
      <c r="W113" s="6"/>
      <c r="X113" s="6"/>
      <c r="Y113" s="6"/>
      <c r="Z113" s="6"/>
    </row>
    <row r="114" spans="1:26" ht="17.25" customHeight="1" x14ac:dyDescent="0.25">
      <c r="A114" s="295">
        <v>37</v>
      </c>
      <c r="B114" s="293"/>
      <c r="C114" s="294">
        <v>16</v>
      </c>
      <c r="D114" s="294" t="s">
        <v>23</v>
      </c>
      <c r="E114" s="29" t="s">
        <v>21</v>
      </c>
      <c r="F114" s="30">
        <f>'10B Sem 1'!E40</f>
        <v>87</v>
      </c>
      <c r="G114" s="30">
        <f>'10B Sem 1'!F40</f>
        <v>66</v>
      </c>
      <c r="H114" s="30">
        <f>'10B Sem 1'!G40</f>
        <v>77</v>
      </c>
      <c r="I114" s="30">
        <f>'10B Sem 1'!H40</f>
        <v>69</v>
      </c>
      <c r="J114" s="30">
        <f>'10B Sem 1'!I40</f>
        <v>58</v>
      </c>
      <c r="K114" s="30">
        <f>'10B Sem 1'!J40</f>
        <v>67</v>
      </c>
      <c r="L114" s="30">
        <f>'10B Sem 1'!K40</f>
        <v>57</v>
      </c>
      <c r="M114" s="30">
        <f>'10B Sem 1'!L40</f>
        <v>66</v>
      </c>
      <c r="N114" s="30">
        <f>'10B Sem 1'!M40</f>
        <v>62</v>
      </c>
      <c r="O114" s="30">
        <f>'10B Sem 1'!N40</f>
        <v>93</v>
      </c>
      <c r="P114" s="30">
        <f>'10B Sem 1'!O40</f>
        <v>91</v>
      </c>
      <c r="Q114" s="30">
        <f>'10B Sem 1'!P40</f>
        <v>793</v>
      </c>
      <c r="R114" s="30">
        <f>'10B Sem 1'!Q40</f>
        <v>72.090909090909093</v>
      </c>
      <c r="S114" s="30">
        <f>'10B Sem 1'!R40</f>
        <v>27</v>
      </c>
      <c r="T114" s="30">
        <f>'10B Sem 1'!S40</f>
        <v>0</v>
      </c>
      <c r="U114" s="30">
        <f>'10B Sem 1'!T40</f>
        <v>0</v>
      </c>
      <c r="V114" s="6"/>
      <c r="W114" s="6"/>
      <c r="X114" s="6"/>
      <c r="Y114" s="6"/>
      <c r="Z114" s="6"/>
    </row>
    <row r="115" spans="1:26" ht="17.25" customHeight="1" x14ac:dyDescent="0.25">
      <c r="A115" s="295"/>
      <c r="B115" s="293"/>
      <c r="C115" s="294">
        <v>16</v>
      </c>
      <c r="D115" s="294" t="s">
        <v>23</v>
      </c>
      <c r="E115" s="29" t="s">
        <v>22</v>
      </c>
      <c r="F115" s="30">
        <f>'10B Sem 2'!E40</f>
        <v>84</v>
      </c>
      <c r="G115" s="30">
        <f>'10B Sem 2'!F40</f>
        <v>65</v>
      </c>
      <c r="H115" s="30">
        <f>'10B Sem 2'!G40</f>
        <v>78</v>
      </c>
      <c r="I115" s="30">
        <f>'10B Sem 2'!H40</f>
        <v>56</v>
      </c>
      <c r="J115" s="30">
        <f>'10B Sem 2'!I40</f>
        <v>52</v>
      </c>
      <c r="K115" s="30">
        <f>'10B Sem 2'!J40</f>
        <v>59</v>
      </c>
      <c r="L115" s="30">
        <f>'10B Sem 2'!K40</f>
        <v>68</v>
      </c>
      <c r="M115" s="30">
        <f>'10B Sem 2'!L40</f>
        <v>61</v>
      </c>
      <c r="N115" s="30">
        <f>'10B Sem 2'!M40</f>
        <v>66</v>
      </c>
      <c r="O115" s="30">
        <f>'10B Sem 2'!N40</f>
        <v>81</v>
      </c>
      <c r="P115" s="30">
        <f>'10B Sem 2'!O40</f>
        <v>88</v>
      </c>
      <c r="Q115" s="30">
        <f>'10B Sem 2'!P40</f>
        <v>758</v>
      </c>
      <c r="R115" s="30">
        <f>'10B Sem 2'!Q40</f>
        <v>68.909090909090907</v>
      </c>
      <c r="S115" s="30">
        <f>'10B Sem 2'!R40</f>
        <v>31</v>
      </c>
      <c r="T115" s="30">
        <f>'10B Sem 2'!S40</f>
        <v>0</v>
      </c>
      <c r="U115" s="30">
        <f>'10B Sem 2'!T40</f>
        <v>0</v>
      </c>
      <c r="V115" s="6"/>
      <c r="W115" s="6"/>
      <c r="X115" s="6"/>
      <c r="Y115" s="6"/>
      <c r="Z115" s="6"/>
    </row>
    <row r="116" spans="1:26" ht="17.25" customHeight="1" x14ac:dyDescent="0.25">
      <c r="A116" s="295"/>
      <c r="B116" s="293"/>
      <c r="C116" s="294">
        <v>16</v>
      </c>
      <c r="D116" s="294" t="s">
        <v>23</v>
      </c>
      <c r="E116" s="29" t="s">
        <v>16</v>
      </c>
      <c r="F116" s="30">
        <f>AVERAGE(F114:F115)</f>
        <v>85.5</v>
      </c>
      <c r="G116" s="30">
        <f t="shared" ref="G116:R116" si="36">AVERAGE(G114:G115)</f>
        <v>65.5</v>
      </c>
      <c r="H116" s="30">
        <f t="shared" si="36"/>
        <v>77.5</v>
      </c>
      <c r="I116" s="30">
        <f t="shared" si="36"/>
        <v>62.5</v>
      </c>
      <c r="J116" s="30">
        <f t="shared" si="36"/>
        <v>55</v>
      </c>
      <c r="K116" s="30">
        <f t="shared" si="36"/>
        <v>63</v>
      </c>
      <c r="L116" s="30">
        <f t="shared" si="36"/>
        <v>62.5</v>
      </c>
      <c r="M116" s="30">
        <f t="shared" si="36"/>
        <v>63.5</v>
      </c>
      <c r="N116" s="30">
        <f t="shared" si="36"/>
        <v>64</v>
      </c>
      <c r="O116" s="30">
        <f t="shared" si="36"/>
        <v>87</v>
      </c>
      <c r="P116" s="30">
        <f t="shared" si="36"/>
        <v>89.5</v>
      </c>
      <c r="Q116" s="30">
        <f t="shared" si="36"/>
        <v>775.5</v>
      </c>
      <c r="R116" s="30">
        <f t="shared" si="36"/>
        <v>70.5</v>
      </c>
      <c r="S116" s="30">
        <f>'10B Sem avr'!$H$40</f>
        <v>30</v>
      </c>
      <c r="T116" s="45">
        <f>AVERAGE(T114:T115)</f>
        <v>0</v>
      </c>
      <c r="U116" s="45">
        <f>AVERAGE(U114:U115)</f>
        <v>0</v>
      </c>
      <c r="V116" s="6"/>
      <c r="W116" s="6"/>
      <c r="X116" s="6"/>
      <c r="Y116" s="6"/>
      <c r="Z116" s="6"/>
    </row>
    <row r="117" spans="1:26" ht="17.25" customHeight="1" x14ac:dyDescent="0.25">
      <c r="A117" s="295">
        <v>38</v>
      </c>
      <c r="B117" s="293"/>
      <c r="C117" s="294">
        <v>17</v>
      </c>
      <c r="D117" s="294" t="s">
        <v>20</v>
      </c>
      <c r="E117" s="29" t="s">
        <v>21</v>
      </c>
      <c r="F117" s="30">
        <f>'10B Sem 1'!E41</f>
        <v>74</v>
      </c>
      <c r="G117" s="30">
        <f>'10B Sem 1'!F41</f>
        <v>59</v>
      </c>
      <c r="H117" s="30">
        <f>'10B Sem 1'!G41</f>
        <v>56</v>
      </c>
      <c r="I117" s="30">
        <f>'10B Sem 1'!H41</f>
        <v>55</v>
      </c>
      <c r="J117" s="30">
        <f>'10B Sem 1'!I41</f>
        <v>63</v>
      </c>
      <c r="K117" s="30">
        <f>'10B Sem 1'!J41</f>
        <v>65</v>
      </c>
      <c r="L117" s="30">
        <f>'10B Sem 1'!K41</f>
        <v>61</v>
      </c>
      <c r="M117" s="30">
        <f>'10B Sem 1'!L41</f>
        <v>74</v>
      </c>
      <c r="N117" s="30">
        <f>'10B Sem 1'!M41</f>
        <v>63</v>
      </c>
      <c r="O117" s="30">
        <f>'10B Sem 1'!N41</f>
        <v>68</v>
      </c>
      <c r="P117" s="30">
        <f>'10B Sem 1'!O41</f>
        <v>96</v>
      </c>
      <c r="Q117" s="30">
        <f>'10B Sem 1'!P41</f>
        <v>734</v>
      </c>
      <c r="R117" s="30">
        <f>'10B Sem 1'!Q41</f>
        <v>66.727272727272734</v>
      </c>
      <c r="S117" s="30">
        <f>'10B Sem 1'!R41</f>
        <v>35</v>
      </c>
      <c r="T117" s="30">
        <f>'10B Sem 1'!S41</f>
        <v>0</v>
      </c>
      <c r="U117" s="30">
        <f>'10B Sem 1'!T41</f>
        <v>0</v>
      </c>
      <c r="V117" s="6"/>
      <c r="W117" s="6"/>
      <c r="X117" s="6"/>
      <c r="Y117" s="6"/>
      <c r="Z117" s="6"/>
    </row>
    <row r="118" spans="1:26" ht="17.25" customHeight="1" x14ac:dyDescent="0.25">
      <c r="A118" s="295"/>
      <c r="B118" s="293"/>
      <c r="C118" s="294">
        <v>17</v>
      </c>
      <c r="D118" s="294" t="s">
        <v>20</v>
      </c>
      <c r="E118" s="29" t="s">
        <v>22</v>
      </c>
      <c r="F118" s="30">
        <f>'10B Sem 2'!E41</f>
        <v>71</v>
      </c>
      <c r="G118" s="30">
        <f>'10B Sem 2'!F41</f>
        <v>59</v>
      </c>
      <c r="H118" s="30">
        <f>'10B Sem 2'!G41</f>
        <v>50</v>
      </c>
      <c r="I118" s="30">
        <f>'10B Sem 2'!H41</f>
        <v>61</v>
      </c>
      <c r="J118" s="30">
        <f>'10B Sem 2'!I41</f>
        <v>46</v>
      </c>
      <c r="K118" s="30">
        <f>'10B Sem 2'!J41</f>
        <v>66</v>
      </c>
      <c r="L118" s="30">
        <f>'10B Sem 2'!K41</f>
        <v>47</v>
      </c>
      <c r="M118" s="30">
        <f>'10B Sem 2'!L41</f>
        <v>44</v>
      </c>
      <c r="N118" s="30">
        <f>'10B Sem 2'!M41</f>
        <v>74</v>
      </c>
      <c r="O118" s="30">
        <f>'10B Sem 2'!N41</f>
        <v>64</v>
      </c>
      <c r="P118" s="30">
        <f>'10B Sem 2'!O41</f>
        <v>77</v>
      </c>
      <c r="Q118" s="30">
        <f>'10B Sem 2'!P41</f>
        <v>659</v>
      </c>
      <c r="R118" s="30">
        <f>'10B Sem 2'!Q41</f>
        <v>59.909090909090907</v>
      </c>
      <c r="S118" s="30">
        <f>'10B Sem 2'!R41</f>
        <v>45</v>
      </c>
      <c r="T118" s="30">
        <f>'10B Sem 2'!S41</f>
        <v>0</v>
      </c>
      <c r="U118" s="30">
        <f>'10B Sem 2'!T41</f>
        <v>0</v>
      </c>
      <c r="V118" s="6"/>
      <c r="W118" s="6"/>
      <c r="X118" s="6"/>
      <c r="Y118" s="6"/>
      <c r="Z118" s="6"/>
    </row>
    <row r="119" spans="1:26" ht="17.25" customHeight="1" x14ac:dyDescent="0.25">
      <c r="A119" s="295"/>
      <c r="B119" s="293"/>
      <c r="C119" s="294">
        <v>17</v>
      </c>
      <c r="D119" s="294" t="s">
        <v>20</v>
      </c>
      <c r="E119" s="29" t="s">
        <v>16</v>
      </c>
      <c r="F119" s="30">
        <f>AVERAGE(F117:F118)</f>
        <v>72.5</v>
      </c>
      <c r="G119" s="30">
        <f t="shared" ref="G119:R119" si="37">AVERAGE(G117:G118)</f>
        <v>59</v>
      </c>
      <c r="H119" s="30">
        <f t="shared" si="37"/>
        <v>53</v>
      </c>
      <c r="I119" s="30">
        <f t="shared" si="37"/>
        <v>58</v>
      </c>
      <c r="J119" s="30">
        <f t="shared" si="37"/>
        <v>54.5</v>
      </c>
      <c r="K119" s="30">
        <f t="shared" si="37"/>
        <v>65.5</v>
      </c>
      <c r="L119" s="30">
        <f t="shared" si="37"/>
        <v>54</v>
      </c>
      <c r="M119" s="30">
        <f t="shared" si="37"/>
        <v>59</v>
      </c>
      <c r="N119" s="30">
        <f t="shared" si="37"/>
        <v>68.5</v>
      </c>
      <c r="O119" s="30">
        <f t="shared" si="37"/>
        <v>66</v>
      </c>
      <c r="P119" s="30">
        <f t="shared" si="37"/>
        <v>86.5</v>
      </c>
      <c r="Q119" s="30">
        <f t="shared" si="37"/>
        <v>696.5</v>
      </c>
      <c r="R119" s="30">
        <f t="shared" si="37"/>
        <v>63.31818181818182</v>
      </c>
      <c r="S119" s="30">
        <f>'10B Sem avr'!$H$41</f>
        <v>37</v>
      </c>
      <c r="T119" s="45">
        <f>AVERAGE(T117:T118)</f>
        <v>0</v>
      </c>
      <c r="U119" s="45">
        <f>AVERAGE(U117:U118)</f>
        <v>0</v>
      </c>
      <c r="V119" s="6"/>
      <c r="W119" s="6"/>
      <c r="X119" s="6"/>
      <c r="Y119" s="6"/>
      <c r="Z119" s="6"/>
    </row>
    <row r="120" spans="1:26" ht="17.25" customHeight="1" x14ac:dyDescent="0.25">
      <c r="A120" s="292">
        <v>39</v>
      </c>
      <c r="B120" s="293"/>
      <c r="C120" s="294">
        <v>16</v>
      </c>
      <c r="D120" s="294" t="s">
        <v>20</v>
      </c>
      <c r="E120" s="29" t="s">
        <v>21</v>
      </c>
      <c r="F120" s="30">
        <f>'10B Sem 1'!E42</f>
        <v>70</v>
      </c>
      <c r="G120" s="30">
        <f>'10B Sem 1'!F42</f>
        <v>55</v>
      </c>
      <c r="H120" s="31">
        <f>'10B Sem 1'!G42</f>
        <v>47</v>
      </c>
      <c r="I120" s="30">
        <f>'10B Sem 1'!H42</f>
        <v>54</v>
      </c>
      <c r="J120" s="30">
        <f>'10B Sem 1'!I42</f>
        <v>44</v>
      </c>
      <c r="K120" s="30">
        <f>'10B Sem 1'!J42</f>
        <v>58</v>
      </c>
      <c r="L120" s="30">
        <f>'10B Sem 1'!K42</f>
        <v>55</v>
      </c>
      <c r="M120" s="30">
        <f>'10B Sem 1'!L42</f>
        <v>51</v>
      </c>
      <c r="N120" s="30">
        <f>'10B Sem 1'!M42</f>
        <v>63</v>
      </c>
      <c r="O120" s="30">
        <f>'10B Sem 1'!N42</f>
        <v>71</v>
      </c>
      <c r="P120" s="30">
        <f>'10B Sem 1'!O42</f>
        <v>87</v>
      </c>
      <c r="Q120" s="30">
        <f>'10B Sem 1'!P42</f>
        <v>655</v>
      </c>
      <c r="R120" s="30">
        <f>'10B Sem 1'!Q42</f>
        <v>59.545454545454547</v>
      </c>
      <c r="S120" s="30">
        <f>'10B Sem 1'!R42</f>
        <v>47</v>
      </c>
      <c r="T120" s="30">
        <f>'10B Sem 1'!S42</f>
        <v>0</v>
      </c>
      <c r="U120" s="30">
        <f>'10B Sem 1'!T42</f>
        <v>0</v>
      </c>
      <c r="V120" s="6"/>
      <c r="W120" s="6"/>
      <c r="X120" s="6"/>
      <c r="Y120" s="6"/>
      <c r="Z120" s="6"/>
    </row>
    <row r="121" spans="1:26" ht="17.25" customHeight="1" x14ac:dyDescent="0.25">
      <c r="A121" s="292"/>
      <c r="B121" s="293"/>
      <c r="C121" s="294">
        <v>16</v>
      </c>
      <c r="D121" s="294" t="s">
        <v>20</v>
      </c>
      <c r="E121" s="29" t="s">
        <v>22</v>
      </c>
      <c r="F121" s="30">
        <f>'10B Sem 2'!E42</f>
        <v>70</v>
      </c>
      <c r="G121" s="30">
        <f>'10B Sem 2'!F42</f>
        <v>57</v>
      </c>
      <c r="H121" s="31">
        <f>'10B Sem 2'!G42</f>
        <v>49</v>
      </c>
      <c r="I121" s="30">
        <f>'10B Sem 2'!H42</f>
        <v>43</v>
      </c>
      <c r="J121" s="30">
        <f>'10B Sem 2'!I42</f>
        <v>50</v>
      </c>
      <c r="K121" s="30">
        <f>'10B Sem 2'!J42</f>
        <v>65</v>
      </c>
      <c r="L121" s="30">
        <f>'10B Sem 2'!K42</f>
        <v>61</v>
      </c>
      <c r="M121" s="30">
        <f>'10B Sem 2'!L42</f>
        <v>56</v>
      </c>
      <c r="N121" s="30">
        <f>'10B Sem 2'!M42</f>
        <v>72</v>
      </c>
      <c r="O121" s="30">
        <f>'10B Sem 2'!N42</f>
        <v>69</v>
      </c>
      <c r="P121" s="30">
        <f>'10B Sem 2'!O42</f>
        <v>75</v>
      </c>
      <c r="Q121" s="30">
        <f>'10B Sem 2'!P42</f>
        <v>667</v>
      </c>
      <c r="R121" s="30">
        <f>'10B Sem 2'!Q42</f>
        <v>60.636363636363633</v>
      </c>
      <c r="S121" s="30">
        <f>'10B Sem 2'!R42</f>
        <v>42</v>
      </c>
      <c r="T121" s="30">
        <f>'10B Sem 2'!S42</f>
        <v>0</v>
      </c>
      <c r="U121" s="30">
        <f>'10B Sem 2'!T42</f>
        <v>0</v>
      </c>
      <c r="V121" s="6"/>
      <c r="W121" s="6"/>
      <c r="X121" s="6"/>
      <c r="Y121" s="6"/>
      <c r="Z121" s="6"/>
    </row>
    <row r="122" spans="1:26" ht="17.25" customHeight="1" x14ac:dyDescent="0.25">
      <c r="A122" s="292"/>
      <c r="B122" s="293"/>
      <c r="C122" s="294">
        <v>16</v>
      </c>
      <c r="D122" s="294" t="s">
        <v>20</v>
      </c>
      <c r="E122" s="29" t="s">
        <v>16</v>
      </c>
      <c r="F122" s="30">
        <f>AVERAGE(F120:F121)</f>
        <v>70</v>
      </c>
      <c r="G122" s="30">
        <f t="shared" ref="G122:R122" si="38">AVERAGE(G120:G121)</f>
        <v>56</v>
      </c>
      <c r="H122" s="30">
        <f t="shared" si="38"/>
        <v>48</v>
      </c>
      <c r="I122" s="30">
        <f t="shared" si="38"/>
        <v>48.5</v>
      </c>
      <c r="J122" s="30">
        <f t="shared" si="38"/>
        <v>47</v>
      </c>
      <c r="K122" s="30">
        <f t="shared" si="38"/>
        <v>61.5</v>
      </c>
      <c r="L122" s="30">
        <f t="shared" si="38"/>
        <v>58</v>
      </c>
      <c r="M122" s="30">
        <f t="shared" si="38"/>
        <v>53.5</v>
      </c>
      <c r="N122" s="30">
        <f t="shared" si="38"/>
        <v>67.5</v>
      </c>
      <c r="O122" s="30">
        <f t="shared" si="38"/>
        <v>70</v>
      </c>
      <c r="P122" s="30">
        <f t="shared" si="38"/>
        <v>81</v>
      </c>
      <c r="Q122" s="30">
        <f t="shared" si="38"/>
        <v>661</v>
      </c>
      <c r="R122" s="30">
        <f t="shared" si="38"/>
        <v>60.090909090909093</v>
      </c>
      <c r="S122" s="30">
        <f>'10B Sem avr'!$H$42</f>
        <v>45</v>
      </c>
      <c r="T122" s="45">
        <f>AVERAGE(T120:T121)</f>
        <v>0</v>
      </c>
      <c r="U122" s="45">
        <f>AVERAGE(U120:U121)</f>
        <v>0</v>
      </c>
      <c r="V122" s="6"/>
      <c r="W122" s="6"/>
      <c r="X122" s="6"/>
      <c r="Y122" s="6"/>
      <c r="Z122" s="6"/>
    </row>
    <row r="123" spans="1:26" ht="17.25" customHeight="1" x14ac:dyDescent="0.25">
      <c r="A123" s="295">
        <v>40</v>
      </c>
      <c r="B123" s="293"/>
      <c r="C123" s="294">
        <v>16</v>
      </c>
      <c r="D123" s="294" t="s">
        <v>20</v>
      </c>
      <c r="E123" s="29" t="s">
        <v>21</v>
      </c>
      <c r="F123" s="30">
        <f>'10B Sem 1'!E43</f>
        <v>69</v>
      </c>
      <c r="G123" s="30">
        <f>'10B Sem 1'!F43</f>
        <v>63</v>
      </c>
      <c r="H123" s="30">
        <f>'10B Sem 1'!G43</f>
        <v>71</v>
      </c>
      <c r="I123" s="30">
        <f>'10B Sem 1'!H43</f>
        <v>58</v>
      </c>
      <c r="J123" s="30">
        <f>'10B Sem 1'!I43</f>
        <v>53</v>
      </c>
      <c r="K123" s="30">
        <f>'10B Sem 1'!J43</f>
        <v>70</v>
      </c>
      <c r="L123" s="31">
        <f>'10B Sem 1'!K43</f>
        <v>54</v>
      </c>
      <c r="M123" s="30">
        <f>'10B Sem 1'!L43</f>
        <v>62</v>
      </c>
      <c r="N123" s="30">
        <f>'10B Sem 1'!M43</f>
        <v>67</v>
      </c>
      <c r="O123" s="30">
        <f>'10B Sem 1'!N43</f>
        <v>74</v>
      </c>
      <c r="P123" s="30">
        <f>'10B Sem 1'!O43</f>
        <v>90</v>
      </c>
      <c r="Q123" s="30">
        <f>'10B Sem 1'!P43</f>
        <v>731</v>
      </c>
      <c r="R123" s="30">
        <f>'10B Sem 1'!Q43</f>
        <v>66.454545454545453</v>
      </c>
      <c r="S123" s="30">
        <f>'10B Sem 1'!R43</f>
        <v>36</v>
      </c>
      <c r="T123" s="30">
        <f>'10B Sem 1'!S43</f>
        <v>0</v>
      </c>
      <c r="U123" s="30">
        <f>'10B Sem 1'!T43</f>
        <v>0</v>
      </c>
      <c r="V123" s="6"/>
      <c r="W123" s="6"/>
      <c r="X123" s="6"/>
      <c r="Y123" s="6"/>
      <c r="Z123" s="6"/>
    </row>
    <row r="124" spans="1:26" ht="17.25" customHeight="1" x14ac:dyDescent="0.25">
      <c r="A124" s="295"/>
      <c r="B124" s="293"/>
      <c r="C124" s="294">
        <v>16</v>
      </c>
      <c r="D124" s="294" t="s">
        <v>20</v>
      </c>
      <c r="E124" s="29" t="s">
        <v>22</v>
      </c>
      <c r="F124" s="30">
        <f>'10B Sem 2'!E43</f>
        <v>71</v>
      </c>
      <c r="G124" s="30">
        <f>'10B Sem 2'!F43</f>
        <v>59</v>
      </c>
      <c r="H124" s="30">
        <f>'10B Sem 2'!G43</f>
        <v>63</v>
      </c>
      <c r="I124" s="30">
        <f>'10B Sem 2'!H43</f>
        <v>68</v>
      </c>
      <c r="J124" s="30">
        <f>'10B Sem 2'!I43</f>
        <v>57</v>
      </c>
      <c r="K124" s="30">
        <f>'10B Sem 2'!J43</f>
        <v>60</v>
      </c>
      <c r="L124" s="31">
        <f>'10B Sem 2'!K43</f>
        <v>66</v>
      </c>
      <c r="M124" s="30">
        <f>'10B Sem 2'!L43</f>
        <v>75</v>
      </c>
      <c r="N124" s="30">
        <f>'10B Sem 2'!M43</f>
        <v>78</v>
      </c>
      <c r="O124" s="30">
        <f>'10B Sem 2'!N43</f>
        <v>84</v>
      </c>
      <c r="P124" s="30">
        <f>'10B Sem 2'!O43</f>
        <v>90</v>
      </c>
      <c r="Q124" s="30">
        <f>'10B Sem 2'!P43</f>
        <v>771</v>
      </c>
      <c r="R124" s="30">
        <f>'10B Sem 2'!Q43</f>
        <v>70.090909090909093</v>
      </c>
      <c r="S124" s="30">
        <f>'10B Sem 2'!R43</f>
        <v>30</v>
      </c>
      <c r="T124" s="30">
        <f>'10B Sem 2'!S43</f>
        <v>0</v>
      </c>
      <c r="U124" s="30">
        <f>'10B Sem 2'!T43</f>
        <v>0</v>
      </c>
      <c r="V124" s="6"/>
      <c r="W124" s="6"/>
      <c r="X124" s="6"/>
      <c r="Y124" s="6"/>
      <c r="Z124" s="6"/>
    </row>
    <row r="125" spans="1:26" ht="17.25" customHeight="1" x14ac:dyDescent="0.25">
      <c r="A125" s="295"/>
      <c r="B125" s="293"/>
      <c r="C125" s="294">
        <v>16</v>
      </c>
      <c r="D125" s="294" t="s">
        <v>20</v>
      </c>
      <c r="E125" s="29" t="s">
        <v>16</v>
      </c>
      <c r="F125" s="30">
        <f>AVERAGE(F123:F124)</f>
        <v>70</v>
      </c>
      <c r="G125" s="30">
        <f t="shared" ref="G125:R125" si="39">AVERAGE(G123:G124)</f>
        <v>61</v>
      </c>
      <c r="H125" s="30">
        <f t="shared" si="39"/>
        <v>67</v>
      </c>
      <c r="I125" s="30">
        <f t="shared" si="39"/>
        <v>63</v>
      </c>
      <c r="J125" s="30">
        <f t="shared" si="39"/>
        <v>55</v>
      </c>
      <c r="K125" s="30">
        <f t="shared" si="39"/>
        <v>65</v>
      </c>
      <c r="L125" s="30">
        <f t="shared" si="39"/>
        <v>60</v>
      </c>
      <c r="M125" s="30">
        <f t="shared" si="39"/>
        <v>68.5</v>
      </c>
      <c r="N125" s="30">
        <f t="shared" si="39"/>
        <v>72.5</v>
      </c>
      <c r="O125" s="30">
        <f t="shared" si="39"/>
        <v>79</v>
      </c>
      <c r="P125" s="30">
        <f t="shared" si="39"/>
        <v>90</v>
      </c>
      <c r="Q125" s="30">
        <f t="shared" si="39"/>
        <v>751</v>
      </c>
      <c r="R125" s="30">
        <f t="shared" si="39"/>
        <v>68.27272727272728</v>
      </c>
      <c r="S125" s="30">
        <f>'10B Sem avr'!$H$43</f>
        <v>32</v>
      </c>
      <c r="T125" s="45">
        <f>AVERAGE(T123:T124)</f>
        <v>0</v>
      </c>
      <c r="U125" s="45">
        <f>AVERAGE(U123:U124)</f>
        <v>0</v>
      </c>
      <c r="V125" s="6"/>
      <c r="W125" s="6"/>
      <c r="X125" s="6"/>
      <c r="Y125" s="6"/>
      <c r="Z125" s="6"/>
    </row>
    <row r="126" spans="1:26" ht="17.25" customHeight="1" x14ac:dyDescent="0.25">
      <c r="A126" s="292">
        <v>41</v>
      </c>
      <c r="B126" s="293"/>
      <c r="C126" s="294">
        <v>15</v>
      </c>
      <c r="D126" s="294" t="s">
        <v>20</v>
      </c>
      <c r="E126" s="29" t="s">
        <v>21</v>
      </c>
      <c r="F126" s="30">
        <f>'10B Sem 1'!E44</f>
        <v>78</v>
      </c>
      <c r="G126" s="30">
        <f>'10B Sem 1'!F44</f>
        <v>56</v>
      </c>
      <c r="H126" s="30">
        <f>'10B Sem 1'!G44</f>
        <v>83</v>
      </c>
      <c r="I126" s="30">
        <f>'10B Sem 1'!H44</f>
        <v>82</v>
      </c>
      <c r="J126" s="30">
        <f>'10B Sem 1'!I44</f>
        <v>83</v>
      </c>
      <c r="K126" s="30">
        <f>'10B Sem 1'!J44</f>
        <v>87</v>
      </c>
      <c r="L126" s="30">
        <f>'10B Sem 1'!K44</f>
        <v>76</v>
      </c>
      <c r="M126" s="30">
        <f>'10B Sem 1'!L44</f>
        <v>85</v>
      </c>
      <c r="N126" s="30">
        <f>'10B Sem 1'!M44</f>
        <v>85</v>
      </c>
      <c r="O126" s="30">
        <f>'10B Sem 1'!N44</f>
        <v>94</v>
      </c>
      <c r="P126" s="30">
        <f>'10B Sem 1'!O44</f>
        <v>93</v>
      </c>
      <c r="Q126" s="30">
        <f>'10B Sem 1'!P44</f>
        <v>902</v>
      </c>
      <c r="R126" s="30">
        <f>'10B Sem 1'!Q44</f>
        <v>82</v>
      </c>
      <c r="S126" s="30">
        <f>'10B Sem 1'!R44</f>
        <v>11</v>
      </c>
      <c r="T126" s="30">
        <f>'10B Sem 1'!S44</f>
        <v>0</v>
      </c>
      <c r="U126" s="30">
        <f>'10B Sem 1'!T44</f>
        <v>0</v>
      </c>
      <c r="V126" s="6"/>
      <c r="W126" s="6"/>
      <c r="X126" s="6"/>
      <c r="Y126" s="6"/>
      <c r="Z126" s="6"/>
    </row>
    <row r="127" spans="1:26" ht="17.25" customHeight="1" x14ac:dyDescent="0.25">
      <c r="A127" s="292"/>
      <c r="B127" s="293"/>
      <c r="C127" s="294">
        <v>15</v>
      </c>
      <c r="D127" s="294" t="s">
        <v>20</v>
      </c>
      <c r="E127" s="29" t="s">
        <v>22</v>
      </c>
      <c r="F127" s="30">
        <f>'10B Sem 2'!E44</f>
        <v>77</v>
      </c>
      <c r="G127" s="30">
        <f>'10B Sem 2'!F44</f>
        <v>74</v>
      </c>
      <c r="H127" s="30">
        <f>'10B Sem 2'!G44</f>
        <v>79</v>
      </c>
      <c r="I127" s="30">
        <f>'10B Sem 2'!H44</f>
        <v>72</v>
      </c>
      <c r="J127" s="30">
        <f>'10B Sem 2'!I44</f>
        <v>70</v>
      </c>
      <c r="K127" s="30">
        <f>'10B Sem 2'!J44</f>
        <v>90</v>
      </c>
      <c r="L127" s="30">
        <f>'10B Sem 2'!K44</f>
        <v>85</v>
      </c>
      <c r="M127" s="30">
        <f>'10B Sem 2'!L44</f>
        <v>86</v>
      </c>
      <c r="N127" s="30">
        <f>'10B Sem 2'!M44</f>
        <v>83</v>
      </c>
      <c r="O127" s="30">
        <f>'10B Sem 2'!N44</f>
        <v>93</v>
      </c>
      <c r="P127" s="30">
        <f>'10B Sem 2'!O44</f>
        <v>97</v>
      </c>
      <c r="Q127" s="30">
        <f>'10B Sem 2'!P44</f>
        <v>906</v>
      </c>
      <c r="R127" s="30">
        <f>'10B Sem 2'!Q44</f>
        <v>82.36363636363636</v>
      </c>
      <c r="S127" s="30">
        <f>'10B Sem 2'!R44</f>
        <v>16</v>
      </c>
      <c r="T127" s="30">
        <f>'10B Sem 2'!S44</f>
        <v>0</v>
      </c>
      <c r="U127" s="30">
        <f>'10B Sem 2'!T44</f>
        <v>0</v>
      </c>
      <c r="V127" s="6"/>
      <c r="W127" s="6"/>
      <c r="X127" s="6"/>
      <c r="Y127" s="6"/>
      <c r="Z127" s="6"/>
    </row>
    <row r="128" spans="1:26" ht="17.25" customHeight="1" x14ac:dyDescent="0.25">
      <c r="A128" s="292"/>
      <c r="B128" s="293"/>
      <c r="C128" s="294">
        <v>15</v>
      </c>
      <c r="D128" s="294" t="s">
        <v>20</v>
      </c>
      <c r="E128" s="29" t="s">
        <v>16</v>
      </c>
      <c r="F128" s="30">
        <f>AVERAGE(F126:F127)</f>
        <v>77.5</v>
      </c>
      <c r="G128" s="30">
        <f t="shared" ref="G128:R128" si="40">AVERAGE(G126:G127)</f>
        <v>65</v>
      </c>
      <c r="H128" s="30">
        <f t="shared" si="40"/>
        <v>81</v>
      </c>
      <c r="I128" s="30">
        <f t="shared" si="40"/>
        <v>77</v>
      </c>
      <c r="J128" s="30">
        <f t="shared" si="40"/>
        <v>76.5</v>
      </c>
      <c r="K128" s="30">
        <f t="shared" si="40"/>
        <v>88.5</v>
      </c>
      <c r="L128" s="30">
        <f t="shared" si="40"/>
        <v>80.5</v>
      </c>
      <c r="M128" s="30">
        <f t="shared" si="40"/>
        <v>85.5</v>
      </c>
      <c r="N128" s="30">
        <f t="shared" si="40"/>
        <v>84</v>
      </c>
      <c r="O128" s="30">
        <f t="shared" si="40"/>
        <v>93.5</v>
      </c>
      <c r="P128" s="30">
        <f t="shared" si="40"/>
        <v>95</v>
      </c>
      <c r="Q128" s="30">
        <f t="shared" si="40"/>
        <v>904</v>
      </c>
      <c r="R128" s="30">
        <f t="shared" si="40"/>
        <v>82.181818181818187</v>
      </c>
      <c r="S128" s="30">
        <f>'10B Sem avr'!$H$44</f>
        <v>13</v>
      </c>
      <c r="T128" s="45">
        <f>AVERAGE(T126:T127)</f>
        <v>0</v>
      </c>
      <c r="U128" s="45">
        <f>AVERAGE(U126:U127)</f>
        <v>0</v>
      </c>
      <c r="V128" s="6"/>
      <c r="W128" s="6"/>
      <c r="X128" s="6"/>
      <c r="Y128" s="6"/>
      <c r="Z128" s="6"/>
    </row>
    <row r="129" spans="1:26" ht="17.25" customHeight="1" x14ac:dyDescent="0.25">
      <c r="A129" s="292">
        <v>42</v>
      </c>
      <c r="B129" s="296"/>
      <c r="C129" s="294">
        <v>16</v>
      </c>
      <c r="D129" s="294" t="s">
        <v>20</v>
      </c>
      <c r="E129" s="29" t="s">
        <v>21</v>
      </c>
      <c r="F129" s="30">
        <f>'10B Sem 1'!E45</f>
        <v>0</v>
      </c>
      <c r="G129" s="31">
        <f>'10B Sem 1'!F45</f>
        <v>0</v>
      </c>
      <c r="H129" s="31">
        <f>'10B Sem 1'!G45</f>
        <v>0</v>
      </c>
      <c r="I129" s="31">
        <f>'10B Sem 1'!H45</f>
        <v>0</v>
      </c>
      <c r="J129" s="30">
        <f>'10B Sem 1'!I45</f>
        <v>0</v>
      </c>
      <c r="K129" s="30">
        <f>'10B Sem 1'!J45</f>
        <v>0</v>
      </c>
      <c r="L129" s="30">
        <f>'10B Sem 1'!K45</f>
        <v>0</v>
      </c>
      <c r="M129" s="30">
        <f>'10B Sem 1'!L45</f>
        <v>0</v>
      </c>
      <c r="N129" s="30">
        <f>'10B Sem 1'!M45</f>
        <v>0</v>
      </c>
      <c r="O129" s="31">
        <f>'10B Sem 1'!N45</f>
        <v>0</v>
      </c>
      <c r="P129" s="30">
        <f>'10B Sem 1'!O45</f>
        <v>0</v>
      </c>
      <c r="Q129" s="30">
        <f>'10B Sem 1'!P45</f>
        <v>0</v>
      </c>
      <c r="R129" s="30">
        <f>'10B Sem 1'!Q45</f>
        <v>0</v>
      </c>
      <c r="S129" s="30">
        <f>'10B Sem 1'!R45</f>
        <v>0</v>
      </c>
      <c r="T129" s="30">
        <f>'10B Sem 1'!S45</f>
        <v>0</v>
      </c>
      <c r="U129" s="30">
        <f>'10B Sem 1'!T45</f>
        <v>0</v>
      </c>
      <c r="V129" s="6"/>
      <c r="W129" s="6"/>
      <c r="X129" s="6"/>
      <c r="Y129" s="6"/>
      <c r="Z129" s="6"/>
    </row>
    <row r="130" spans="1:26" ht="17.25" customHeight="1" x14ac:dyDescent="0.25">
      <c r="A130" s="292"/>
      <c r="B130" s="296"/>
      <c r="C130" s="294">
        <v>16</v>
      </c>
      <c r="D130" s="294" t="s">
        <v>20</v>
      </c>
      <c r="E130" s="29" t="s">
        <v>22</v>
      </c>
      <c r="F130" s="30">
        <f>'10B Sem 2'!E45</f>
        <v>0</v>
      </c>
      <c r="G130" s="31">
        <f>'10B Sem 2'!F45</f>
        <v>0</v>
      </c>
      <c r="H130" s="31">
        <f>'10B Sem 2'!G45</f>
        <v>0</v>
      </c>
      <c r="I130" s="31">
        <f>'10B Sem 2'!H45</f>
        <v>0</v>
      </c>
      <c r="J130" s="30">
        <f>'10B Sem 2'!I45</f>
        <v>0</v>
      </c>
      <c r="K130" s="30">
        <f>'10B Sem 2'!J45</f>
        <v>0</v>
      </c>
      <c r="L130" s="30">
        <f>'10B Sem 2'!K45</f>
        <v>0</v>
      </c>
      <c r="M130" s="30">
        <f>'10B Sem 2'!L45</f>
        <v>0</v>
      </c>
      <c r="N130" s="30">
        <f>'10B Sem 2'!M45</f>
        <v>0</v>
      </c>
      <c r="O130" s="31">
        <f>'10B Sem 2'!N45</f>
        <v>0</v>
      </c>
      <c r="P130" s="30">
        <f>'10B Sem 2'!O45</f>
        <v>0</v>
      </c>
      <c r="Q130" s="30">
        <f>'10B Sem 2'!P45</f>
        <v>0</v>
      </c>
      <c r="R130" s="30">
        <f>'10B Sem 2'!Q45</f>
        <v>0</v>
      </c>
      <c r="S130" s="30">
        <f>'10B Sem 2'!R45</f>
        <v>0</v>
      </c>
      <c r="T130" s="30">
        <f>'10B Sem 2'!S45</f>
        <v>0</v>
      </c>
      <c r="U130" s="30">
        <f>'10B Sem 2'!T45</f>
        <v>0</v>
      </c>
      <c r="V130" s="6"/>
      <c r="W130" s="6"/>
      <c r="X130" s="6"/>
      <c r="Y130" s="6"/>
      <c r="Z130" s="6"/>
    </row>
    <row r="131" spans="1:26" ht="17.25" customHeight="1" x14ac:dyDescent="0.25">
      <c r="A131" s="292"/>
      <c r="B131" s="296"/>
      <c r="C131" s="294">
        <v>16</v>
      </c>
      <c r="D131" s="294" t="s">
        <v>20</v>
      </c>
      <c r="E131" s="29" t="s">
        <v>16</v>
      </c>
      <c r="F131" s="30">
        <f>AVERAGE(F129:F130)</f>
        <v>0</v>
      </c>
      <c r="G131" s="30">
        <f t="shared" ref="G131:R131" si="41">AVERAGE(G129:G130)</f>
        <v>0</v>
      </c>
      <c r="H131" s="30">
        <f t="shared" si="41"/>
        <v>0</v>
      </c>
      <c r="I131" s="30">
        <f t="shared" si="41"/>
        <v>0</v>
      </c>
      <c r="J131" s="30">
        <f t="shared" si="41"/>
        <v>0</v>
      </c>
      <c r="K131" s="30">
        <f t="shared" si="41"/>
        <v>0</v>
      </c>
      <c r="L131" s="30">
        <f t="shared" si="41"/>
        <v>0</v>
      </c>
      <c r="M131" s="30">
        <f t="shared" si="41"/>
        <v>0</v>
      </c>
      <c r="N131" s="30">
        <f t="shared" si="41"/>
        <v>0</v>
      </c>
      <c r="O131" s="30">
        <f t="shared" si="41"/>
        <v>0</v>
      </c>
      <c r="P131" s="30">
        <f t="shared" si="41"/>
        <v>0</v>
      </c>
      <c r="Q131" s="30">
        <f t="shared" si="41"/>
        <v>0</v>
      </c>
      <c r="R131" s="30">
        <f t="shared" si="41"/>
        <v>0</v>
      </c>
      <c r="S131" s="30">
        <f>'10B Sem avr'!$H$45</f>
        <v>55</v>
      </c>
      <c r="T131" s="45">
        <f>AVERAGE(T129:T130)</f>
        <v>0</v>
      </c>
      <c r="U131" s="45">
        <f>AVERAGE(U129:U130)</f>
        <v>0</v>
      </c>
      <c r="V131" s="6"/>
      <c r="W131" s="6"/>
      <c r="X131" s="6"/>
      <c r="Y131" s="6"/>
      <c r="Z131" s="6"/>
    </row>
    <row r="132" spans="1:26" ht="17.25" customHeight="1" x14ac:dyDescent="0.25">
      <c r="A132" s="292">
        <v>43</v>
      </c>
      <c r="B132" s="293"/>
      <c r="C132" s="294">
        <v>15</v>
      </c>
      <c r="D132" s="294" t="s">
        <v>23</v>
      </c>
      <c r="E132" s="29" t="s">
        <v>21</v>
      </c>
      <c r="F132" s="30">
        <f>'10B Sem 1'!E46</f>
        <v>77</v>
      </c>
      <c r="G132" s="31">
        <f>'10B Sem 1'!F46</f>
        <v>64</v>
      </c>
      <c r="H132" s="31">
        <f>'10B Sem 1'!G46</f>
        <v>48</v>
      </c>
      <c r="I132" s="30">
        <f>'10B Sem 1'!H46</f>
        <v>56</v>
      </c>
      <c r="J132" s="31">
        <f>'10B Sem 1'!I46</f>
        <v>45</v>
      </c>
      <c r="K132" s="30">
        <f>'10B Sem 1'!J46</f>
        <v>52</v>
      </c>
      <c r="L132" s="31">
        <f>'10B Sem 1'!K46</f>
        <v>45</v>
      </c>
      <c r="M132" s="31">
        <f>'10B Sem 1'!L46</f>
        <v>64</v>
      </c>
      <c r="N132" s="30">
        <f>'10B Sem 1'!M46</f>
        <v>60</v>
      </c>
      <c r="O132" s="30">
        <f>'10B Sem 1'!N46</f>
        <v>80</v>
      </c>
      <c r="P132" s="31">
        <f>'10B Sem 1'!O46</f>
        <v>84</v>
      </c>
      <c r="Q132" s="30">
        <f>'10B Sem 1'!P46</f>
        <v>675</v>
      </c>
      <c r="R132" s="30">
        <f>'10B Sem 1'!Q46</f>
        <v>61.363636363636367</v>
      </c>
      <c r="S132" s="30">
        <f>'10B Sem 1'!R46</f>
        <v>43</v>
      </c>
      <c r="T132" s="30">
        <f>'10B Sem 1'!S46</f>
        <v>0</v>
      </c>
      <c r="U132" s="30">
        <f>'10B Sem 1'!T46</f>
        <v>0</v>
      </c>
      <c r="V132" s="6"/>
      <c r="W132" s="6"/>
      <c r="X132" s="6"/>
      <c r="Y132" s="6"/>
      <c r="Z132" s="6"/>
    </row>
    <row r="133" spans="1:26" ht="17.25" customHeight="1" x14ac:dyDescent="0.25">
      <c r="A133" s="292"/>
      <c r="B133" s="293"/>
      <c r="C133" s="294">
        <v>15</v>
      </c>
      <c r="D133" s="294" t="s">
        <v>23</v>
      </c>
      <c r="E133" s="29" t="s">
        <v>22</v>
      </c>
      <c r="F133" s="30">
        <f>'10B Sem 2'!E46</f>
        <v>70</v>
      </c>
      <c r="G133" s="31">
        <f>'10B Sem 2'!F46</f>
        <v>76</v>
      </c>
      <c r="H133" s="31">
        <f>'10B Sem 2'!G46</f>
        <v>49</v>
      </c>
      <c r="I133" s="30">
        <f>'10B Sem 2'!H46</f>
        <v>39</v>
      </c>
      <c r="J133" s="31">
        <f>'10B Sem 2'!I46</f>
        <v>46</v>
      </c>
      <c r="K133" s="30">
        <f>'10B Sem 2'!J46</f>
        <v>65</v>
      </c>
      <c r="L133" s="31">
        <f>'10B Sem 2'!K46</f>
        <v>65</v>
      </c>
      <c r="M133" s="31">
        <f>'10B Sem 2'!L46</f>
        <v>50</v>
      </c>
      <c r="N133" s="30">
        <f>'10B Sem 2'!M46</f>
        <v>65</v>
      </c>
      <c r="O133" s="30">
        <f>'10B Sem 2'!N46</f>
        <v>70</v>
      </c>
      <c r="P133" s="31">
        <f>'10B Sem 2'!O46</f>
        <v>80</v>
      </c>
      <c r="Q133" s="30">
        <f>'10B Sem 2'!P46</f>
        <v>675</v>
      </c>
      <c r="R133" s="30">
        <f>'10B Sem 2'!Q46</f>
        <v>61.363636363636367</v>
      </c>
      <c r="S133" s="30">
        <f>'10B Sem 2'!R46</f>
        <v>40</v>
      </c>
      <c r="T133" s="30">
        <f>'10B Sem 2'!S46</f>
        <v>0</v>
      </c>
      <c r="U133" s="30">
        <f>'10B Sem 2'!T46</f>
        <v>0</v>
      </c>
      <c r="V133" s="6"/>
      <c r="W133" s="6"/>
      <c r="X133" s="6"/>
      <c r="Y133" s="6"/>
      <c r="Z133" s="6"/>
    </row>
    <row r="134" spans="1:26" ht="17.25" customHeight="1" x14ac:dyDescent="0.25">
      <c r="A134" s="292"/>
      <c r="B134" s="293"/>
      <c r="C134" s="294">
        <v>15</v>
      </c>
      <c r="D134" s="294" t="s">
        <v>23</v>
      </c>
      <c r="E134" s="29" t="s">
        <v>16</v>
      </c>
      <c r="F134" s="30">
        <f>AVERAGE(F132:F133)</f>
        <v>73.5</v>
      </c>
      <c r="G134" s="30">
        <f t="shared" ref="G134:R134" si="42">AVERAGE(G132:G133)</f>
        <v>70</v>
      </c>
      <c r="H134" s="30">
        <f t="shared" si="42"/>
        <v>48.5</v>
      </c>
      <c r="I134" s="30">
        <f t="shared" si="42"/>
        <v>47.5</v>
      </c>
      <c r="J134" s="30">
        <f t="shared" si="42"/>
        <v>45.5</v>
      </c>
      <c r="K134" s="30">
        <f t="shared" si="42"/>
        <v>58.5</v>
      </c>
      <c r="L134" s="30">
        <f t="shared" si="42"/>
        <v>55</v>
      </c>
      <c r="M134" s="30">
        <f t="shared" si="42"/>
        <v>57</v>
      </c>
      <c r="N134" s="30">
        <f t="shared" si="42"/>
        <v>62.5</v>
      </c>
      <c r="O134" s="30">
        <f t="shared" si="42"/>
        <v>75</v>
      </c>
      <c r="P134" s="30">
        <f t="shared" si="42"/>
        <v>82</v>
      </c>
      <c r="Q134" s="30">
        <f t="shared" si="42"/>
        <v>675</v>
      </c>
      <c r="R134" s="30">
        <f t="shared" si="42"/>
        <v>61.363636363636367</v>
      </c>
      <c r="S134" s="30">
        <f>'10B Sem avr'!$H$46</f>
        <v>42</v>
      </c>
      <c r="T134" s="45">
        <f>AVERAGE(T132:T133)</f>
        <v>0</v>
      </c>
      <c r="U134" s="45">
        <f>AVERAGE(U132:U133)</f>
        <v>0</v>
      </c>
      <c r="V134" s="6"/>
      <c r="W134" s="6"/>
      <c r="X134" s="6"/>
      <c r="Y134" s="6"/>
      <c r="Z134" s="6"/>
    </row>
    <row r="135" spans="1:26" ht="17.25" customHeight="1" x14ac:dyDescent="0.25">
      <c r="A135" s="295">
        <v>44</v>
      </c>
      <c r="B135" s="293"/>
      <c r="C135" s="294">
        <v>15</v>
      </c>
      <c r="D135" s="294" t="s">
        <v>23</v>
      </c>
      <c r="E135" s="29" t="s">
        <v>21</v>
      </c>
      <c r="F135" s="30">
        <f>'10B Sem 1'!E47</f>
        <v>98</v>
      </c>
      <c r="G135" s="30">
        <f>'10B Sem 1'!F47</f>
        <v>87</v>
      </c>
      <c r="H135" s="30">
        <f>'10B Sem 1'!G47</f>
        <v>90</v>
      </c>
      <c r="I135" s="30">
        <f>'10B Sem 1'!H47</f>
        <v>97</v>
      </c>
      <c r="J135" s="30">
        <f>'10B Sem 1'!I47</f>
        <v>89</v>
      </c>
      <c r="K135" s="30">
        <f>'10B Sem 1'!J47</f>
        <v>94</v>
      </c>
      <c r="L135" s="30">
        <f>'10B Sem 1'!K47</f>
        <v>97</v>
      </c>
      <c r="M135" s="30">
        <f>'10B Sem 1'!L47</f>
        <v>96</v>
      </c>
      <c r="N135" s="30">
        <f>'10B Sem 1'!M47</f>
        <v>94</v>
      </c>
      <c r="O135" s="30">
        <f>'10B Sem 1'!N47</f>
        <v>100</v>
      </c>
      <c r="P135" s="30">
        <f>'10B Sem 1'!O47</f>
        <v>100</v>
      </c>
      <c r="Q135" s="30">
        <f>'10B Sem 1'!P47</f>
        <v>1042</v>
      </c>
      <c r="R135" s="30">
        <f>'10B Sem 1'!Q47</f>
        <v>94.727272727272734</v>
      </c>
      <c r="S135" s="30">
        <f>'10B Sem 1'!R47</f>
        <v>1</v>
      </c>
      <c r="T135" s="30">
        <f>'10B Sem 1'!S47</f>
        <v>0</v>
      </c>
      <c r="U135" s="30">
        <f>'10B Sem 1'!T47</f>
        <v>0</v>
      </c>
      <c r="V135" s="6"/>
      <c r="W135" s="6"/>
      <c r="X135" s="6"/>
      <c r="Y135" s="6"/>
      <c r="Z135" s="6"/>
    </row>
    <row r="136" spans="1:26" ht="17.25" customHeight="1" x14ac:dyDescent="0.25">
      <c r="A136" s="295"/>
      <c r="B136" s="293"/>
      <c r="C136" s="294">
        <v>15</v>
      </c>
      <c r="D136" s="294" t="s">
        <v>23</v>
      </c>
      <c r="E136" s="29" t="s">
        <v>22</v>
      </c>
      <c r="F136" s="30">
        <f>'10B Sem 2'!E47</f>
        <v>92</v>
      </c>
      <c r="G136" s="30">
        <f>'10B Sem 2'!F47</f>
        <v>88</v>
      </c>
      <c r="H136" s="30">
        <f>'10B Sem 2'!G47</f>
        <v>90</v>
      </c>
      <c r="I136" s="30">
        <f>'10B Sem 2'!H47</f>
        <v>96</v>
      </c>
      <c r="J136" s="30">
        <f>'10B Sem 2'!I47</f>
        <v>90</v>
      </c>
      <c r="K136" s="30">
        <f>'10B Sem 2'!J47</f>
        <v>100</v>
      </c>
      <c r="L136" s="30">
        <f>'10B Sem 2'!K47</f>
        <v>96</v>
      </c>
      <c r="M136" s="30">
        <f>'10B Sem 2'!L47</f>
        <v>95</v>
      </c>
      <c r="N136" s="30">
        <f>'10B Sem 2'!M47</f>
        <v>100</v>
      </c>
      <c r="O136" s="30">
        <f>'10B Sem 2'!N47</f>
        <v>100</v>
      </c>
      <c r="P136" s="30">
        <f>'10B Sem 2'!O47</f>
        <v>100</v>
      </c>
      <c r="Q136" s="30">
        <f>'10B Sem 2'!P47</f>
        <v>1047</v>
      </c>
      <c r="R136" s="30">
        <f>'10B Sem 2'!Q47</f>
        <v>95.181818181818187</v>
      </c>
      <c r="S136" s="30">
        <f>'10B Sem 2'!R47</f>
        <v>2</v>
      </c>
      <c r="T136" s="30">
        <f>'10B Sem 2'!S47</f>
        <v>0</v>
      </c>
      <c r="U136" s="30">
        <f>'10B Sem 2'!T47</f>
        <v>0</v>
      </c>
      <c r="V136" s="6"/>
      <c r="W136" s="6"/>
      <c r="X136" s="6"/>
      <c r="Y136" s="6"/>
      <c r="Z136" s="6"/>
    </row>
    <row r="137" spans="1:26" ht="17.25" customHeight="1" x14ac:dyDescent="0.25">
      <c r="A137" s="295"/>
      <c r="B137" s="293"/>
      <c r="C137" s="294">
        <v>15</v>
      </c>
      <c r="D137" s="294" t="s">
        <v>23</v>
      </c>
      <c r="E137" s="29" t="s">
        <v>16</v>
      </c>
      <c r="F137" s="30">
        <f>AVERAGE(F135:F136)</f>
        <v>95</v>
      </c>
      <c r="G137" s="30">
        <f t="shared" ref="G137:R137" si="43">AVERAGE(G135:G136)</f>
        <v>87.5</v>
      </c>
      <c r="H137" s="30">
        <f t="shared" si="43"/>
        <v>90</v>
      </c>
      <c r="I137" s="30">
        <f t="shared" si="43"/>
        <v>96.5</v>
      </c>
      <c r="J137" s="30">
        <f t="shared" si="43"/>
        <v>89.5</v>
      </c>
      <c r="K137" s="30">
        <f t="shared" si="43"/>
        <v>97</v>
      </c>
      <c r="L137" s="30">
        <f t="shared" si="43"/>
        <v>96.5</v>
      </c>
      <c r="M137" s="30">
        <f t="shared" si="43"/>
        <v>95.5</v>
      </c>
      <c r="N137" s="30">
        <f t="shared" si="43"/>
        <v>97</v>
      </c>
      <c r="O137" s="30">
        <f t="shared" si="43"/>
        <v>100</v>
      </c>
      <c r="P137" s="30">
        <f t="shared" si="43"/>
        <v>100</v>
      </c>
      <c r="Q137" s="30">
        <f t="shared" si="43"/>
        <v>1044.5</v>
      </c>
      <c r="R137" s="30">
        <f t="shared" si="43"/>
        <v>94.954545454545467</v>
      </c>
      <c r="S137" s="30">
        <f>'10B Sem avr'!$H$47</f>
        <v>1</v>
      </c>
      <c r="T137" s="45">
        <f>AVERAGE(T135:T136)</f>
        <v>0</v>
      </c>
      <c r="U137" s="45">
        <f>AVERAGE(U135:U136)</f>
        <v>0</v>
      </c>
      <c r="V137" s="6"/>
      <c r="W137" s="6"/>
      <c r="X137" s="6"/>
      <c r="Y137" s="6"/>
      <c r="Z137" s="6"/>
    </row>
    <row r="138" spans="1:26" ht="17.25" customHeight="1" x14ac:dyDescent="0.25">
      <c r="A138" s="292">
        <v>45</v>
      </c>
      <c r="B138" s="295"/>
      <c r="C138" s="297">
        <v>16</v>
      </c>
      <c r="D138" s="297" t="s">
        <v>23</v>
      </c>
      <c r="E138" s="29" t="s">
        <v>21</v>
      </c>
      <c r="F138" s="30">
        <f>'10B Sem 1'!E48</f>
        <v>93</v>
      </c>
      <c r="G138" s="30">
        <f>'10B Sem 1'!F48</f>
        <v>71</v>
      </c>
      <c r="H138" s="30">
        <f>'10B Sem 1'!G48</f>
        <v>65</v>
      </c>
      <c r="I138" s="30">
        <f>'10B Sem 1'!H48</f>
        <v>83</v>
      </c>
      <c r="J138" s="30">
        <f>'10B Sem 1'!I48</f>
        <v>67</v>
      </c>
      <c r="K138" s="30">
        <f>'10B Sem 1'!J48</f>
        <v>89</v>
      </c>
      <c r="L138" s="30">
        <f>'10B Sem 1'!K48</f>
        <v>79</v>
      </c>
      <c r="M138" s="30">
        <f>'10B Sem 1'!L48</f>
        <v>79</v>
      </c>
      <c r="N138" s="30">
        <f>'10B Sem 1'!M48</f>
        <v>87</v>
      </c>
      <c r="O138" s="30">
        <f>'10B Sem 1'!N48</f>
        <v>87</v>
      </c>
      <c r="P138" s="30">
        <f>'10B Sem 1'!O48</f>
        <v>100</v>
      </c>
      <c r="Q138" s="30">
        <f>'10B Sem 1'!P48</f>
        <v>900</v>
      </c>
      <c r="R138" s="30">
        <f>'10B Sem 1'!Q48</f>
        <v>81.818181818181813</v>
      </c>
      <c r="S138" s="30">
        <f>'10B Sem 1'!R48</f>
        <v>12</v>
      </c>
      <c r="T138" s="30">
        <f>'10B Sem 1'!S48</f>
        <v>0</v>
      </c>
      <c r="U138" s="30">
        <f>'10B Sem 1'!T48</f>
        <v>0</v>
      </c>
      <c r="V138" s="6"/>
      <c r="W138" s="6"/>
      <c r="X138" s="6"/>
      <c r="Y138" s="6"/>
      <c r="Z138" s="6"/>
    </row>
    <row r="139" spans="1:26" ht="18" customHeight="1" x14ac:dyDescent="0.25">
      <c r="A139" s="292"/>
      <c r="B139" s="295"/>
      <c r="C139" s="297">
        <v>16</v>
      </c>
      <c r="D139" s="297" t="s">
        <v>23</v>
      </c>
      <c r="E139" s="29" t="s">
        <v>22</v>
      </c>
      <c r="F139" s="30">
        <f>'10B Sem 2'!E48</f>
        <v>87</v>
      </c>
      <c r="G139" s="30">
        <f>'10B Sem 2'!F48</f>
        <v>79</v>
      </c>
      <c r="H139" s="30">
        <f>'10B Sem 2'!G48</f>
        <v>72</v>
      </c>
      <c r="I139" s="30">
        <f>'10B Sem 2'!H48</f>
        <v>73</v>
      </c>
      <c r="J139" s="30">
        <f>'10B Sem 2'!I48</f>
        <v>81</v>
      </c>
      <c r="K139" s="30">
        <f>'10B Sem 2'!J48</f>
        <v>94</v>
      </c>
      <c r="L139" s="30">
        <f>'10B Sem 2'!K48</f>
        <v>92</v>
      </c>
      <c r="M139" s="30">
        <f>'10B Sem 2'!L48</f>
        <v>91</v>
      </c>
      <c r="N139" s="30">
        <f>'10B Sem 2'!M48</f>
        <v>95</v>
      </c>
      <c r="O139" s="30">
        <f>'10B Sem 2'!N48</f>
        <v>95</v>
      </c>
      <c r="P139" s="30">
        <f>'10B Sem 2'!O48</f>
        <v>94</v>
      </c>
      <c r="Q139" s="30">
        <f>'10B Sem 2'!P48</f>
        <v>953</v>
      </c>
      <c r="R139" s="30">
        <f>'10B Sem 2'!Q48</f>
        <v>86.63636363636364</v>
      </c>
      <c r="S139" s="30">
        <f>'10B Sem 2'!R48</f>
        <v>8</v>
      </c>
      <c r="T139" s="30">
        <f>'10B Sem 2'!S48</f>
        <v>0</v>
      </c>
      <c r="U139" s="30">
        <f>'10B Sem 2'!T48</f>
        <v>0</v>
      </c>
    </row>
    <row r="140" spans="1:26" ht="18" customHeight="1" x14ac:dyDescent="0.25">
      <c r="A140" s="292"/>
      <c r="B140" s="295"/>
      <c r="C140" s="297">
        <v>16</v>
      </c>
      <c r="D140" s="297" t="s">
        <v>23</v>
      </c>
      <c r="E140" s="29" t="s">
        <v>16</v>
      </c>
      <c r="F140" s="30">
        <f>AVERAGE(F138:F139)</f>
        <v>90</v>
      </c>
      <c r="G140" s="30">
        <f t="shared" ref="G140:R140" si="44">AVERAGE(G138:G139)</f>
        <v>75</v>
      </c>
      <c r="H140" s="30">
        <f t="shared" si="44"/>
        <v>68.5</v>
      </c>
      <c r="I140" s="30">
        <f t="shared" si="44"/>
        <v>78</v>
      </c>
      <c r="J140" s="30">
        <f t="shared" si="44"/>
        <v>74</v>
      </c>
      <c r="K140" s="30">
        <f t="shared" si="44"/>
        <v>91.5</v>
      </c>
      <c r="L140" s="30">
        <f t="shared" si="44"/>
        <v>85.5</v>
      </c>
      <c r="M140" s="30">
        <f t="shared" si="44"/>
        <v>85</v>
      </c>
      <c r="N140" s="30">
        <f t="shared" si="44"/>
        <v>91</v>
      </c>
      <c r="O140" s="30">
        <f t="shared" si="44"/>
        <v>91</v>
      </c>
      <c r="P140" s="30">
        <f t="shared" si="44"/>
        <v>97</v>
      </c>
      <c r="Q140" s="30">
        <f t="shared" si="44"/>
        <v>926.5</v>
      </c>
      <c r="R140" s="30">
        <f t="shared" si="44"/>
        <v>84.22727272727272</v>
      </c>
      <c r="S140" s="30">
        <f>'10B Sem avr'!$H$48</f>
        <v>11</v>
      </c>
      <c r="T140" s="45">
        <f>AVERAGE(T138:T139)</f>
        <v>0</v>
      </c>
      <c r="U140" s="45">
        <f>AVERAGE(U138:U139)</f>
        <v>0</v>
      </c>
    </row>
    <row r="141" spans="1:26" ht="18" customHeight="1" x14ac:dyDescent="0.25">
      <c r="A141" s="295">
        <v>46</v>
      </c>
      <c r="B141" s="296"/>
      <c r="C141" s="294">
        <v>14</v>
      </c>
      <c r="D141" s="294" t="s">
        <v>20</v>
      </c>
      <c r="E141" s="29" t="s">
        <v>21</v>
      </c>
      <c r="F141" s="30">
        <f>'10B Sem 1'!E49</f>
        <v>91</v>
      </c>
      <c r="G141" s="30">
        <f>'10B Sem 1'!F49</f>
        <v>85</v>
      </c>
      <c r="H141" s="30">
        <f>'10B Sem 1'!G49</f>
        <v>84</v>
      </c>
      <c r="I141" s="30">
        <f>'10B Sem 1'!H49</f>
        <v>90</v>
      </c>
      <c r="J141" s="30">
        <f>'10B Sem 1'!I49</f>
        <v>86</v>
      </c>
      <c r="K141" s="30">
        <f>'10B Sem 1'!J49</f>
        <v>90</v>
      </c>
      <c r="L141" s="31">
        <f>'10B Sem 1'!K49</f>
        <v>89</v>
      </c>
      <c r="M141" s="30">
        <f>'10B Sem 1'!L49</f>
        <v>88</v>
      </c>
      <c r="N141" s="30">
        <f>'10B Sem 1'!M49</f>
        <v>94</v>
      </c>
      <c r="O141" s="30">
        <f>'10B Sem 1'!N49</f>
        <v>95</v>
      </c>
      <c r="P141" s="30">
        <f>'10B Sem 1'!O49</f>
        <v>95</v>
      </c>
      <c r="Q141" s="30">
        <f>'10B Sem 1'!P49</f>
        <v>987</v>
      </c>
      <c r="R141" s="30">
        <f>'10B Sem 1'!Q49</f>
        <v>89.727272727272734</v>
      </c>
      <c r="S141" s="30">
        <f>'10B Sem 1'!R49</f>
        <v>5</v>
      </c>
      <c r="T141" s="30">
        <f>'10B Sem 1'!S49</f>
        <v>0</v>
      </c>
      <c r="U141" s="30">
        <f>'10B Sem 1'!T49</f>
        <v>0</v>
      </c>
    </row>
    <row r="142" spans="1:26" ht="18" customHeight="1" x14ac:dyDescent="0.25">
      <c r="A142" s="295"/>
      <c r="B142" s="296"/>
      <c r="C142" s="294">
        <v>14</v>
      </c>
      <c r="D142" s="294" t="s">
        <v>20</v>
      </c>
      <c r="E142" s="29" t="s">
        <v>22</v>
      </c>
      <c r="F142" s="30">
        <f>'10B Sem 2'!E49</f>
        <v>92</v>
      </c>
      <c r="G142" s="30">
        <f>'10B Sem 2'!F49</f>
        <v>88</v>
      </c>
      <c r="H142" s="30">
        <f>'10B Sem 2'!G49</f>
        <v>77</v>
      </c>
      <c r="I142" s="30">
        <f>'10B Sem 2'!H49</f>
        <v>65</v>
      </c>
      <c r="J142" s="30">
        <f>'10B Sem 2'!I49</f>
        <v>76</v>
      </c>
      <c r="K142" s="30">
        <f>'10B Sem 2'!J49</f>
        <v>89</v>
      </c>
      <c r="L142" s="31">
        <f>'10B Sem 2'!K49</f>
        <v>94</v>
      </c>
      <c r="M142" s="30">
        <f>'10B Sem 2'!L49</f>
        <v>94</v>
      </c>
      <c r="N142" s="30">
        <f>'10B Sem 2'!M49</f>
        <v>100</v>
      </c>
      <c r="O142" s="30">
        <f>'10B Sem 2'!N49</f>
        <v>91</v>
      </c>
      <c r="P142" s="30">
        <f>'10B Sem 2'!O49</f>
        <v>96</v>
      </c>
      <c r="Q142" s="30">
        <f>'10B Sem 2'!P49</f>
        <v>962</v>
      </c>
      <c r="R142" s="30">
        <f>'10B Sem 2'!Q49</f>
        <v>87.454545454545453</v>
      </c>
      <c r="S142" s="30">
        <f>'10B Sem 2'!R49</f>
        <v>7</v>
      </c>
      <c r="T142" s="30">
        <f>'10B Sem 2'!S49</f>
        <v>0</v>
      </c>
      <c r="U142" s="30">
        <f>'10B Sem 2'!T49</f>
        <v>0</v>
      </c>
    </row>
    <row r="143" spans="1:26" ht="18" customHeight="1" x14ac:dyDescent="0.25">
      <c r="A143" s="295"/>
      <c r="B143" s="296"/>
      <c r="C143" s="294">
        <v>14</v>
      </c>
      <c r="D143" s="294" t="s">
        <v>20</v>
      </c>
      <c r="E143" s="29" t="s">
        <v>16</v>
      </c>
      <c r="F143" s="30">
        <f>AVERAGE(F141:F142)</f>
        <v>91.5</v>
      </c>
      <c r="G143" s="30">
        <f t="shared" ref="G143:R143" si="45">AVERAGE(G141:G142)</f>
        <v>86.5</v>
      </c>
      <c r="H143" s="30">
        <f t="shared" si="45"/>
        <v>80.5</v>
      </c>
      <c r="I143" s="30">
        <f t="shared" si="45"/>
        <v>77.5</v>
      </c>
      <c r="J143" s="30">
        <f t="shared" si="45"/>
        <v>81</v>
      </c>
      <c r="K143" s="30">
        <f t="shared" si="45"/>
        <v>89.5</v>
      </c>
      <c r="L143" s="30">
        <f t="shared" si="45"/>
        <v>91.5</v>
      </c>
      <c r="M143" s="30">
        <f t="shared" si="45"/>
        <v>91</v>
      </c>
      <c r="N143" s="30">
        <f t="shared" si="45"/>
        <v>97</v>
      </c>
      <c r="O143" s="30">
        <f t="shared" si="45"/>
        <v>93</v>
      </c>
      <c r="P143" s="30">
        <f t="shared" si="45"/>
        <v>95.5</v>
      </c>
      <c r="Q143" s="30">
        <f t="shared" si="45"/>
        <v>974.5</v>
      </c>
      <c r="R143" s="30">
        <f t="shared" si="45"/>
        <v>88.590909090909093</v>
      </c>
      <c r="S143" s="30">
        <f>'10B Sem avr'!$H$49</f>
        <v>6</v>
      </c>
      <c r="T143" s="45">
        <f>AVERAGE(T141:T142)</f>
        <v>0</v>
      </c>
      <c r="U143" s="45">
        <f>AVERAGE(U141:U142)</f>
        <v>0</v>
      </c>
    </row>
    <row r="144" spans="1:26" ht="18" customHeight="1" x14ac:dyDescent="0.25">
      <c r="A144" s="295">
        <v>47</v>
      </c>
      <c r="B144" s="333"/>
      <c r="C144" s="297">
        <v>15</v>
      </c>
      <c r="D144" s="297" t="s">
        <v>20</v>
      </c>
      <c r="E144" s="29" t="s">
        <v>21</v>
      </c>
      <c r="F144" s="30">
        <f>'10B Sem 1'!E50</f>
        <v>72</v>
      </c>
      <c r="G144" s="30">
        <f>'10B Sem 1'!F50</f>
        <v>58</v>
      </c>
      <c r="H144" s="30">
        <f>'10B Sem 1'!G50</f>
        <v>70</v>
      </c>
      <c r="I144" s="30">
        <f>'10B Sem 1'!H50</f>
        <v>66</v>
      </c>
      <c r="J144" s="30">
        <f>'10B Sem 1'!I50</f>
        <v>57</v>
      </c>
      <c r="K144" s="30">
        <f>'10B Sem 1'!J50</f>
        <v>75</v>
      </c>
      <c r="L144" s="30">
        <f>'10B Sem 1'!K50</f>
        <v>69</v>
      </c>
      <c r="M144" s="30">
        <f>'10B Sem 1'!L50</f>
        <v>68</v>
      </c>
      <c r="N144" s="30">
        <f>'10B Sem 1'!M50</f>
        <v>67</v>
      </c>
      <c r="O144" s="30">
        <f>'10B Sem 1'!N50</f>
        <v>73</v>
      </c>
      <c r="P144" s="30">
        <f>'10B Sem 1'!O50</f>
        <v>81</v>
      </c>
      <c r="Q144" s="30">
        <f>'10B Sem 1'!P50</f>
        <v>756</v>
      </c>
      <c r="R144" s="30">
        <f>'10B Sem 1'!Q50</f>
        <v>68.727272727272734</v>
      </c>
      <c r="S144" s="30">
        <f>'10B Sem 1'!R50</f>
        <v>31</v>
      </c>
      <c r="T144" s="30">
        <f>'10B Sem 1'!S50</f>
        <v>0</v>
      </c>
      <c r="U144" s="30">
        <f>'10B Sem 1'!T50</f>
        <v>0</v>
      </c>
    </row>
    <row r="145" spans="1:21" ht="18" customHeight="1" x14ac:dyDescent="0.25">
      <c r="A145" s="295"/>
      <c r="B145" s="333"/>
      <c r="C145" s="297">
        <v>15</v>
      </c>
      <c r="D145" s="297" t="s">
        <v>20</v>
      </c>
      <c r="E145" s="29" t="s">
        <v>22</v>
      </c>
      <c r="F145" s="30">
        <f>'10B Sem 2'!E50</f>
        <v>73</v>
      </c>
      <c r="G145" s="30">
        <f>'10B Sem 2'!F50</f>
        <v>61</v>
      </c>
      <c r="H145" s="30">
        <f>'10B Sem 2'!G50</f>
        <v>71</v>
      </c>
      <c r="I145" s="30">
        <f>'10B Sem 2'!H50</f>
        <v>56</v>
      </c>
      <c r="J145" s="30">
        <f>'10B Sem 2'!I50</f>
        <v>57</v>
      </c>
      <c r="K145" s="30">
        <f>'10B Sem 2'!J50</f>
        <v>57</v>
      </c>
      <c r="L145" s="30">
        <f>'10B Sem 2'!K50</f>
        <v>61</v>
      </c>
      <c r="M145" s="30">
        <f>'10B Sem 2'!L50</f>
        <v>73</v>
      </c>
      <c r="N145" s="30">
        <f>'10B Sem 2'!M50</f>
        <v>73</v>
      </c>
      <c r="O145" s="30">
        <f>'10B Sem 2'!N50</f>
        <v>84</v>
      </c>
      <c r="P145" s="30">
        <f>'10B Sem 2'!O50</f>
        <v>86</v>
      </c>
      <c r="Q145" s="30">
        <f>'10B Sem 2'!P50</f>
        <v>752</v>
      </c>
      <c r="R145" s="30">
        <f>'10B Sem 2'!Q50</f>
        <v>68.36363636363636</v>
      </c>
      <c r="S145" s="30">
        <f>'10B Sem 2'!R50</f>
        <v>32</v>
      </c>
      <c r="T145" s="30">
        <f>'10B Sem 2'!S50</f>
        <v>0</v>
      </c>
      <c r="U145" s="30">
        <f>'10B Sem 2'!T50</f>
        <v>0</v>
      </c>
    </row>
    <row r="146" spans="1:21" ht="18" customHeight="1" x14ac:dyDescent="0.25">
      <c r="A146" s="295"/>
      <c r="B146" s="333"/>
      <c r="C146" s="297">
        <v>15</v>
      </c>
      <c r="D146" s="297" t="s">
        <v>20</v>
      </c>
      <c r="E146" s="29" t="s">
        <v>16</v>
      </c>
      <c r="F146" s="30">
        <f>AVERAGE(F144:F145)</f>
        <v>72.5</v>
      </c>
      <c r="G146" s="30">
        <f t="shared" ref="G146:R146" si="46">AVERAGE(G144:G145)</f>
        <v>59.5</v>
      </c>
      <c r="H146" s="30">
        <f t="shared" si="46"/>
        <v>70.5</v>
      </c>
      <c r="I146" s="30">
        <f t="shared" si="46"/>
        <v>61</v>
      </c>
      <c r="J146" s="30">
        <f t="shared" si="46"/>
        <v>57</v>
      </c>
      <c r="K146" s="30">
        <f t="shared" si="46"/>
        <v>66</v>
      </c>
      <c r="L146" s="30">
        <f t="shared" si="46"/>
        <v>65</v>
      </c>
      <c r="M146" s="30">
        <f t="shared" si="46"/>
        <v>70.5</v>
      </c>
      <c r="N146" s="30">
        <f t="shared" si="46"/>
        <v>70</v>
      </c>
      <c r="O146" s="30">
        <f t="shared" si="46"/>
        <v>78.5</v>
      </c>
      <c r="P146" s="30">
        <f t="shared" si="46"/>
        <v>83.5</v>
      </c>
      <c r="Q146" s="30">
        <f t="shared" si="46"/>
        <v>754</v>
      </c>
      <c r="R146" s="30">
        <f t="shared" si="46"/>
        <v>68.545454545454547</v>
      </c>
      <c r="S146" s="30">
        <f>'10B Sem avr'!$H$50</f>
        <v>31</v>
      </c>
      <c r="T146" s="45">
        <f>AVERAGE(T144:T145)</f>
        <v>0</v>
      </c>
      <c r="U146" s="45">
        <f>AVERAGE(U144:U145)</f>
        <v>0</v>
      </c>
    </row>
    <row r="147" spans="1:21" ht="18" customHeight="1" x14ac:dyDescent="0.25">
      <c r="A147" s="295">
        <v>48</v>
      </c>
      <c r="B147" s="293"/>
      <c r="C147" s="294">
        <v>15</v>
      </c>
      <c r="D147" s="294" t="s">
        <v>23</v>
      </c>
      <c r="E147" s="29" t="s">
        <v>21</v>
      </c>
      <c r="F147" s="30">
        <f>'10B Sem 1'!E51</f>
        <v>89</v>
      </c>
      <c r="G147" s="30">
        <f>'10B Sem 1'!F51</f>
        <v>74</v>
      </c>
      <c r="H147" s="30">
        <f>'10B Sem 1'!G51</f>
        <v>66</v>
      </c>
      <c r="I147" s="30">
        <f>'10B Sem 1'!H51</f>
        <v>74</v>
      </c>
      <c r="J147" s="30">
        <f>'10B Sem 1'!I51</f>
        <v>66</v>
      </c>
      <c r="K147" s="30">
        <f>'10B Sem 1'!J51</f>
        <v>65</v>
      </c>
      <c r="L147" s="30">
        <f>'10B Sem 1'!K51</f>
        <v>75</v>
      </c>
      <c r="M147" s="30">
        <f>'10B Sem 1'!L51</f>
        <v>59</v>
      </c>
      <c r="N147" s="30">
        <f>'10B Sem 1'!M51</f>
        <v>80</v>
      </c>
      <c r="O147" s="30">
        <f>'10B Sem 1'!N51</f>
        <v>88</v>
      </c>
      <c r="P147" s="30">
        <f>'10B Sem 1'!O51</f>
        <v>92</v>
      </c>
      <c r="Q147" s="30">
        <f>'10B Sem 1'!P51</f>
        <v>828</v>
      </c>
      <c r="R147" s="30">
        <f>'10B Sem 1'!Q51</f>
        <v>75.272727272727266</v>
      </c>
      <c r="S147" s="30">
        <f>'10B Sem 1'!R51</f>
        <v>20</v>
      </c>
      <c r="T147" s="30">
        <f>'10B Sem 1'!S51</f>
        <v>0</v>
      </c>
      <c r="U147" s="30">
        <f>'10B Sem 1'!T51</f>
        <v>0</v>
      </c>
    </row>
    <row r="148" spans="1:21" ht="18" customHeight="1" x14ac:dyDescent="0.25">
      <c r="A148" s="295"/>
      <c r="B148" s="293"/>
      <c r="C148" s="294">
        <v>15</v>
      </c>
      <c r="D148" s="294" t="s">
        <v>23</v>
      </c>
      <c r="E148" s="29" t="s">
        <v>22</v>
      </c>
      <c r="F148" s="30">
        <f>'10B Sem 2'!E51</f>
        <v>85</v>
      </c>
      <c r="G148" s="30">
        <f>'10B Sem 2'!F51</f>
        <v>77</v>
      </c>
      <c r="H148" s="30">
        <f>'10B Sem 2'!G51</f>
        <v>72</v>
      </c>
      <c r="I148" s="30">
        <f>'10B Sem 2'!H51</f>
        <v>64</v>
      </c>
      <c r="J148" s="30">
        <f>'10B Sem 2'!I51</f>
        <v>61</v>
      </c>
      <c r="K148" s="30">
        <f>'10B Sem 2'!J51</f>
        <v>84</v>
      </c>
      <c r="L148" s="30">
        <f>'10B Sem 2'!K51</f>
        <v>79</v>
      </c>
      <c r="M148" s="30">
        <f>'10B Sem 2'!L51</f>
        <v>68</v>
      </c>
      <c r="N148" s="30">
        <f>'10B Sem 2'!M51</f>
        <v>94</v>
      </c>
      <c r="O148" s="30">
        <f>'10B Sem 2'!N51</f>
        <v>84</v>
      </c>
      <c r="P148" s="30">
        <f>'10B Sem 2'!O51</f>
        <v>85</v>
      </c>
      <c r="Q148" s="30">
        <f>'10B Sem 2'!P51</f>
        <v>853</v>
      </c>
      <c r="R148" s="30">
        <f>'10B Sem 2'!Q51</f>
        <v>77.545454545454547</v>
      </c>
      <c r="S148" s="30">
        <f>'10B Sem 2'!R51</f>
        <v>21</v>
      </c>
      <c r="T148" s="30">
        <f>'10B Sem 2'!S51</f>
        <v>0</v>
      </c>
      <c r="U148" s="30">
        <f>'10B Sem 2'!T51</f>
        <v>0</v>
      </c>
    </row>
    <row r="149" spans="1:21" ht="18" customHeight="1" x14ac:dyDescent="0.25">
      <c r="A149" s="295"/>
      <c r="B149" s="293"/>
      <c r="C149" s="294">
        <v>15</v>
      </c>
      <c r="D149" s="294" t="s">
        <v>23</v>
      </c>
      <c r="E149" s="29" t="s">
        <v>16</v>
      </c>
      <c r="F149" s="30">
        <f>AVERAGE(F147:F148)</f>
        <v>87</v>
      </c>
      <c r="G149" s="30">
        <f t="shared" ref="G149:R149" si="47">AVERAGE(G147:G148)</f>
        <v>75.5</v>
      </c>
      <c r="H149" s="30">
        <f t="shared" si="47"/>
        <v>69</v>
      </c>
      <c r="I149" s="30">
        <f t="shared" si="47"/>
        <v>69</v>
      </c>
      <c r="J149" s="30">
        <f t="shared" si="47"/>
        <v>63.5</v>
      </c>
      <c r="K149" s="30">
        <f t="shared" si="47"/>
        <v>74.5</v>
      </c>
      <c r="L149" s="30">
        <f t="shared" si="47"/>
        <v>77</v>
      </c>
      <c r="M149" s="30">
        <f t="shared" si="47"/>
        <v>63.5</v>
      </c>
      <c r="N149" s="30">
        <f t="shared" si="47"/>
        <v>87</v>
      </c>
      <c r="O149" s="30">
        <f t="shared" si="47"/>
        <v>86</v>
      </c>
      <c r="P149" s="30">
        <f t="shared" si="47"/>
        <v>88.5</v>
      </c>
      <c r="Q149" s="30">
        <f t="shared" si="47"/>
        <v>840.5</v>
      </c>
      <c r="R149" s="30">
        <f t="shared" si="47"/>
        <v>76.409090909090907</v>
      </c>
      <c r="S149" s="30">
        <f>'10B Sem avr'!$H$51</f>
        <v>21</v>
      </c>
      <c r="T149" s="38">
        <f>AVERAGE(T147:T148)</f>
        <v>0</v>
      </c>
      <c r="U149" s="38">
        <f>AVERAGE(U147:U148)</f>
        <v>0</v>
      </c>
    </row>
    <row r="150" spans="1:21" ht="18" customHeight="1" x14ac:dyDescent="0.25">
      <c r="A150" s="292">
        <v>49</v>
      </c>
      <c r="B150" s="296"/>
      <c r="C150" s="294">
        <v>14</v>
      </c>
      <c r="D150" s="294" t="s">
        <v>23</v>
      </c>
      <c r="E150" s="29" t="s">
        <v>21</v>
      </c>
      <c r="F150" s="30">
        <f>'10B Sem 1'!E52</f>
        <v>61</v>
      </c>
      <c r="G150" s="30">
        <f>'10B Sem 1'!F52</f>
        <v>71</v>
      </c>
      <c r="H150" s="30">
        <f>'10B Sem 1'!G52</f>
        <v>51</v>
      </c>
      <c r="I150" s="30">
        <f>'10B Sem 1'!H52</f>
        <v>63</v>
      </c>
      <c r="J150" s="30">
        <f>'10B Sem 1'!I52</f>
        <v>53</v>
      </c>
      <c r="K150" s="30">
        <f>'10B Sem 1'!J52</f>
        <v>53</v>
      </c>
      <c r="L150" s="30">
        <f>'10B Sem 1'!K52</f>
        <v>60</v>
      </c>
      <c r="M150" s="30">
        <f>'10B Sem 1'!L52</f>
        <v>65</v>
      </c>
      <c r="N150" s="30">
        <f>'10B Sem 1'!M52</f>
        <v>78</v>
      </c>
      <c r="O150" s="30">
        <f>'10B Sem 1'!N52</f>
        <v>76</v>
      </c>
      <c r="P150" s="30">
        <f>'10B Sem 1'!O52</f>
        <v>84</v>
      </c>
      <c r="Q150" s="30">
        <f>'10B Sem 1'!P52</f>
        <v>715</v>
      </c>
      <c r="R150" s="30">
        <f>'10B Sem 1'!Q52</f>
        <v>65</v>
      </c>
      <c r="S150" s="30">
        <f>'10B Sem 1'!R52</f>
        <v>38</v>
      </c>
      <c r="T150" s="30">
        <f>'10B Sem 1'!S52</f>
        <v>0</v>
      </c>
      <c r="U150" s="30">
        <f>'10B Sem 1'!T52</f>
        <v>0</v>
      </c>
    </row>
    <row r="151" spans="1:21" ht="18" customHeight="1" x14ac:dyDescent="0.25">
      <c r="A151" s="292"/>
      <c r="B151" s="296"/>
      <c r="C151" s="294">
        <v>14</v>
      </c>
      <c r="D151" s="294" t="s">
        <v>23</v>
      </c>
      <c r="E151" s="29" t="s">
        <v>22</v>
      </c>
      <c r="F151" s="30">
        <f>'10B Sem 2'!E52</f>
        <v>59</v>
      </c>
      <c r="G151" s="30">
        <f>'10B Sem 2'!F52</f>
        <v>73</v>
      </c>
      <c r="H151" s="30">
        <f>'10B Sem 2'!G52</f>
        <v>36</v>
      </c>
      <c r="I151" s="30">
        <f>'10B Sem 2'!H52</f>
        <v>50</v>
      </c>
      <c r="J151" s="30">
        <f>'10B Sem 2'!I52</f>
        <v>61</v>
      </c>
      <c r="K151" s="30">
        <f>'10B Sem 2'!J52</f>
        <v>58</v>
      </c>
      <c r="L151" s="30">
        <f>'10B Sem 2'!K52</f>
        <v>60</v>
      </c>
      <c r="M151" s="30">
        <f>'10B Sem 2'!L52</f>
        <v>55</v>
      </c>
      <c r="N151" s="30">
        <f>'10B Sem 2'!M52</f>
        <v>59</v>
      </c>
      <c r="O151" s="30">
        <f>'10B Sem 2'!N52</f>
        <v>73</v>
      </c>
      <c r="P151" s="30">
        <f>'10B Sem 2'!O52</f>
        <v>82</v>
      </c>
      <c r="Q151" s="30">
        <f>'10B Sem 2'!P52</f>
        <v>666</v>
      </c>
      <c r="R151" s="30">
        <f>'10B Sem 2'!Q52</f>
        <v>60.545454545454547</v>
      </c>
      <c r="S151" s="30">
        <f>'10B Sem 2'!R52</f>
        <v>43</v>
      </c>
      <c r="T151" s="30">
        <f>'10B Sem 2'!S52</f>
        <v>0</v>
      </c>
      <c r="U151" s="30">
        <f>'10B Sem 2'!T52</f>
        <v>0</v>
      </c>
    </row>
    <row r="152" spans="1:21" ht="18" customHeight="1" x14ac:dyDescent="0.25">
      <c r="A152" s="292"/>
      <c r="B152" s="296"/>
      <c r="C152" s="294">
        <v>14</v>
      </c>
      <c r="D152" s="294" t="s">
        <v>23</v>
      </c>
      <c r="E152" s="29" t="s">
        <v>16</v>
      </c>
      <c r="F152" s="30">
        <f>AVERAGE(F150:F151)</f>
        <v>60</v>
      </c>
      <c r="G152" s="30">
        <f t="shared" ref="G152:R152" si="48">AVERAGE(G150:G151)</f>
        <v>72</v>
      </c>
      <c r="H152" s="30">
        <f t="shared" si="48"/>
        <v>43.5</v>
      </c>
      <c r="I152" s="30">
        <f t="shared" si="48"/>
        <v>56.5</v>
      </c>
      <c r="J152" s="30">
        <f t="shared" si="48"/>
        <v>57</v>
      </c>
      <c r="K152" s="30">
        <f t="shared" si="48"/>
        <v>55.5</v>
      </c>
      <c r="L152" s="30">
        <f t="shared" si="48"/>
        <v>60</v>
      </c>
      <c r="M152" s="30">
        <f t="shared" si="48"/>
        <v>60</v>
      </c>
      <c r="N152" s="30">
        <f t="shared" si="48"/>
        <v>68.5</v>
      </c>
      <c r="O152" s="30">
        <f t="shared" si="48"/>
        <v>74.5</v>
      </c>
      <c r="P152" s="30">
        <f t="shared" si="48"/>
        <v>83</v>
      </c>
      <c r="Q152" s="30">
        <f t="shared" si="48"/>
        <v>690.5</v>
      </c>
      <c r="R152" s="30">
        <f t="shared" si="48"/>
        <v>62.772727272727273</v>
      </c>
      <c r="S152" s="30">
        <f>'10B Sem avr'!$H$52</f>
        <v>39</v>
      </c>
      <c r="T152" s="38">
        <f>AVERAGE(T150:T151)</f>
        <v>0</v>
      </c>
      <c r="U152" s="38">
        <f>AVERAGE(U150:U151)</f>
        <v>0</v>
      </c>
    </row>
    <row r="153" spans="1:21" ht="18" customHeight="1" x14ac:dyDescent="0.25">
      <c r="A153" s="313">
        <v>50</v>
      </c>
      <c r="B153" s="327"/>
      <c r="C153" s="308">
        <v>15</v>
      </c>
      <c r="D153" s="308" t="s">
        <v>23</v>
      </c>
      <c r="E153" s="29" t="s">
        <v>21</v>
      </c>
      <c r="F153" s="30">
        <f>'10B Sem 1'!E53</f>
        <v>88</v>
      </c>
      <c r="G153" s="30">
        <f>'10B Sem 1'!F53</f>
        <v>84</v>
      </c>
      <c r="H153" s="30">
        <f>'10B Sem 1'!G53</f>
        <v>84</v>
      </c>
      <c r="I153" s="30">
        <f>'10B Sem 1'!H53</f>
        <v>72</v>
      </c>
      <c r="J153" s="30">
        <f>'10B Sem 1'!I53</f>
        <v>80</v>
      </c>
      <c r="K153" s="30">
        <f>'10B Sem 1'!J53</f>
        <v>76</v>
      </c>
      <c r="L153" s="30">
        <f>'10B Sem 1'!K53</f>
        <v>70</v>
      </c>
      <c r="M153" s="30">
        <f>'10B Sem 1'!L53</f>
        <v>72</v>
      </c>
      <c r="N153" s="30">
        <f>'10B Sem 1'!M53</f>
        <v>81</v>
      </c>
      <c r="O153" s="30">
        <f>'10B Sem 1'!N53</f>
        <v>92</v>
      </c>
      <c r="P153" s="30">
        <f>'10B Sem 1'!O53</f>
        <v>95</v>
      </c>
      <c r="Q153" s="30">
        <f>'10B Sem 1'!P53</f>
        <v>894</v>
      </c>
      <c r="R153" s="30">
        <f>'10B Sem 1'!Q53</f>
        <v>81.272727272727266</v>
      </c>
      <c r="S153" s="30">
        <f>'10B Sem 1'!R53</f>
        <v>13</v>
      </c>
      <c r="T153" s="41">
        <f>'10B Sem 1'!S53</f>
        <v>0</v>
      </c>
      <c r="U153" s="41">
        <f>'10B Sem 1'!T53</f>
        <v>0</v>
      </c>
    </row>
    <row r="154" spans="1:21" ht="18" customHeight="1" x14ac:dyDescent="0.25">
      <c r="A154" s="314"/>
      <c r="B154" s="328"/>
      <c r="C154" s="308">
        <v>15</v>
      </c>
      <c r="D154" s="308" t="s">
        <v>23</v>
      </c>
      <c r="E154" s="29" t="s">
        <v>22</v>
      </c>
      <c r="F154" s="30">
        <f>'10B Sem 2'!E53</f>
        <v>89</v>
      </c>
      <c r="G154" s="30">
        <f>'10B Sem 2'!F53</f>
        <v>88</v>
      </c>
      <c r="H154" s="30">
        <f>'10B Sem 2'!G53</f>
        <v>67</v>
      </c>
      <c r="I154" s="30">
        <f>'10B Sem 2'!H53</f>
        <v>61</v>
      </c>
      <c r="J154" s="30">
        <f>'10B Sem 2'!I53</f>
        <v>74</v>
      </c>
      <c r="K154" s="30">
        <f>'10B Sem 2'!J53</f>
        <v>82</v>
      </c>
      <c r="L154" s="30">
        <f>'10B Sem 2'!K53</f>
        <v>69</v>
      </c>
      <c r="M154" s="30">
        <f>'10B Sem 2'!L53</f>
        <v>83</v>
      </c>
      <c r="N154" s="30">
        <f>'10B Sem 2'!M53</f>
        <v>91</v>
      </c>
      <c r="O154" s="30">
        <f>'10B Sem 2'!N53</f>
        <v>76</v>
      </c>
      <c r="P154" s="30">
        <f>'10B Sem 2'!O53</f>
        <v>91</v>
      </c>
      <c r="Q154" s="30">
        <f>'10B Sem 2'!P53</f>
        <v>871</v>
      </c>
      <c r="R154" s="30">
        <f>'10B Sem 2'!Q53</f>
        <v>79.181818181818187</v>
      </c>
      <c r="S154" s="30">
        <f>'10B Sem 2'!R53</f>
        <v>19</v>
      </c>
      <c r="T154" s="41">
        <f>'10B Sem 2'!S53</f>
        <v>0</v>
      </c>
      <c r="U154" s="41">
        <f>'10B Sem 2'!T53</f>
        <v>0</v>
      </c>
    </row>
    <row r="155" spans="1:21" ht="18" customHeight="1" x14ac:dyDescent="0.25">
      <c r="A155" s="315"/>
      <c r="B155" s="329"/>
      <c r="C155" s="308">
        <v>15</v>
      </c>
      <c r="D155" s="308" t="s">
        <v>23</v>
      </c>
      <c r="E155" s="29" t="s">
        <v>16</v>
      </c>
      <c r="F155" s="30">
        <f>AVERAGE(F153:F154)</f>
        <v>88.5</v>
      </c>
      <c r="G155" s="30">
        <f t="shared" ref="G155:R155" si="49">AVERAGE(G153:G154)</f>
        <v>86</v>
      </c>
      <c r="H155" s="30">
        <f t="shared" si="49"/>
        <v>75.5</v>
      </c>
      <c r="I155" s="30">
        <f t="shared" si="49"/>
        <v>66.5</v>
      </c>
      <c r="J155" s="30">
        <f t="shared" si="49"/>
        <v>77</v>
      </c>
      <c r="K155" s="30">
        <f t="shared" si="49"/>
        <v>79</v>
      </c>
      <c r="L155" s="30">
        <f t="shared" si="49"/>
        <v>69.5</v>
      </c>
      <c r="M155" s="30">
        <f t="shared" si="49"/>
        <v>77.5</v>
      </c>
      <c r="N155" s="30">
        <f t="shared" si="49"/>
        <v>86</v>
      </c>
      <c r="O155" s="30">
        <f t="shared" si="49"/>
        <v>84</v>
      </c>
      <c r="P155" s="30">
        <f t="shared" si="49"/>
        <v>93</v>
      </c>
      <c r="Q155" s="30">
        <f t="shared" si="49"/>
        <v>882.5</v>
      </c>
      <c r="R155" s="30">
        <f t="shared" si="49"/>
        <v>80.22727272727272</v>
      </c>
      <c r="S155" s="30">
        <f>'10B Sem avr'!$H$53</f>
        <v>17</v>
      </c>
      <c r="T155" s="30">
        <f>AVERAGE(T153:T154)</f>
        <v>0</v>
      </c>
      <c r="U155" s="30">
        <f>AVERAGE(U153:U154)</f>
        <v>0</v>
      </c>
    </row>
    <row r="156" spans="1:21" ht="18" customHeight="1" x14ac:dyDescent="0.25">
      <c r="A156" s="340">
        <v>51</v>
      </c>
      <c r="B156" s="327"/>
      <c r="C156" s="308">
        <v>15</v>
      </c>
      <c r="D156" s="308" t="s">
        <v>23</v>
      </c>
      <c r="E156" s="29" t="s">
        <v>21</v>
      </c>
      <c r="F156" s="15">
        <f>'10B Sem 1'!E54</f>
        <v>79</v>
      </c>
      <c r="G156" s="15">
        <f>'10B Sem 1'!F54</f>
        <v>80</v>
      </c>
      <c r="H156" s="15">
        <f>'10B Sem 1'!G54</f>
        <v>62</v>
      </c>
      <c r="I156" s="15">
        <f>'10B Sem 1'!H54</f>
        <v>65</v>
      </c>
      <c r="J156" s="15">
        <f>'10B Sem 1'!I54</f>
        <v>61</v>
      </c>
      <c r="K156" s="15">
        <f>'10B Sem 1'!J54</f>
        <v>74</v>
      </c>
      <c r="L156" s="15">
        <f>'10B Sem 1'!K54</f>
        <v>72</v>
      </c>
      <c r="M156" s="15">
        <f>'10B Sem 1'!L54</f>
        <v>75</v>
      </c>
      <c r="N156" s="15">
        <f>'10B Sem 1'!M54</f>
        <v>81</v>
      </c>
      <c r="O156" s="15">
        <f>'10B Sem 1'!N54</f>
        <v>87</v>
      </c>
      <c r="P156" s="15">
        <f>'10B Sem 1'!O54</f>
        <v>92</v>
      </c>
      <c r="Q156" s="15">
        <f>'10B Sem 1'!P54</f>
        <v>828</v>
      </c>
      <c r="R156" s="15">
        <f>'10B Sem 1'!Q54</f>
        <v>75.272727272727266</v>
      </c>
      <c r="S156" s="15">
        <f>'10B Sem 1'!R54</f>
        <v>20</v>
      </c>
      <c r="T156" s="38">
        <f>'10B Sem 1'!S54</f>
        <v>0</v>
      </c>
      <c r="U156" s="38">
        <f>'10B Sem 1'!T54</f>
        <v>0</v>
      </c>
    </row>
    <row r="157" spans="1:21" ht="18" customHeight="1" x14ac:dyDescent="0.25">
      <c r="A157" s="340"/>
      <c r="B157" s="328"/>
      <c r="C157" s="308">
        <v>15</v>
      </c>
      <c r="D157" s="308" t="s">
        <v>23</v>
      </c>
      <c r="E157" s="29" t="s">
        <v>22</v>
      </c>
      <c r="F157" s="15">
        <f>'10B Sem 2'!E54</f>
        <v>84</v>
      </c>
      <c r="G157" s="15">
        <f>'10B Sem 2'!F54</f>
        <v>83</v>
      </c>
      <c r="H157" s="15">
        <f>'10B Sem 2'!G54</f>
        <v>59</v>
      </c>
      <c r="I157" s="15">
        <f>'10B Sem 2'!H54</f>
        <v>70</v>
      </c>
      <c r="J157" s="15">
        <f>'10B Sem 2'!I54</f>
        <v>64</v>
      </c>
      <c r="K157" s="15">
        <f>'10B Sem 2'!J54</f>
        <v>88</v>
      </c>
      <c r="L157" s="15">
        <f>'10B Sem 2'!K54</f>
        <v>91</v>
      </c>
      <c r="M157" s="15">
        <f>'10B Sem 2'!L54</f>
        <v>87</v>
      </c>
      <c r="N157" s="15">
        <f>'10B Sem 2'!M54</f>
        <v>93</v>
      </c>
      <c r="O157" s="15">
        <f>'10B Sem 2'!N54</f>
        <v>95</v>
      </c>
      <c r="P157" s="15">
        <f>'10B Sem 2'!O54</f>
        <v>98</v>
      </c>
      <c r="Q157" s="15">
        <f>'10B Sem 2'!P54</f>
        <v>912</v>
      </c>
      <c r="R157" s="15">
        <f>'10B Sem 2'!Q54</f>
        <v>82.909090909090907</v>
      </c>
      <c r="S157" s="15">
        <f>'10B Sem 2'!R54</f>
        <v>15</v>
      </c>
      <c r="T157" s="15">
        <f>'10B Sem 2'!S54</f>
        <v>0</v>
      </c>
      <c r="U157" s="15">
        <f>'10B Sem 2'!T54</f>
        <v>0</v>
      </c>
    </row>
    <row r="158" spans="1:21" ht="18" customHeight="1" x14ac:dyDescent="0.25">
      <c r="A158" s="340"/>
      <c r="B158" s="329"/>
      <c r="C158" s="308">
        <v>15</v>
      </c>
      <c r="D158" s="308" t="s">
        <v>23</v>
      </c>
      <c r="E158" s="29" t="s">
        <v>16</v>
      </c>
      <c r="F158" s="15">
        <f>AVERAGE(F156:F157)</f>
        <v>81.5</v>
      </c>
      <c r="G158" s="15">
        <f t="shared" ref="G158:R158" si="50">AVERAGE(G156:G157)</f>
        <v>81.5</v>
      </c>
      <c r="H158" s="15">
        <f t="shared" si="50"/>
        <v>60.5</v>
      </c>
      <c r="I158" s="15">
        <f t="shared" si="50"/>
        <v>67.5</v>
      </c>
      <c r="J158" s="15">
        <f t="shared" si="50"/>
        <v>62.5</v>
      </c>
      <c r="K158" s="15">
        <f t="shared" si="50"/>
        <v>81</v>
      </c>
      <c r="L158" s="15">
        <f t="shared" si="50"/>
        <v>81.5</v>
      </c>
      <c r="M158" s="15">
        <f t="shared" si="50"/>
        <v>81</v>
      </c>
      <c r="N158" s="15">
        <f t="shared" si="50"/>
        <v>87</v>
      </c>
      <c r="O158" s="15">
        <f t="shared" si="50"/>
        <v>91</v>
      </c>
      <c r="P158" s="15">
        <f t="shared" si="50"/>
        <v>95</v>
      </c>
      <c r="Q158" s="15">
        <f t="shared" si="50"/>
        <v>870</v>
      </c>
      <c r="R158" s="15">
        <f t="shared" si="50"/>
        <v>79.090909090909093</v>
      </c>
      <c r="S158" s="15">
        <f>'10B Sem avr'!$H$54</f>
        <v>19</v>
      </c>
      <c r="T158" s="38">
        <f>AVERAGE(T156:T157)</f>
        <v>0</v>
      </c>
      <c r="U158" s="38">
        <f>AVERAGE(U156:U157)</f>
        <v>0</v>
      </c>
    </row>
    <row r="159" spans="1:21" ht="18" customHeight="1" x14ac:dyDescent="0.25">
      <c r="A159" s="337">
        <v>52</v>
      </c>
      <c r="B159" s="327"/>
      <c r="C159" s="308">
        <v>16</v>
      </c>
      <c r="D159" s="308" t="s">
        <v>20</v>
      </c>
      <c r="E159" s="29" t="s">
        <v>21</v>
      </c>
      <c r="F159" s="15">
        <f>'10B Sem 1'!E55</f>
        <v>83</v>
      </c>
      <c r="G159" s="15">
        <f>'10B Sem 1'!F55</f>
        <v>66</v>
      </c>
      <c r="H159" s="15">
        <f>'10B Sem 1'!G55</f>
        <v>70</v>
      </c>
      <c r="I159" s="15">
        <f>'10B Sem 1'!H55</f>
        <v>75</v>
      </c>
      <c r="J159" s="15">
        <f>'10B Sem 1'!I55</f>
        <v>77</v>
      </c>
      <c r="K159" s="15">
        <f>'10B Sem 1'!J55</f>
        <v>84</v>
      </c>
      <c r="L159" s="15">
        <f>'10B Sem 1'!K55</f>
        <v>79</v>
      </c>
      <c r="M159" s="15">
        <f>'10B Sem 1'!L55</f>
        <v>82</v>
      </c>
      <c r="N159" s="15">
        <f>'10B Sem 1'!M55</f>
        <v>82</v>
      </c>
      <c r="O159" s="15">
        <f>'10B Sem 1'!N55</f>
        <v>74</v>
      </c>
      <c r="P159" s="15">
        <f>'10B Sem 1'!O55</f>
        <v>88</v>
      </c>
      <c r="Q159" s="15">
        <f>'10B Sem 1'!P55</f>
        <v>860</v>
      </c>
      <c r="R159" s="15">
        <f>'10B Sem 1'!Q55</f>
        <v>78.181818181818187</v>
      </c>
      <c r="S159" s="15">
        <f>'10B Sem 1'!R55</f>
        <v>18</v>
      </c>
      <c r="T159" s="15">
        <f>'10B Sem 1'!S55</f>
        <v>0</v>
      </c>
      <c r="U159" s="15">
        <f>'10B Sem 1'!T55</f>
        <v>0</v>
      </c>
    </row>
    <row r="160" spans="1:21" ht="18" customHeight="1" x14ac:dyDescent="0.25">
      <c r="A160" s="338"/>
      <c r="B160" s="328"/>
      <c r="C160" s="308">
        <v>16</v>
      </c>
      <c r="D160" s="308" t="s">
        <v>20</v>
      </c>
      <c r="E160" s="29" t="s">
        <v>22</v>
      </c>
      <c r="F160" s="15">
        <f>'10B Sem 2'!E55</f>
        <v>76</v>
      </c>
      <c r="G160" s="15">
        <f>'10B Sem 2'!F55</f>
        <v>73</v>
      </c>
      <c r="H160" s="15">
        <f>'10B Sem 2'!G55</f>
        <v>69</v>
      </c>
      <c r="I160" s="15">
        <f>'10B Sem 2'!H55</f>
        <v>71</v>
      </c>
      <c r="J160" s="15">
        <f>'10B Sem 2'!I55</f>
        <v>80</v>
      </c>
      <c r="K160" s="15">
        <f>'10B Sem 2'!J55</f>
        <v>86</v>
      </c>
      <c r="L160" s="15">
        <f>'10B Sem 2'!K55</f>
        <v>80</v>
      </c>
      <c r="M160" s="15">
        <f>'10B Sem 2'!L55</f>
        <v>87</v>
      </c>
      <c r="N160" s="15">
        <f>'10B Sem 2'!M55</f>
        <v>89</v>
      </c>
      <c r="O160" s="15">
        <f>'10B Sem 2'!N55</f>
        <v>79</v>
      </c>
      <c r="P160" s="15">
        <f>'10B Sem 2'!O55</f>
        <v>91</v>
      </c>
      <c r="Q160" s="15">
        <f>'10B Sem 2'!P55</f>
        <v>881</v>
      </c>
      <c r="R160" s="15">
        <f>'10B Sem 2'!Q55</f>
        <v>80.090909090909093</v>
      </c>
      <c r="S160" s="15">
        <f>'10B Sem 2'!R55</f>
        <v>18</v>
      </c>
      <c r="T160" s="15">
        <f>'10B Sem 2'!S55</f>
        <v>0</v>
      </c>
      <c r="U160" s="15">
        <f>'10B Sem 2'!T55</f>
        <v>0</v>
      </c>
    </row>
    <row r="161" spans="1:21" ht="18" customHeight="1" x14ac:dyDescent="0.25">
      <c r="A161" s="339"/>
      <c r="B161" s="329"/>
      <c r="C161" s="308">
        <v>16</v>
      </c>
      <c r="D161" s="308" t="s">
        <v>20</v>
      </c>
      <c r="E161" s="29" t="s">
        <v>16</v>
      </c>
      <c r="F161" s="15">
        <f>AVERAGE(F159:F160)</f>
        <v>79.5</v>
      </c>
      <c r="G161" s="15">
        <f t="shared" ref="G161:R161" si="51">AVERAGE(G159:G160)</f>
        <v>69.5</v>
      </c>
      <c r="H161" s="15">
        <f t="shared" si="51"/>
        <v>69.5</v>
      </c>
      <c r="I161" s="15">
        <f t="shared" si="51"/>
        <v>73</v>
      </c>
      <c r="J161" s="15">
        <f t="shared" si="51"/>
        <v>78.5</v>
      </c>
      <c r="K161" s="15">
        <f t="shared" si="51"/>
        <v>85</v>
      </c>
      <c r="L161" s="15">
        <f t="shared" si="51"/>
        <v>79.5</v>
      </c>
      <c r="M161" s="15">
        <f t="shared" si="51"/>
        <v>84.5</v>
      </c>
      <c r="N161" s="15">
        <f t="shared" si="51"/>
        <v>85.5</v>
      </c>
      <c r="O161" s="15">
        <f t="shared" si="51"/>
        <v>76.5</v>
      </c>
      <c r="P161" s="15">
        <f t="shared" si="51"/>
        <v>89.5</v>
      </c>
      <c r="Q161" s="15">
        <f t="shared" si="51"/>
        <v>870.5</v>
      </c>
      <c r="R161" s="15">
        <f t="shared" si="51"/>
        <v>79.13636363636364</v>
      </c>
      <c r="S161" s="15">
        <f>'10B Sem avr'!$H$55</f>
        <v>18</v>
      </c>
      <c r="T161" s="38">
        <f>AVERAGE(T159:T160)</f>
        <v>0</v>
      </c>
      <c r="U161" s="38">
        <f>AVERAGE(U159:U160)</f>
        <v>0</v>
      </c>
    </row>
    <row r="162" spans="1:21" ht="18" customHeight="1" x14ac:dyDescent="0.25">
      <c r="A162" s="340">
        <v>53</v>
      </c>
      <c r="B162" s="327"/>
      <c r="C162" s="308">
        <v>16</v>
      </c>
      <c r="D162" s="308" t="s">
        <v>20</v>
      </c>
      <c r="E162" s="29" t="s">
        <v>21</v>
      </c>
      <c r="F162" s="15">
        <f>'10B Sem 1'!E56</f>
        <v>80</v>
      </c>
      <c r="G162" s="15">
        <f>'10B Sem 1'!F56</f>
        <v>64</v>
      </c>
      <c r="H162" s="15">
        <f>'10B Sem 1'!G56</f>
        <v>79</v>
      </c>
      <c r="I162" s="15">
        <f>'10B Sem 1'!H56</f>
        <v>74</v>
      </c>
      <c r="J162" s="15">
        <f>'10B Sem 1'!I56</f>
        <v>66</v>
      </c>
      <c r="K162" s="15">
        <f>'10B Sem 1'!J56</f>
        <v>80</v>
      </c>
      <c r="L162" s="15">
        <f>'10B Sem 1'!K56</f>
        <v>77</v>
      </c>
      <c r="M162" s="15">
        <f>'10B Sem 1'!L56</f>
        <v>89</v>
      </c>
      <c r="N162" s="15">
        <f>'10B Sem 1'!M56</f>
        <v>83</v>
      </c>
      <c r="O162" s="15">
        <f>'10B Sem 1'!N56</f>
        <v>76</v>
      </c>
      <c r="P162" s="15">
        <f>'10B Sem 1'!O56</f>
        <v>81</v>
      </c>
      <c r="Q162" s="15">
        <f>'10B Sem 1'!P56</f>
        <v>849</v>
      </c>
      <c r="R162" s="15">
        <f>'10B Sem 1'!Q56</f>
        <v>77.181818181818187</v>
      </c>
      <c r="S162" s="15">
        <f>'10B Sem 1'!R56</f>
        <v>19</v>
      </c>
      <c r="T162" s="15">
        <f>'10B Sem 1'!S56</f>
        <v>0</v>
      </c>
      <c r="U162" s="15">
        <f>'10B Sem 1'!T56</f>
        <v>0</v>
      </c>
    </row>
    <row r="163" spans="1:21" ht="18" customHeight="1" x14ac:dyDescent="0.25">
      <c r="A163" s="340"/>
      <c r="B163" s="328"/>
      <c r="C163" s="308">
        <v>16</v>
      </c>
      <c r="D163" s="308" t="s">
        <v>20</v>
      </c>
      <c r="E163" s="29" t="s">
        <v>22</v>
      </c>
      <c r="F163" s="15">
        <f>'10B Sem 2'!E56</f>
        <v>72</v>
      </c>
      <c r="G163" s="15">
        <f>'10B Sem 2'!F56</f>
        <v>77</v>
      </c>
      <c r="H163" s="15">
        <f>'10B Sem 2'!G56</f>
        <v>75</v>
      </c>
      <c r="I163" s="15">
        <f>'10B Sem 2'!H56</f>
        <v>72</v>
      </c>
      <c r="J163" s="15">
        <f>'10B Sem 2'!I56</f>
        <v>62</v>
      </c>
      <c r="K163" s="15">
        <f>'10B Sem 2'!J56</f>
        <v>77</v>
      </c>
      <c r="L163" s="15">
        <f>'10B Sem 2'!K56</f>
        <v>79</v>
      </c>
      <c r="M163" s="15">
        <f>'10B Sem 2'!L56</f>
        <v>78</v>
      </c>
      <c r="N163" s="15">
        <f>'10B Sem 2'!M56</f>
        <v>80</v>
      </c>
      <c r="O163" s="15">
        <f>'10B Sem 2'!N56</f>
        <v>81</v>
      </c>
      <c r="P163" s="15">
        <f>'10B Sem 2'!O56</f>
        <v>85</v>
      </c>
      <c r="Q163" s="15">
        <f>'10B Sem 2'!P56</f>
        <v>838</v>
      </c>
      <c r="R163" s="15">
        <f>'10B Sem 2'!Q56</f>
        <v>76.181818181818187</v>
      </c>
      <c r="S163" s="15">
        <f>'10B Sem 2'!R56</f>
        <v>22</v>
      </c>
      <c r="T163" s="15">
        <f>'10B Sem 2'!S56</f>
        <v>0</v>
      </c>
      <c r="U163" s="15">
        <f>'10B Sem 2'!T56</f>
        <v>0</v>
      </c>
    </row>
    <row r="164" spans="1:21" ht="18" customHeight="1" x14ac:dyDescent="0.25">
      <c r="A164" s="340"/>
      <c r="B164" s="329"/>
      <c r="C164" s="308">
        <v>16</v>
      </c>
      <c r="D164" s="308" t="s">
        <v>20</v>
      </c>
      <c r="E164" s="29" t="s">
        <v>16</v>
      </c>
      <c r="F164" s="15">
        <f>AVERAGE(F162:F163)</f>
        <v>76</v>
      </c>
      <c r="G164" s="15">
        <f t="shared" ref="G164:R164" si="52">AVERAGE(G162:G163)</f>
        <v>70.5</v>
      </c>
      <c r="H164" s="15">
        <f t="shared" si="52"/>
        <v>77</v>
      </c>
      <c r="I164" s="15">
        <f t="shared" si="52"/>
        <v>73</v>
      </c>
      <c r="J164" s="15">
        <f t="shared" si="52"/>
        <v>64</v>
      </c>
      <c r="K164" s="15">
        <f t="shared" si="52"/>
        <v>78.5</v>
      </c>
      <c r="L164" s="15">
        <f t="shared" si="52"/>
        <v>78</v>
      </c>
      <c r="M164" s="15">
        <f t="shared" si="52"/>
        <v>83.5</v>
      </c>
      <c r="N164" s="15">
        <f t="shared" si="52"/>
        <v>81.5</v>
      </c>
      <c r="O164" s="15">
        <f t="shared" si="52"/>
        <v>78.5</v>
      </c>
      <c r="P164" s="15">
        <f t="shared" si="52"/>
        <v>83</v>
      </c>
      <c r="Q164" s="15">
        <f t="shared" si="52"/>
        <v>843.5</v>
      </c>
      <c r="R164" s="15">
        <f t="shared" si="52"/>
        <v>76.681818181818187</v>
      </c>
      <c r="S164" s="15">
        <f>'10B Sem avr'!$H$56</f>
        <v>20</v>
      </c>
      <c r="T164" s="38">
        <f>AVERAGE(T162:T163)</f>
        <v>0</v>
      </c>
      <c r="U164" s="38">
        <f>AVERAGE(U162:U163)</f>
        <v>0</v>
      </c>
    </row>
    <row r="165" spans="1:21" ht="18" customHeight="1" x14ac:dyDescent="0.25">
      <c r="A165" s="337">
        <v>54</v>
      </c>
      <c r="B165" s="327"/>
      <c r="C165" s="308">
        <v>14</v>
      </c>
      <c r="D165" s="308" t="s">
        <v>20</v>
      </c>
      <c r="E165" s="29" t="s">
        <v>21</v>
      </c>
      <c r="F165" s="15">
        <f>'10B Sem 1'!E57</f>
        <v>64</v>
      </c>
      <c r="G165" s="15">
        <f>'10B Sem 1'!F57</f>
        <v>55</v>
      </c>
      <c r="H165" s="15">
        <f>'10B Sem 1'!G57</f>
        <v>67</v>
      </c>
      <c r="I165" s="15">
        <f>'10B Sem 1'!H57</f>
        <v>59</v>
      </c>
      <c r="J165" s="15">
        <f>'10B Sem 1'!I57</f>
        <v>63</v>
      </c>
      <c r="K165" s="15">
        <f>'10B Sem 1'!J57</f>
        <v>65</v>
      </c>
      <c r="L165" s="15">
        <f>'10B Sem 1'!K57</f>
        <v>45</v>
      </c>
      <c r="M165" s="15">
        <f>'10B Sem 1'!L57</f>
        <v>72</v>
      </c>
      <c r="N165" s="15">
        <f>'10B Sem 1'!M57</f>
        <v>67</v>
      </c>
      <c r="O165" s="15">
        <f>'10B Sem 1'!N57</f>
        <v>69</v>
      </c>
      <c r="P165" s="15">
        <f>'10B Sem 1'!O57</f>
        <v>76</v>
      </c>
      <c r="Q165" s="15">
        <f>'10B Sem 1'!P57</f>
        <v>702</v>
      </c>
      <c r="R165" s="15">
        <f>'10B Sem 1'!Q57</f>
        <v>63.81818181818182</v>
      </c>
      <c r="S165" s="15">
        <f>'10B Sem 1'!R57</f>
        <v>39</v>
      </c>
      <c r="T165" s="15">
        <f>'10B Sem 1'!S57</f>
        <v>0</v>
      </c>
      <c r="U165" s="15">
        <f>'10B Sem 1'!T57</f>
        <v>0</v>
      </c>
    </row>
    <row r="166" spans="1:21" ht="18" customHeight="1" x14ac:dyDescent="0.25">
      <c r="A166" s="338"/>
      <c r="B166" s="328"/>
      <c r="C166" s="308">
        <v>14</v>
      </c>
      <c r="D166" s="308" t="s">
        <v>20</v>
      </c>
      <c r="E166" s="29" t="s">
        <v>22</v>
      </c>
      <c r="F166" s="15">
        <f>'10B Sem 2'!E57</f>
        <v>66</v>
      </c>
      <c r="G166" s="15">
        <f>'10B Sem 2'!F57</f>
        <v>54</v>
      </c>
      <c r="H166" s="15">
        <f>'10B Sem 2'!G57</f>
        <v>50</v>
      </c>
      <c r="I166" s="15">
        <f>'10B Sem 2'!H57</f>
        <v>51</v>
      </c>
      <c r="J166" s="15">
        <f>'10B Sem 2'!I57</f>
        <v>43</v>
      </c>
      <c r="K166" s="15">
        <f>'10B Sem 2'!J57</f>
        <v>56</v>
      </c>
      <c r="L166" s="15">
        <f>'10B Sem 2'!K57</f>
        <v>59</v>
      </c>
      <c r="M166" s="15">
        <f>'10B Sem 2'!L57</f>
        <v>58</v>
      </c>
      <c r="N166" s="15">
        <f>'10B Sem 2'!M57</f>
        <v>73</v>
      </c>
      <c r="O166" s="15">
        <f>'10B Sem 2'!N57</f>
        <v>81</v>
      </c>
      <c r="P166" s="15">
        <f>'10B Sem 2'!O57</f>
        <v>80</v>
      </c>
      <c r="Q166" s="15">
        <f>'10B Sem 2'!P57</f>
        <v>671</v>
      </c>
      <c r="R166" s="15">
        <f>'10B Sem 2'!Q57</f>
        <v>61</v>
      </c>
      <c r="S166" s="15">
        <f>'10B Sem 2'!R57</f>
        <v>41</v>
      </c>
      <c r="T166" s="15">
        <f>'10B Sem 2'!S57</f>
        <v>0</v>
      </c>
      <c r="U166" s="15">
        <f>'10B Sem 2'!T57</f>
        <v>0</v>
      </c>
    </row>
    <row r="167" spans="1:21" ht="18" customHeight="1" x14ac:dyDescent="0.25">
      <c r="A167" s="339"/>
      <c r="B167" s="329"/>
      <c r="C167" s="308">
        <v>14</v>
      </c>
      <c r="D167" s="308" t="s">
        <v>20</v>
      </c>
      <c r="E167" s="29" t="s">
        <v>16</v>
      </c>
      <c r="F167" s="15">
        <f>AVERAGE(F165:F166)</f>
        <v>65</v>
      </c>
      <c r="G167" s="15">
        <f t="shared" ref="G167:R167" si="53">AVERAGE(G165:G166)</f>
        <v>54.5</v>
      </c>
      <c r="H167" s="15">
        <f t="shared" si="53"/>
        <v>58.5</v>
      </c>
      <c r="I167" s="15">
        <f t="shared" si="53"/>
        <v>55</v>
      </c>
      <c r="J167" s="15">
        <f t="shared" si="53"/>
        <v>53</v>
      </c>
      <c r="K167" s="15">
        <f t="shared" si="53"/>
        <v>60.5</v>
      </c>
      <c r="L167" s="15">
        <f t="shared" si="53"/>
        <v>52</v>
      </c>
      <c r="M167" s="15">
        <f t="shared" si="53"/>
        <v>65</v>
      </c>
      <c r="N167" s="15">
        <f t="shared" si="53"/>
        <v>70</v>
      </c>
      <c r="O167" s="15">
        <f t="shared" si="53"/>
        <v>75</v>
      </c>
      <c r="P167" s="15">
        <f t="shared" si="53"/>
        <v>78</v>
      </c>
      <c r="Q167" s="15">
        <f t="shared" si="53"/>
        <v>686.5</v>
      </c>
      <c r="R167" s="15">
        <f t="shared" si="53"/>
        <v>62.409090909090907</v>
      </c>
      <c r="S167" s="15">
        <f>'10B Sem avr'!$H$57</f>
        <v>40</v>
      </c>
      <c r="T167" s="38">
        <f>AVERAGE(T165:T166)</f>
        <v>0</v>
      </c>
      <c r="U167" s="38">
        <f>AVERAGE(U165:U166)</f>
        <v>0</v>
      </c>
    </row>
    <row r="168" spans="1:21" ht="18" customHeight="1" x14ac:dyDescent="0.25">
      <c r="A168" s="340">
        <v>55</v>
      </c>
      <c r="B168" s="327"/>
      <c r="C168" s="308">
        <v>15</v>
      </c>
      <c r="D168" s="308" t="s">
        <v>23</v>
      </c>
      <c r="E168" s="29" t="s">
        <v>21</v>
      </c>
      <c r="F168" s="15">
        <f>'10B Sem 1'!E58</f>
        <v>78</v>
      </c>
      <c r="G168" s="15">
        <f>'10B Sem 1'!F58</f>
        <v>48</v>
      </c>
      <c r="H168" s="15">
        <f>'10B Sem 1'!G58</f>
        <v>44</v>
      </c>
      <c r="I168" s="15">
        <f>'10B Sem 1'!H58</f>
        <v>57</v>
      </c>
      <c r="J168" s="15">
        <f>'10B Sem 1'!I58</f>
        <v>61</v>
      </c>
      <c r="K168" s="15">
        <f>'10B Sem 1'!J58</f>
        <v>60</v>
      </c>
      <c r="L168" s="15">
        <f>'10B Sem 1'!K58</f>
        <v>63</v>
      </c>
      <c r="M168" s="15">
        <f>'10B Sem 1'!L58</f>
        <v>58</v>
      </c>
      <c r="N168" s="15">
        <f>'10B Sem 1'!M58</f>
        <v>60</v>
      </c>
      <c r="O168" s="15">
        <f>'10B Sem 1'!N58</f>
        <v>77</v>
      </c>
      <c r="P168" s="15">
        <f>'10B Sem 1'!O58</f>
        <v>86</v>
      </c>
      <c r="Q168" s="15">
        <f>'10B Sem 1'!P58</f>
        <v>692</v>
      </c>
      <c r="R168" s="15">
        <f>'10B Sem 1'!Q58</f>
        <v>62.909090909090907</v>
      </c>
      <c r="S168" s="15">
        <f>'10B Sem 1'!R58</f>
        <v>40</v>
      </c>
      <c r="T168" s="15">
        <f>'10B Sem 1'!S58</f>
        <v>0</v>
      </c>
      <c r="U168" s="15">
        <f>'10B Sem 1'!T58</f>
        <v>0</v>
      </c>
    </row>
    <row r="169" spans="1:21" ht="18" customHeight="1" x14ac:dyDescent="0.25">
      <c r="A169" s="340"/>
      <c r="B169" s="328"/>
      <c r="C169" s="308">
        <v>15</v>
      </c>
      <c r="D169" s="308" t="s">
        <v>23</v>
      </c>
      <c r="E169" s="29" t="s">
        <v>22</v>
      </c>
      <c r="F169" s="15">
        <f>'10B Sem 2'!E58</f>
        <v>77</v>
      </c>
      <c r="G169" s="15">
        <f>'10B Sem 2'!F58</f>
        <v>52</v>
      </c>
      <c r="H169" s="15">
        <f>'10B Sem 2'!G58</f>
        <v>44</v>
      </c>
      <c r="I169" s="15">
        <f>'10B Sem 2'!H58</f>
        <v>43</v>
      </c>
      <c r="J169" s="15">
        <f>'10B Sem 2'!I58</f>
        <v>54</v>
      </c>
      <c r="K169" s="15">
        <f>'10B Sem 2'!J58</f>
        <v>56</v>
      </c>
      <c r="L169" s="15">
        <f>'10B Sem 2'!K58</f>
        <v>57</v>
      </c>
      <c r="M169" s="15">
        <f>'10B Sem 2'!L58</f>
        <v>58</v>
      </c>
      <c r="N169" s="15">
        <f>'10B Sem 2'!M58</f>
        <v>73</v>
      </c>
      <c r="O169" s="15">
        <f>'10B Sem 2'!N58</f>
        <v>85</v>
      </c>
      <c r="P169" s="15">
        <f>'10B Sem 2'!O58</f>
        <v>82</v>
      </c>
      <c r="Q169" s="15">
        <f>'10B Sem 2'!P58</f>
        <v>681</v>
      </c>
      <c r="R169" s="15">
        <f>'10B Sem 2'!Q58</f>
        <v>61.909090909090907</v>
      </c>
      <c r="S169" s="15">
        <f>'10B Sem 2'!R58</f>
        <v>38</v>
      </c>
      <c r="T169" s="15">
        <f>'10B Sem 2'!S58</f>
        <v>0</v>
      </c>
      <c r="U169" s="15">
        <f>'10B Sem 2'!T58</f>
        <v>0</v>
      </c>
    </row>
    <row r="170" spans="1:21" ht="18" customHeight="1" x14ac:dyDescent="0.25">
      <c r="A170" s="340"/>
      <c r="B170" s="329"/>
      <c r="C170" s="308">
        <v>15</v>
      </c>
      <c r="D170" s="308" t="s">
        <v>23</v>
      </c>
      <c r="E170" s="29" t="s">
        <v>16</v>
      </c>
      <c r="F170" s="15">
        <f>AVERAGE(F168:F169)</f>
        <v>77.5</v>
      </c>
      <c r="G170" s="15">
        <f t="shared" ref="G170:R170" si="54">AVERAGE(G168:G169)</f>
        <v>50</v>
      </c>
      <c r="H170" s="15">
        <f t="shared" si="54"/>
        <v>44</v>
      </c>
      <c r="I170" s="15">
        <f t="shared" si="54"/>
        <v>50</v>
      </c>
      <c r="J170" s="15">
        <f t="shared" si="54"/>
        <v>57.5</v>
      </c>
      <c r="K170" s="15">
        <f t="shared" si="54"/>
        <v>58</v>
      </c>
      <c r="L170" s="15">
        <f t="shared" si="54"/>
        <v>60</v>
      </c>
      <c r="M170" s="15">
        <f t="shared" si="54"/>
        <v>58</v>
      </c>
      <c r="N170" s="15">
        <f t="shared" si="54"/>
        <v>66.5</v>
      </c>
      <c r="O170" s="15">
        <f t="shared" si="54"/>
        <v>81</v>
      </c>
      <c r="P170" s="15">
        <f t="shared" si="54"/>
        <v>84</v>
      </c>
      <c r="Q170" s="15">
        <f t="shared" si="54"/>
        <v>686.5</v>
      </c>
      <c r="R170" s="15">
        <f t="shared" si="54"/>
        <v>62.409090909090907</v>
      </c>
      <c r="S170" s="15">
        <f>'10B Sem avr'!$H$58</f>
        <v>40</v>
      </c>
      <c r="T170" s="38">
        <f>AVERAGE(T168:T169)</f>
        <v>0</v>
      </c>
      <c r="U170" s="38">
        <f>AVERAGE(U168:U169)</f>
        <v>0</v>
      </c>
    </row>
    <row r="171" spans="1:21" ht="18.75" customHeight="1" x14ac:dyDescent="0.25">
      <c r="A171" s="7"/>
      <c r="B171" s="6"/>
      <c r="C171" s="6"/>
      <c r="D171" s="6"/>
      <c r="E171" s="6"/>
    </row>
    <row r="172" spans="1:21" ht="18.75" customHeight="1" x14ac:dyDescent="0.25">
      <c r="A172" s="7"/>
      <c r="B172" s="6"/>
      <c r="C172" s="6"/>
      <c r="D172" s="6"/>
      <c r="E172" s="6"/>
    </row>
    <row r="173" spans="1:21" ht="18.75" customHeight="1" x14ac:dyDescent="0.25">
      <c r="A173" s="7"/>
      <c r="B173" s="6"/>
      <c r="C173" s="6"/>
      <c r="D173" s="6"/>
      <c r="E173" s="6"/>
    </row>
    <row r="174" spans="1:21" ht="18.75" customHeight="1" x14ac:dyDescent="0.25">
      <c r="A174" s="7"/>
      <c r="B174" s="6"/>
      <c r="C174" s="6"/>
      <c r="D174" s="6"/>
      <c r="E174" s="6"/>
    </row>
    <row r="175" spans="1:21" ht="18.75" customHeight="1" x14ac:dyDescent="0.25">
      <c r="A175" s="7"/>
      <c r="B175" s="6"/>
      <c r="C175" s="6"/>
      <c r="D175" s="6"/>
      <c r="E175" s="6"/>
    </row>
    <row r="176" spans="1:21" ht="18.75" customHeight="1" x14ac:dyDescent="0.25">
      <c r="A176" s="7"/>
      <c r="B176" s="6"/>
      <c r="C176" s="6"/>
      <c r="D176" s="6"/>
      <c r="E176" s="6"/>
    </row>
    <row r="177" spans="1:5" ht="18.75" customHeight="1" x14ac:dyDescent="0.25">
      <c r="A177" s="7"/>
      <c r="B177" s="6"/>
      <c r="C177" s="6"/>
      <c r="D177" s="6"/>
      <c r="E177" s="6"/>
    </row>
    <row r="178" spans="1:5" ht="18.75" customHeight="1" x14ac:dyDescent="0.25">
      <c r="A178" s="7"/>
      <c r="B178" s="6"/>
      <c r="C178" s="6"/>
      <c r="D178" s="6"/>
      <c r="E178" s="6"/>
    </row>
    <row r="179" spans="1:5" ht="18.75" customHeight="1" x14ac:dyDescent="0.25">
      <c r="A179" s="7"/>
      <c r="B179" s="6"/>
      <c r="C179" s="6"/>
      <c r="D179" s="6"/>
      <c r="E179" s="6"/>
    </row>
    <row r="180" spans="1:5" ht="18.75" customHeight="1" x14ac:dyDescent="0.25">
      <c r="A180" s="7"/>
      <c r="B180" s="6"/>
      <c r="C180" s="6"/>
      <c r="D180" s="6"/>
      <c r="E180" s="6"/>
    </row>
    <row r="181" spans="1:5" ht="18.75" customHeight="1" x14ac:dyDescent="0.25">
      <c r="A181" s="7"/>
      <c r="B181" s="6"/>
      <c r="C181" s="6"/>
      <c r="D181" s="6"/>
      <c r="E181" s="6"/>
    </row>
    <row r="182" spans="1:5" ht="18.75" customHeight="1" x14ac:dyDescent="0.25">
      <c r="A182" s="7"/>
      <c r="B182" s="6"/>
      <c r="C182" s="6"/>
      <c r="D182" s="6"/>
      <c r="E182" s="6"/>
    </row>
    <row r="183" spans="1:5" ht="18.75" customHeight="1" x14ac:dyDescent="0.25">
      <c r="A183" s="7"/>
      <c r="B183" s="6"/>
      <c r="C183" s="6"/>
      <c r="D183" s="6"/>
      <c r="E183" s="6"/>
    </row>
    <row r="184" spans="1:5" ht="18.75" customHeight="1" x14ac:dyDescent="0.25">
      <c r="A184" s="7"/>
      <c r="B184" s="6"/>
      <c r="C184" s="6"/>
      <c r="D184" s="6"/>
      <c r="E184" s="6"/>
    </row>
    <row r="185" spans="1:5" ht="18.75" customHeight="1" x14ac:dyDescent="0.25">
      <c r="A185" s="7"/>
      <c r="B185" s="6"/>
      <c r="C185" s="6"/>
      <c r="D185" s="6"/>
      <c r="E185" s="6"/>
    </row>
    <row r="186" spans="1:5" ht="18.75" customHeight="1" x14ac:dyDescent="0.25">
      <c r="A186" s="7"/>
      <c r="B186" s="6"/>
      <c r="C186" s="6"/>
      <c r="D186" s="6"/>
      <c r="E186" s="6"/>
    </row>
    <row r="187" spans="1:5" ht="18.75" customHeight="1" x14ac:dyDescent="0.25">
      <c r="A187" s="7"/>
      <c r="B187" s="6"/>
      <c r="C187" s="6"/>
      <c r="D187" s="6"/>
      <c r="E187" s="6"/>
    </row>
    <row r="188" spans="1:5" ht="15.75" x14ac:dyDescent="0.25">
      <c r="A188" s="7"/>
      <c r="B188" s="6"/>
      <c r="C188" s="6"/>
      <c r="D188" s="6"/>
      <c r="E188" s="6"/>
    </row>
    <row r="189" spans="1:5" ht="15.75" x14ac:dyDescent="0.25">
      <c r="A189" s="7"/>
      <c r="B189" s="6"/>
      <c r="C189" s="6"/>
      <c r="D189" s="6"/>
      <c r="E189" s="6"/>
    </row>
    <row r="190" spans="1:5" ht="15.75" x14ac:dyDescent="0.25">
      <c r="B190" s="6"/>
      <c r="C190" s="6"/>
      <c r="D190" s="6"/>
      <c r="E190" s="6"/>
    </row>
    <row r="191" spans="1:5" ht="19.5" customHeight="1" x14ac:dyDescent="0.25">
      <c r="B191" s="6"/>
      <c r="C191" s="6"/>
      <c r="D191" s="6"/>
      <c r="E191" s="6"/>
    </row>
    <row r="192" spans="1:5" ht="15.75" x14ac:dyDescent="0.25">
      <c r="B192" s="6"/>
      <c r="C192" s="6"/>
      <c r="D192" s="6"/>
      <c r="E192" s="6"/>
    </row>
    <row r="193" spans="2:4" ht="15.75" x14ac:dyDescent="0.25">
      <c r="B193" s="6"/>
      <c r="C193"/>
      <c r="D193"/>
    </row>
    <row r="194" spans="2:4" ht="16.5" customHeight="1" x14ac:dyDescent="0.25">
      <c r="C194"/>
      <c r="D194"/>
    </row>
    <row r="195" spans="2:4" x14ac:dyDescent="0.25">
      <c r="C195"/>
      <c r="D195"/>
    </row>
    <row r="196" spans="2:4" x14ac:dyDescent="0.25">
      <c r="C196"/>
      <c r="D196"/>
    </row>
    <row r="197" spans="2:4" x14ac:dyDescent="0.25">
      <c r="C197"/>
      <c r="D197"/>
    </row>
    <row r="198" spans="2:4" x14ac:dyDescent="0.25">
      <c r="C198"/>
      <c r="D198"/>
    </row>
    <row r="199" spans="2:4" x14ac:dyDescent="0.25">
      <c r="C199"/>
      <c r="D199"/>
    </row>
    <row r="200" spans="2:4" x14ac:dyDescent="0.25">
      <c r="C200"/>
      <c r="D200"/>
    </row>
    <row r="201" spans="2:4" x14ac:dyDescent="0.25">
      <c r="C201"/>
      <c r="D201"/>
    </row>
    <row r="202" spans="2:4" x14ac:dyDescent="0.25">
      <c r="C202"/>
      <c r="D202"/>
    </row>
    <row r="203" spans="2:4" ht="17.25" customHeight="1" x14ac:dyDescent="0.25">
      <c r="C203"/>
      <c r="D203"/>
    </row>
    <row r="204" spans="2:4" x14ac:dyDescent="0.25">
      <c r="C204"/>
      <c r="D204"/>
    </row>
    <row r="205" spans="2:4" x14ac:dyDescent="0.25">
      <c r="C205"/>
      <c r="D205"/>
    </row>
    <row r="206" spans="2:4" ht="19.5" customHeight="1" x14ac:dyDescent="0.25">
      <c r="C206"/>
      <c r="D206"/>
    </row>
    <row r="207" spans="2:4" x14ac:dyDescent="0.25">
      <c r="C207"/>
      <c r="D207"/>
    </row>
    <row r="208" spans="2:4" x14ac:dyDescent="0.25">
      <c r="C208"/>
      <c r="D208"/>
    </row>
    <row r="209" spans="3:4" x14ac:dyDescent="0.25">
      <c r="C209"/>
      <c r="D209"/>
    </row>
    <row r="210" spans="3:4" x14ac:dyDescent="0.25">
      <c r="C210"/>
      <c r="D210"/>
    </row>
    <row r="211" spans="3:4" x14ac:dyDescent="0.25">
      <c r="C211"/>
      <c r="D211"/>
    </row>
    <row r="212" spans="3:4" x14ac:dyDescent="0.25">
      <c r="C212"/>
      <c r="D212"/>
    </row>
    <row r="213" spans="3:4" x14ac:dyDescent="0.25">
      <c r="C213"/>
      <c r="D213"/>
    </row>
    <row r="214" spans="3:4" x14ac:dyDescent="0.25">
      <c r="C214"/>
      <c r="D214"/>
    </row>
    <row r="215" spans="3:4" x14ac:dyDescent="0.25">
      <c r="C215"/>
      <c r="D215"/>
    </row>
    <row r="216" spans="3:4" x14ac:dyDescent="0.25">
      <c r="C216"/>
      <c r="D216"/>
    </row>
    <row r="217" spans="3:4" x14ac:dyDescent="0.25">
      <c r="C217"/>
      <c r="D217"/>
    </row>
    <row r="218" spans="3:4" x14ac:dyDescent="0.25">
      <c r="C218"/>
      <c r="D218"/>
    </row>
    <row r="219" spans="3:4" x14ac:dyDescent="0.25">
      <c r="C219"/>
      <c r="D219"/>
    </row>
  </sheetData>
  <mergeCells count="222">
    <mergeCell ref="A165:A167"/>
    <mergeCell ref="B165:B167"/>
    <mergeCell ref="C165:C167"/>
    <mergeCell ref="D165:D167"/>
    <mergeCell ref="A168:A170"/>
    <mergeCell ref="B168:B170"/>
    <mergeCell ref="C168:C170"/>
    <mergeCell ref="D168:D170"/>
    <mergeCell ref="A156:A158"/>
    <mergeCell ref="A159:A161"/>
    <mergeCell ref="A162:A164"/>
    <mergeCell ref="B156:B158"/>
    <mergeCell ref="C156:C158"/>
    <mergeCell ref="D156:D158"/>
    <mergeCell ref="B159:B161"/>
    <mergeCell ref="C159:C161"/>
    <mergeCell ref="D159:D161"/>
    <mergeCell ref="B162:B164"/>
    <mergeCell ref="C162:C164"/>
    <mergeCell ref="D162:D164"/>
    <mergeCell ref="A1:U1"/>
    <mergeCell ref="A3:U3"/>
    <mergeCell ref="A6:A8"/>
    <mergeCell ref="B6:B8"/>
    <mergeCell ref="C6:C8"/>
    <mergeCell ref="D6:D8"/>
    <mergeCell ref="A15:A17"/>
    <mergeCell ref="B15:B17"/>
    <mergeCell ref="C15:C17"/>
    <mergeCell ref="D15:D17"/>
    <mergeCell ref="A18:A20"/>
    <mergeCell ref="B18:B20"/>
    <mergeCell ref="C18:C20"/>
    <mergeCell ref="D18:D20"/>
    <mergeCell ref="A9:A11"/>
    <mergeCell ref="B9:B11"/>
    <mergeCell ref="C9:C11"/>
    <mergeCell ref="D9:D11"/>
    <mergeCell ref="A12:A14"/>
    <mergeCell ref="B12:B14"/>
    <mergeCell ref="C12:C14"/>
    <mergeCell ref="D12:D14"/>
    <mergeCell ref="A27:A29"/>
    <mergeCell ref="B27:B29"/>
    <mergeCell ref="C27:C29"/>
    <mergeCell ref="D27:D29"/>
    <mergeCell ref="A30:A32"/>
    <mergeCell ref="B30:B32"/>
    <mergeCell ref="C30:C32"/>
    <mergeCell ref="A21:A23"/>
    <mergeCell ref="B21:B23"/>
    <mergeCell ref="C21:C23"/>
    <mergeCell ref="D21:D23"/>
    <mergeCell ref="A24:A26"/>
    <mergeCell ref="B24:B26"/>
    <mergeCell ref="C24:C26"/>
    <mergeCell ref="D24:D26"/>
    <mergeCell ref="A39:A41"/>
    <mergeCell ref="B39:B41"/>
    <mergeCell ref="C39:C41"/>
    <mergeCell ref="D39:D41"/>
    <mergeCell ref="A42:A44"/>
    <mergeCell ref="B42:B44"/>
    <mergeCell ref="C42:C44"/>
    <mergeCell ref="D42:D44"/>
    <mergeCell ref="A33:A35"/>
    <mergeCell ref="B33:B35"/>
    <mergeCell ref="C33:C35"/>
    <mergeCell ref="A36:A38"/>
    <mergeCell ref="B36:B38"/>
    <mergeCell ref="C36:C38"/>
    <mergeCell ref="D36:D38"/>
    <mergeCell ref="A51:A53"/>
    <mergeCell ref="B51:B53"/>
    <mergeCell ref="C51:C53"/>
    <mergeCell ref="D51:D53"/>
    <mergeCell ref="A54:A56"/>
    <mergeCell ref="B54:B56"/>
    <mergeCell ref="C54:C56"/>
    <mergeCell ref="D54:D56"/>
    <mergeCell ref="A45:A47"/>
    <mergeCell ref="B45:B47"/>
    <mergeCell ref="C45:C47"/>
    <mergeCell ref="D45:D47"/>
    <mergeCell ref="A48:A50"/>
    <mergeCell ref="B48:B50"/>
    <mergeCell ref="C48:C50"/>
    <mergeCell ref="D48:D50"/>
    <mergeCell ref="A63:A65"/>
    <mergeCell ref="B63:B65"/>
    <mergeCell ref="C63:C65"/>
    <mergeCell ref="D63:D65"/>
    <mergeCell ref="A66:A68"/>
    <mergeCell ref="B66:B68"/>
    <mergeCell ref="C66:C68"/>
    <mergeCell ref="D66:D68"/>
    <mergeCell ref="A57:A59"/>
    <mergeCell ref="B57:B59"/>
    <mergeCell ref="C57:C59"/>
    <mergeCell ref="D57:D59"/>
    <mergeCell ref="A60:A62"/>
    <mergeCell ref="B60:B62"/>
    <mergeCell ref="C60:C62"/>
    <mergeCell ref="D60:D62"/>
    <mergeCell ref="A75:A77"/>
    <mergeCell ref="B75:B77"/>
    <mergeCell ref="C75:C77"/>
    <mergeCell ref="D75:D77"/>
    <mergeCell ref="A78:A80"/>
    <mergeCell ref="B78:B80"/>
    <mergeCell ref="C78:C80"/>
    <mergeCell ref="D78:D80"/>
    <mergeCell ref="A69:A71"/>
    <mergeCell ref="B69:B71"/>
    <mergeCell ref="C69:C71"/>
    <mergeCell ref="D69:D71"/>
    <mergeCell ref="A72:A74"/>
    <mergeCell ref="B72:B74"/>
    <mergeCell ref="C72:C74"/>
    <mergeCell ref="D72:D74"/>
    <mergeCell ref="A87:A89"/>
    <mergeCell ref="B87:B89"/>
    <mergeCell ref="C87:C89"/>
    <mergeCell ref="D87:D89"/>
    <mergeCell ref="A90:A92"/>
    <mergeCell ref="B90:B92"/>
    <mergeCell ref="C90:C92"/>
    <mergeCell ref="D90:D92"/>
    <mergeCell ref="A81:A83"/>
    <mergeCell ref="B81:B83"/>
    <mergeCell ref="C81:C83"/>
    <mergeCell ref="D81:D83"/>
    <mergeCell ref="A84:A86"/>
    <mergeCell ref="B84:B86"/>
    <mergeCell ref="C84:C86"/>
    <mergeCell ref="D84:D86"/>
    <mergeCell ref="A99:A101"/>
    <mergeCell ref="B99:B101"/>
    <mergeCell ref="C99:C101"/>
    <mergeCell ref="D99:D101"/>
    <mergeCell ref="A102:A104"/>
    <mergeCell ref="B102:B104"/>
    <mergeCell ref="A93:A95"/>
    <mergeCell ref="B93:B95"/>
    <mergeCell ref="C93:C95"/>
    <mergeCell ref="D93:D95"/>
    <mergeCell ref="A96:A98"/>
    <mergeCell ref="B96:B98"/>
    <mergeCell ref="C96:C98"/>
    <mergeCell ref="D96:D98"/>
    <mergeCell ref="A111:A113"/>
    <mergeCell ref="B111:B113"/>
    <mergeCell ref="C111:C113"/>
    <mergeCell ref="D111:D113"/>
    <mergeCell ref="A114:A116"/>
    <mergeCell ref="B114:B116"/>
    <mergeCell ref="C114:C116"/>
    <mergeCell ref="D114:D116"/>
    <mergeCell ref="A105:A107"/>
    <mergeCell ref="B105:B107"/>
    <mergeCell ref="C105:C107"/>
    <mergeCell ref="D105:D107"/>
    <mergeCell ref="A108:A110"/>
    <mergeCell ref="B108:B110"/>
    <mergeCell ref="C108:C110"/>
    <mergeCell ref="D108:D110"/>
    <mergeCell ref="A123:A125"/>
    <mergeCell ref="B123:B125"/>
    <mergeCell ref="C123:C125"/>
    <mergeCell ref="D123:D125"/>
    <mergeCell ref="A126:A128"/>
    <mergeCell ref="B126:B128"/>
    <mergeCell ref="C126:C128"/>
    <mergeCell ref="D126:D128"/>
    <mergeCell ref="A117:A119"/>
    <mergeCell ref="B117:B119"/>
    <mergeCell ref="C117:C119"/>
    <mergeCell ref="D117:D119"/>
    <mergeCell ref="A120:A122"/>
    <mergeCell ref="B120:B122"/>
    <mergeCell ref="C120:C122"/>
    <mergeCell ref="D120:D122"/>
    <mergeCell ref="A135:A137"/>
    <mergeCell ref="B135:B137"/>
    <mergeCell ref="C135:C137"/>
    <mergeCell ref="D135:D137"/>
    <mergeCell ref="A138:A140"/>
    <mergeCell ref="B138:B140"/>
    <mergeCell ref="C138:C140"/>
    <mergeCell ref="D138:D140"/>
    <mergeCell ref="A129:A131"/>
    <mergeCell ref="B129:B131"/>
    <mergeCell ref="C129:C131"/>
    <mergeCell ref="D129:D131"/>
    <mergeCell ref="A132:A134"/>
    <mergeCell ref="B132:B134"/>
    <mergeCell ref="C132:C134"/>
    <mergeCell ref="D132:D134"/>
    <mergeCell ref="A153:A155"/>
    <mergeCell ref="B153:B155"/>
    <mergeCell ref="C153:C155"/>
    <mergeCell ref="D153:D155"/>
    <mergeCell ref="C102:C104"/>
    <mergeCell ref="D102:D104"/>
    <mergeCell ref="D30:D32"/>
    <mergeCell ref="D33:D35"/>
    <mergeCell ref="A147:A149"/>
    <mergeCell ref="B147:B149"/>
    <mergeCell ref="C147:C149"/>
    <mergeCell ref="D147:D149"/>
    <mergeCell ref="A150:A152"/>
    <mergeCell ref="B150:B152"/>
    <mergeCell ref="C150:C152"/>
    <mergeCell ref="D150:D152"/>
    <mergeCell ref="A141:A143"/>
    <mergeCell ref="B141:B143"/>
    <mergeCell ref="C141:C143"/>
    <mergeCell ref="D141:D143"/>
    <mergeCell ref="A144:A146"/>
    <mergeCell ref="B144:B146"/>
    <mergeCell ref="C144:C146"/>
    <mergeCell ref="D144:D146"/>
  </mergeCells>
  <pageMargins left="0.7" right="0.7" top="0.75" bottom="0.75" header="0.3" footer="0.3"/>
  <pageSetup paperSize="9" scale="81" fitToHeight="0" orientation="landscape" verticalDpi="0" r:id="rId1"/>
  <ignoredErrors>
    <ignoredError sqref="S152 S149 S8 S11 S14 S17 S20 S23 S26 S29 S32 S35 S38 S41 S44 S50 S53 S56 S59 S62 S65 S68 S71 S74 S77 S80 S83 S86 S89 S92 S95 S98 S101 S104 S107 S110 S113 S116 S119 S122 S125 S128 S131 S134 S137 S140 S143 S146 S47 S155:S170" formula="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58"/>
  <sheetViews>
    <sheetView workbookViewId="0">
      <selection activeCell="B4" sqref="B4:B58"/>
    </sheetView>
  </sheetViews>
  <sheetFormatPr defaultRowHeight="15" x14ac:dyDescent="0.25"/>
  <cols>
    <col min="1" max="1" width="6.7109375" style="14" customWidth="1"/>
    <col min="2" max="2" width="35.140625" bestFit="1" customWidth="1"/>
    <col min="3" max="3" width="4.7109375" customWidth="1"/>
    <col min="4" max="4" width="4.140625" customWidth="1"/>
    <col min="5" max="15" width="7.7109375" customWidth="1"/>
    <col min="16" max="17" width="7.7109375" style="14" customWidth="1"/>
    <col min="18" max="18" width="8.85546875" style="14" customWidth="1"/>
    <col min="19" max="20" width="7.7109375" style="14" customWidth="1"/>
  </cols>
  <sheetData>
    <row r="1" spans="1:20" ht="20.25" x14ac:dyDescent="0.25">
      <c r="A1" s="272" t="s">
        <v>48</v>
      </c>
      <c r="B1" s="273"/>
      <c r="C1" s="273"/>
      <c r="D1" s="273"/>
      <c r="E1" s="273"/>
      <c r="F1" s="273"/>
      <c r="G1" s="273"/>
      <c r="H1" s="273"/>
      <c r="I1" s="273"/>
      <c r="J1" s="273"/>
      <c r="K1" s="273"/>
      <c r="L1" s="273"/>
      <c r="M1" s="273"/>
      <c r="N1" s="273"/>
      <c r="O1" s="273"/>
      <c r="P1" s="273"/>
      <c r="Q1" s="273"/>
      <c r="R1" s="273"/>
      <c r="S1" s="273"/>
      <c r="T1" s="274"/>
    </row>
    <row r="2" spans="1:20" ht="18" thickBot="1" x14ac:dyDescent="0.3">
      <c r="A2" s="275" t="s">
        <v>49</v>
      </c>
      <c r="B2" s="275"/>
      <c r="C2" s="275"/>
      <c r="D2" s="275"/>
      <c r="E2" s="275"/>
      <c r="F2" s="275"/>
      <c r="G2" s="275"/>
      <c r="H2" s="275"/>
      <c r="I2" s="275"/>
      <c r="J2" s="275"/>
      <c r="K2" s="275"/>
      <c r="L2" s="275"/>
      <c r="M2" s="275"/>
      <c r="N2" s="275"/>
      <c r="O2" s="275"/>
      <c r="P2" s="275"/>
      <c r="Q2" s="275"/>
      <c r="R2" s="275"/>
      <c r="S2" s="275"/>
      <c r="T2" s="275"/>
    </row>
    <row r="3" spans="1:20" ht="67.5" customHeight="1" thickBot="1" x14ac:dyDescent="0.3">
      <c r="A3" s="21" t="s">
        <v>24</v>
      </c>
      <c r="B3" s="171" t="s">
        <v>1</v>
      </c>
      <c r="C3" s="151" t="s">
        <v>2</v>
      </c>
      <c r="D3" s="150" t="s">
        <v>3</v>
      </c>
      <c r="E3" s="25" t="s">
        <v>4</v>
      </c>
      <c r="F3" s="25" t="s">
        <v>5</v>
      </c>
      <c r="G3" s="25" t="s">
        <v>6</v>
      </c>
      <c r="H3" s="25" t="s">
        <v>7</v>
      </c>
      <c r="I3" s="25" t="s">
        <v>8</v>
      </c>
      <c r="J3" s="25" t="s">
        <v>9</v>
      </c>
      <c r="K3" s="26" t="s">
        <v>10</v>
      </c>
      <c r="L3" s="25" t="s">
        <v>11</v>
      </c>
      <c r="M3" s="27" t="s">
        <v>12</v>
      </c>
      <c r="N3" s="27" t="s">
        <v>13</v>
      </c>
      <c r="O3" s="25" t="s">
        <v>14</v>
      </c>
      <c r="P3" s="27" t="s">
        <v>15</v>
      </c>
      <c r="Q3" s="25" t="s">
        <v>16</v>
      </c>
      <c r="R3" s="25" t="s">
        <v>17</v>
      </c>
      <c r="S3" s="26" t="s">
        <v>18</v>
      </c>
      <c r="T3" s="28" t="s">
        <v>19</v>
      </c>
    </row>
    <row r="4" spans="1:20" ht="20.100000000000001" customHeight="1" x14ac:dyDescent="0.25">
      <c r="A4" s="136">
        <v>1</v>
      </c>
      <c r="B4" s="142"/>
      <c r="C4" s="156">
        <v>14</v>
      </c>
      <c r="D4" s="156" t="s">
        <v>20</v>
      </c>
      <c r="E4" s="155">
        <v>73</v>
      </c>
      <c r="F4" s="47">
        <v>74</v>
      </c>
      <c r="G4" s="47">
        <v>63</v>
      </c>
      <c r="H4" s="47">
        <v>73</v>
      </c>
      <c r="I4" s="47">
        <v>61</v>
      </c>
      <c r="J4" s="47">
        <v>81</v>
      </c>
      <c r="K4" s="47">
        <v>67</v>
      </c>
      <c r="L4" s="47">
        <v>69</v>
      </c>
      <c r="M4" s="47">
        <v>81</v>
      </c>
      <c r="N4" s="47">
        <v>92</v>
      </c>
      <c r="O4" s="47">
        <v>91</v>
      </c>
      <c r="P4" s="15">
        <f>SUM(E4:O4)</f>
        <v>825</v>
      </c>
      <c r="Q4" s="33">
        <f>AVERAGE(E4:O4)</f>
        <v>75</v>
      </c>
      <c r="R4" s="15">
        <f>RANK(Q4,$Q$4:$Q$58)</f>
        <v>22</v>
      </c>
      <c r="S4" s="15"/>
      <c r="T4" s="15"/>
    </row>
    <row r="5" spans="1:20" ht="20.100000000000001" customHeight="1" x14ac:dyDescent="0.25">
      <c r="A5" s="121">
        <v>2</v>
      </c>
      <c r="B5" s="142"/>
      <c r="C5" s="156">
        <v>16</v>
      </c>
      <c r="D5" s="156" t="s">
        <v>20</v>
      </c>
      <c r="E5" s="155">
        <v>77</v>
      </c>
      <c r="F5" s="47">
        <v>62</v>
      </c>
      <c r="G5" s="47">
        <v>75</v>
      </c>
      <c r="H5" s="47">
        <v>63</v>
      </c>
      <c r="I5" s="47">
        <v>63</v>
      </c>
      <c r="J5" s="47">
        <v>69</v>
      </c>
      <c r="K5" s="47">
        <v>64</v>
      </c>
      <c r="L5" s="47">
        <v>71</v>
      </c>
      <c r="M5" s="47">
        <v>67</v>
      </c>
      <c r="N5" s="47">
        <v>76</v>
      </c>
      <c r="O5" s="47">
        <v>75</v>
      </c>
      <c r="P5" s="15">
        <f t="shared" ref="P5:P58" si="0">SUM(E5:O5)</f>
        <v>762</v>
      </c>
      <c r="Q5" s="33">
        <f t="shared" ref="Q5:Q58" si="1">AVERAGE(E5:O5)</f>
        <v>69.272727272727266</v>
      </c>
      <c r="R5" s="15">
        <f t="shared" ref="R5:R58" si="2">RANK(Q5,$Q$4:$Q$58)</f>
        <v>30</v>
      </c>
      <c r="S5" s="15"/>
      <c r="T5" s="15"/>
    </row>
    <row r="6" spans="1:20" ht="20.100000000000001" customHeight="1" x14ac:dyDescent="0.25">
      <c r="A6" s="137">
        <v>3</v>
      </c>
      <c r="B6" s="142"/>
      <c r="C6" s="156">
        <v>16</v>
      </c>
      <c r="D6" s="156" t="s">
        <v>23</v>
      </c>
      <c r="E6" s="155">
        <v>85</v>
      </c>
      <c r="F6" s="47">
        <v>94</v>
      </c>
      <c r="G6" s="47">
        <v>76</v>
      </c>
      <c r="H6" s="47">
        <v>81</v>
      </c>
      <c r="I6" s="47">
        <v>76</v>
      </c>
      <c r="J6" s="47">
        <v>89</v>
      </c>
      <c r="K6" s="47">
        <v>83</v>
      </c>
      <c r="L6" s="47">
        <v>90</v>
      </c>
      <c r="M6" s="47">
        <v>90</v>
      </c>
      <c r="N6" s="47">
        <v>96</v>
      </c>
      <c r="O6" s="47">
        <v>100</v>
      </c>
      <c r="P6" s="15">
        <f t="shared" si="0"/>
        <v>960</v>
      </c>
      <c r="Q6" s="33">
        <f t="shared" si="1"/>
        <v>87.272727272727266</v>
      </c>
      <c r="R6" s="15">
        <f t="shared" si="2"/>
        <v>8</v>
      </c>
      <c r="S6" s="15"/>
      <c r="T6" s="15"/>
    </row>
    <row r="7" spans="1:20" ht="20.100000000000001" customHeight="1" x14ac:dyDescent="0.25">
      <c r="A7" s="121">
        <v>4</v>
      </c>
      <c r="B7" s="142"/>
      <c r="C7" s="156">
        <v>15</v>
      </c>
      <c r="D7" s="156" t="s">
        <v>23</v>
      </c>
      <c r="E7" s="155">
        <v>83</v>
      </c>
      <c r="F7" s="47">
        <v>76</v>
      </c>
      <c r="G7" s="47">
        <v>81</v>
      </c>
      <c r="H7" s="47">
        <v>89</v>
      </c>
      <c r="I7" s="47">
        <v>80</v>
      </c>
      <c r="J7" s="47">
        <v>88</v>
      </c>
      <c r="K7" s="47">
        <v>88</v>
      </c>
      <c r="L7" s="47">
        <v>75</v>
      </c>
      <c r="M7" s="47">
        <v>87</v>
      </c>
      <c r="N7" s="47">
        <v>98</v>
      </c>
      <c r="O7" s="47">
        <v>100</v>
      </c>
      <c r="P7" s="15">
        <f t="shared" si="0"/>
        <v>945</v>
      </c>
      <c r="Q7" s="33">
        <f t="shared" si="1"/>
        <v>85.909090909090907</v>
      </c>
      <c r="R7" s="15">
        <f t="shared" si="2"/>
        <v>9</v>
      </c>
      <c r="S7" s="15"/>
      <c r="T7" s="15"/>
    </row>
    <row r="8" spans="1:20" ht="20.100000000000001" customHeight="1" x14ac:dyDescent="0.25">
      <c r="A8" s="121">
        <v>5</v>
      </c>
      <c r="B8" s="142"/>
      <c r="C8" s="156">
        <v>16</v>
      </c>
      <c r="D8" s="156" t="s">
        <v>20</v>
      </c>
      <c r="E8" s="155">
        <v>81</v>
      </c>
      <c r="F8" s="47">
        <v>56</v>
      </c>
      <c r="G8" s="47">
        <v>68</v>
      </c>
      <c r="H8" s="47">
        <v>69</v>
      </c>
      <c r="I8" s="47">
        <v>56</v>
      </c>
      <c r="J8" s="47">
        <v>70</v>
      </c>
      <c r="K8" s="47">
        <v>74</v>
      </c>
      <c r="L8" s="47">
        <v>77</v>
      </c>
      <c r="M8" s="47">
        <v>79</v>
      </c>
      <c r="N8" s="47">
        <v>79</v>
      </c>
      <c r="O8" s="47">
        <v>94</v>
      </c>
      <c r="P8" s="15">
        <f t="shared" si="0"/>
        <v>803</v>
      </c>
      <c r="Q8" s="33">
        <f t="shared" si="1"/>
        <v>73</v>
      </c>
      <c r="R8" s="15">
        <f t="shared" si="2"/>
        <v>25</v>
      </c>
      <c r="S8" s="15"/>
      <c r="T8" s="15"/>
    </row>
    <row r="9" spans="1:20" ht="20.100000000000001" customHeight="1" x14ac:dyDescent="0.25">
      <c r="A9" s="137">
        <v>6</v>
      </c>
      <c r="B9" s="142"/>
      <c r="C9" s="156">
        <v>16</v>
      </c>
      <c r="D9" s="156" t="s">
        <v>23</v>
      </c>
      <c r="E9" s="155">
        <v>69</v>
      </c>
      <c r="F9" s="47">
        <v>38</v>
      </c>
      <c r="G9" s="47">
        <v>44</v>
      </c>
      <c r="H9" s="47">
        <v>57</v>
      </c>
      <c r="I9" s="47">
        <v>57</v>
      </c>
      <c r="J9" s="47">
        <v>47</v>
      </c>
      <c r="K9" s="47">
        <v>45</v>
      </c>
      <c r="L9" s="47">
        <v>58</v>
      </c>
      <c r="M9" s="47">
        <v>47</v>
      </c>
      <c r="N9" s="47">
        <v>70</v>
      </c>
      <c r="O9" s="47">
        <v>83</v>
      </c>
      <c r="P9" s="15">
        <f t="shared" si="0"/>
        <v>615</v>
      </c>
      <c r="Q9" s="33">
        <f t="shared" si="1"/>
        <v>55.909090909090907</v>
      </c>
      <c r="R9" s="15">
        <f t="shared" si="2"/>
        <v>51</v>
      </c>
      <c r="S9" s="15"/>
      <c r="T9" s="15"/>
    </row>
    <row r="10" spans="1:20" ht="20.100000000000001" customHeight="1" x14ac:dyDescent="0.25">
      <c r="A10" s="121">
        <v>7</v>
      </c>
      <c r="B10" s="142"/>
      <c r="C10" s="156">
        <v>16</v>
      </c>
      <c r="D10" s="156" t="s">
        <v>23</v>
      </c>
      <c r="E10" s="155">
        <v>84</v>
      </c>
      <c r="F10" s="47">
        <v>73</v>
      </c>
      <c r="G10" s="47">
        <v>91</v>
      </c>
      <c r="H10" s="47">
        <v>88</v>
      </c>
      <c r="I10" s="47">
        <v>75</v>
      </c>
      <c r="J10" s="47">
        <v>78</v>
      </c>
      <c r="K10" s="47">
        <v>75</v>
      </c>
      <c r="L10" s="47">
        <v>63</v>
      </c>
      <c r="M10" s="47">
        <v>74</v>
      </c>
      <c r="N10" s="47">
        <v>88</v>
      </c>
      <c r="O10" s="47">
        <v>85</v>
      </c>
      <c r="P10" s="15">
        <f t="shared" si="0"/>
        <v>874</v>
      </c>
      <c r="Q10" s="33">
        <f t="shared" si="1"/>
        <v>79.454545454545453</v>
      </c>
      <c r="R10" s="15">
        <f t="shared" si="2"/>
        <v>16</v>
      </c>
      <c r="S10" s="15"/>
      <c r="T10" s="15"/>
    </row>
    <row r="11" spans="1:20" ht="20.100000000000001" customHeight="1" x14ac:dyDescent="0.25">
      <c r="A11" s="121">
        <v>8</v>
      </c>
      <c r="B11" s="142"/>
      <c r="C11" s="156">
        <v>16</v>
      </c>
      <c r="D11" s="156" t="s">
        <v>20</v>
      </c>
      <c r="E11" s="155">
        <v>88</v>
      </c>
      <c r="F11" s="47">
        <v>72</v>
      </c>
      <c r="G11" s="47">
        <v>81</v>
      </c>
      <c r="H11" s="47">
        <v>81</v>
      </c>
      <c r="I11" s="47">
        <v>72</v>
      </c>
      <c r="J11" s="47">
        <v>85</v>
      </c>
      <c r="K11" s="47">
        <v>78</v>
      </c>
      <c r="L11" s="47">
        <v>76</v>
      </c>
      <c r="M11" s="47">
        <v>71</v>
      </c>
      <c r="N11" s="47">
        <v>82</v>
      </c>
      <c r="O11" s="47">
        <v>84</v>
      </c>
      <c r="P11" s="15">
        <f t="shared" si="0"/>
        <v>870</v>
      </c>
      <c r="Q11" s="33">
        <f t="shared" si="1"/>
        <v>79.090909090909093</v>
      </c>
      <c r="R11" s="15">
        <f t="shared" si="2"/>
        <v>17</v>
      </c>
      <c r="S11" s="15"/>
      <c r="T11" s="15"/>
    </row>
    <row r="12" spans="1:20" ht="20.100000000000001" customHeight="1" x14ac:dyDescent="0.25">
      <c r="A12" s="137">
        <v>9</v>
      </c>
      <c r="B12" s="142"/>
      <c r="C12" s="156">
        <v>14</v>
      </c>
      <c r="D12" s="156" t="s">
        <v>20</v>
      </c>
      <c r="E12" s="155">
        <v>80</v>
      </c>
      <c r="F12" s="47">
        <v>82</v>
      </c>
      <c r="G12" s="47">
        <v>63</v>
      </c>
      <c r="H12" s="47">
        <v>58</v>
      </c>
      <c r="I12" s="47">
        <v>50</v>
      </c>
      <c r="J12" s="47">
        <v>56</v>
      </c>
      <c r="K12" s="47">
        <v>65</v>
      </c>
      <c r="L12" s="47">
        <v>76</v>
      </c>
      <c r="M12" s="47">
        <v>87</v>
      </c>
      <c r="N12" s="47">
        <v>86</v>
      </c>
      <c r="O12" s="47">
        <v>89</v>
      </c>
      <c r="P12" s="15">
        <f t="shared" si="0"/>
        <v>792</v>
      </c>
      <c r="Q12" s="33">
        <f t="shared" si="1"/>
        <v>72</v>
      </c>
      <c r="R12" s="15">
        <f t="shared" si="2"/>
        <v>29</v>
      </c>
      <c r="S12" s="15"/>
      <c r="T12" s="15"/>
    </row>
    <row r="13" spans="1:20" ht="20.100000000000001" customHeight="1" x14ac:dyDescent="0.25">
      <c r="A13" s="121">
        <v>10</v>
      </c>
      <c r="B13" s="142"/>
      <c r="C13" s="156">
        <v>15</v>
      </c>
      <c r="D13" s="156" t="s">
        <v>23</v>
      </c>
      <c r="E13" s="155">
        <v>73</v>
      </c>
      <c r="F13" s="47">
        <v>68</v>
      </c>
      <c r="G13" s="47">
        <v>38</v>
      </c>
      <c r="H13" s="47">
        <v>54</v>
      </c>
      <c r="I13" s="47">
        <v>43</v>
      </c>
      <c r="J13" s="47">
        <v>45</v>
      </c>
      <c r="K13" s="47">
        <v>52</v>
      </c>
      <c r="L13" s="47">
        <v>53</v>
      </c>
      <c r="M13" s="47">
        <v>58</v>
      </c>
      <c r="N13" s="47">
        <v>65</v>
      </c>
      <c r="O13" s="47">
        <v>80</v>
      </c>
      <c r="P13" s="15">
        <f t="shared" si="0"/>
        <v>629</v>
      </c>
      <c r="Q13" s="33">
        <f t="shared" si="1"/>
        <v>57.18181818181818</v>
      </c>
      <c r="R13" s="15">
        <f t="shared" si="2"/>
        <v>49</v>
      </c>
      <c r="S13" s="15"/>
      <c r="T13" s="15"/>
    </row>
    <row r="14" spans="1:20" ht="20.100000000000001" customHeight="1" x14ac:dyDescent="0.25">
      <c r="A14" s="137">
        <v>11</v>
      </c>
      <c r="B14" s="142"/>
      <c r="C14" s="156">
        <v>15</v>
      </c>
      <c r="D14" s="156" t="s">
        <v>23</v>
      </c>
      <c r="E14" s="155">
        <v>76</v>
      </c>
      <c r="F14" s="47">
        <v>66</v>
      </c>
      <c r="G14" s="47">
        <v>52</v>
      </c>
      <c r="H14" s="47">
        <v>60</v>
      </c>
      <c r="I14" s="47">
        <v>50</v>
      </c>
      <c r="J14" s="47">
        <v>46</v>
      </c>
      <c r="K14" s="47">
        <v>60</v>
      </c>
      <c r="L14" s="47">
        <v>53</v>
      </c>
      <c r="M14" s="47">
        <v>68</v>
      </c>
      <c r="N14" s="47">
        <v>76</v>
      </c>
      <c r="O14" s="47">
        <v>82</v>
      </c>
      <c r="P14" s="15">
        <f t="shared" si="0"/>
        <v>689</v>
      </c>
      <c r="Q14" s="33">
        <f t="shared" si="1"/>
        <v>62.636363636363633</v>
      </c>
      <c r="R14" s="15">
        <f t="shared" si="2"/>
        <v>41</v>
      </c>
      <c r="S14" s="15"/>
      <c r="T14" s="15"/>
    </row>
    <row r="15" spans="1:20" ht="20.100000000000001" customHeight="1" x14ac:dyDescent="0.25">
      <c r="A15" s="137">
        <v>12</v>
      </c>
      <c r="B15" s="142"/>
      <c r="C15" s="156">
        <v>15</v>
      </c>
      <c r="D15" s="156" t="s">
        <v>23</v>
      </c>
      <c r="E15" s="155">
        <v>64</v>
      </c>
      <c r="F15" s="47">
        <v>59</v>
      </c>
      <c r="G15" s="47">
        <v>46</v>
      </c>
      <c r="H15" s="47">
        <v>53</v>
      </c>
      <c r="I15" s="47">
        <v>40</v>
      </c>
      <c r="J15" s="47">
        <v>45</v>
      </c>
      <c r="K15" s="47">
        <v>50</v>
      </c>
      <c r="L15" s="47">
        <v>50</v>
      </c>
      <c r="M15" s="47">
        <v>58</v>
      </c>
      <c r="N15" s="47">
        <v>54</v>
      </c>
      <c r="O15" s="47">
        <v>76</v>
      </c>
      <c r="P15" s="15">
        <f t="shared" si="0"/>
        <v>595</v>
      </c>
      <c r="Q15" s="33">
        <f t="shared" si="1"/>
        <v>54.090909090909093</v>
      </c>
      <c r="R15" s="15">
        <f t="shared" si="2"/>
        <v>52</v>
      </c>
      <c r="S15" s="15"/>
      <c r="T15" s="15"/>
    </row>
    <row r="16" spans="1:20" ht="20.100000000000001" customHeight="1" x14ac:dyDescent="0.25">
      <c r="A16" s="137">
        <v>13</v>
      </c>
      <c r="B16" s="142"/>
      <c r="C16" s="156">
        <v>15</v>
      </c>
      <c r="D16" s="156" t="s">
        <v>23</v>
      </c>
      <c r="E16" s="155">
        <v>78</v>
      </c>
      <c r="F16" s="47">
        <v>73</v>
      </c>
      <c r="G16" s="47">
        <v>76</v>
      </c>
      <c r="H16" s="47">
        <v>73</v>
      </c>
      <c r="I16" s="47">
        <v>63</v>
      </c>
      <c r="J16" s="47">
        <v>69</v>
      </c>
      <c r="K16" s="47">
        <v>66</v>
      </c>
      <c r="L16" s="47">
        <v>63</v>
      </c>
      <c r="M16" s="47">
        <v>72</v>
      </c>
      <c r="N16" s="47">
        <v>91</v>
      </c>
      <c r="O16" s="47">
        <v>91</v>
      </c>
      <c r="P16" s="15">
        <f t="shared" si="0"/>
        <v>815</v>
      </c>
      <c r="Q16" s="33">
        <f t="shared" si="1"/>
        <v>74.090909090909093</v>
      </c>
      <c r="R16" s="15">
        <f t="shared" si="2"/>
        <v>23</v>
      </c>
      <c r="S16" s="15"/>
      <c r="T16" s="15"/>
    </row>
    <row r="17" spans="1:20" ht="20.100000000000001" customHeight="1" x14ac:dyDescent="0.25">
      <c r="A17" s="121">
        <v>14</v>
      </c>
      <c r="B17" s="142"/>
      <c r="C17" s="156">
        <v>16</v>
      </c>
      <c r="D17" s="156" t="s">
        <v>23</v>
      </c>
      <c r="E17" s="155">
        <v>81</v>
      </c>
      <c r="F17" s="47">
        <v>77</v>
      </c>
      <c r="G17" s="47">
        <v>72</v>
      </c>
      <c r="H17" s="47">
        <v>68</v>
      </c>
      <c r="I17" s="47">
        <v>55</v>
      </c>
      <c r="J17" s="47">
        <v>65</v>
      </c>
      <c r="K17" s="47">
        <v>67</v>
      </c>
      <c r="L17" s="47">
        <v>68</v>
      </c>
      <c r="M17" s="47">
        <v>73</v>
      </c>
      <c r="N17" s="47">
        <v>89</v>
      </c>
      <c r="O17" s="47">
        <v>88</v>
      </c>
      <c r="P17" s="15">
        <f t="shared" si="0"/>
        <v>803</v>
      </c>
      <c r="Q17" s="33">
        <f t="shared" si="1"/>
        <v>73</v>
      </c>
      <c r="R17" s="15">
        <f t="shared" si="2"/>
        <v>25</v>
      </c>
      <c r="S17" s="15"/>
      <c r="T17" s="15"/>
    </row>
    <row r="18" spans="1:20" ht="20.100000000000001" customHeight="1" x14ac:dyDescent="0.25">
      <c r="A18" s="137">
        <v>15</v>
      </c>
      <c r="B18" s="142"/>
      <c r="C18" s="156">
        <v>16</v>
      </c>
      <c r="D18" s="156" t="s">
        <v>23</v>
      </c>
      <c r="E18" s="155">
        <v>77</v>
      </c>
      <c r="F18" s="47">
        <v>61</v>
      </c>
      <c r="G18" s="47">
        <v>59</v>
      </c>
      <c r="H18" s="47">
        <v>57</v>
      </c>
      <c r="I18" s="47">
        <v>50</v>
      </c>
      <c r="J18" s="47">
        <v>43</v>
      </c>
      <c r="K18" s="47">
        <v>53</v>
      </c>
      <c r="L18" s="47">
        <v>57</v>
      </c>
      <c r="M18" s="47">
        <v>46</v>
      </c>
      <c r="N18" s="47">
        <v>87</v>
      </c>
      <c r="O18" s="47">
        <v>78</v>
      </c>
      <c r="P18" s="15">
        <f t="shared" si="0"/>
        <v>668</v>
      </c>
      <c r="Q18" s="33">
        <f t="shared" si="1"/>
        <v>60.727272727272727</v>
      </c>
      <c r="R18" s="15">
        <f t="shared" si="2"/>
        <v>45</v>
      </c>
      <c r="S18" s="15"/>
      <c r="T18" s="15"/>
    </row>
    <row r="19" spans="1:20" ht="20.100000000000001" customHeight="1" x14ac:dyDescent="0.25">
      <c r="A19" s="121">
        <v>16</v>
      </c>
      <c r="B19" s="142"/>
      <c r="C19" s="156">
        <v>16</v>
      </c>
      <c r="D19" s="156" t="s">
        <v>20</v>
      </c>
      <c r="E19" s="155">
        <v>62</v>
      </c>
      <c r="F19" s="47">
        <v>61</v>
      </c>
      <c r="G19" s="47">
        <v>54</v>
      </c>
      <c r="H19" s="47">
        <v>55</v>
      </c>
      <c r="I19" s="47">
        <v>57</v>
      </c>
      <c r="J19" s="47">
        <v>42</v>
      </c>
      <c r="K19" s="47">
        <v>60</v>
      </c>
      <c r="L19" s="47">
        <v>67</v>
      </c>
      <c r="M19" s="47">
        <v>75</v>
      </c>
      <c r="N19" s="47">
        <v>63</v>
      </c>
      <c r="O19" s="47">
        <v>76</v>
      </c>
      <c r="P19" s="15">
        <f t="shared" si="0"/>
        <v>672</v>
      </c>
      <c r="Q19" s="33">
        <f t="shared" si="1"/>
        <v>61.090909090909093</v>
      </c>
      <c r="R19" s="15">
        <f t="shared" si="2"/>
        <v>44</v>
      </c>
      <c r="S19" s="15"/>
      <c r="T19" s="15"/>
    </row>
    <row r="20" spans="1:20" ht="20.100000000000001" customHeight="1" x14ac:dyDescent="0.25">
      <c r="A20" s="121">
        <v>17</v>
      </c>
      <c r="B20" s="142"/>
      <c r="C20" s="156">
        <v>15</v>
      </c>
      <c r="D20" s="156" t="s">
        <v>20</v>
      </c>
      <c r="E20" s="155">
        <v>67</v>
      </c>
      <c r="F20" s="47">
        <v>56</v>
      </c>
      <c r="G20" s="47">
        <v>59</v>
      </c>
      <c r="H20" s="47">
        <v>60</v>
      </c>
      <c r="I20" s="47">
        <v>58</v>
      </c>
      <c r="J20" s="47">
        <v>60</v>
      </c>
      <c r="K20" s="47">
        <v>52</v>
      </c>
      <c r="L20" s="47">
        <v>65</v>
      </c>
      <c r="M20" s="47">
        <v>60</v>
      </c>
      <c r="N20" s="47">
        <v>66</v>
      </c>
      <c r="O20" s="47">
        <v>75</v>
      </c>
      <c r="P20" s="15">
        <f t="shared" si="0"/>
        <v>678</v>
      </c>
      <c r="Q20" s="33">
        <f t="shared" si="1"/>
        <v>61.636363636363633</v>
      </c>
      <c r="R20" s="15">
        <f t="shared" si="2"/>
        <v>42</v>
      </c>
      <c r="S20" s="15"/>
      <c r="T20" s="15"/>
    </row>
    <row r="21" spans="1:20" ht="20.100000000000001" customHeight="1" x14ac:dyDescent="0.25">
      <c r="A21" s="121">
        <v>18</v>
      </c>
      <c r="B21" s="142"/>
      <c r="C21" s="156">
        <v>16</v>
      </c>
      <c r="D21" s="156" t="s">
        <v>20</v>
      </c>
      <c r="E21" s="155">
        <v>97</v>
      </c>
      <c r="F21" s="47">
        <v>72</v>
      </c>
      <c r="G21" s="47">
        <v>87</v>
      </c>
      <c r="H21" s="47">
        <v>72</v>
      </c>
      <c r="I21" s="47">
        <v>83</v>
      </c>
      <c r="J21" s="47">
        <v>72</v>
      </c>
      <c r="K21" s="47">
        <v>63</v>
      </c>
      <c r="L21" s="47">
        <v>82</v>
      </c>
      <c r="M21" s="47">
        <v>92</v>
      </c>
      <c r="N21" s="47">
        <v>90</v>
      </c>
      <c r="O21" s="47">
        <v>84</v>
      </c>
      <c r="P21" s="15">
        <f t="shared" si="0"/>
        <v>894</v>
      </c>
      <c r="Q21" s="33">
        <f t="shared" si="1"/>
        <v>81.272727272727266</v>
      </c>
      <c r="R21" s="15">
        <f t="shared" si="2"/>
        <v>13</v>
      </c>
      <c r="S21" s="15"/>
      <c r="T21" s="15"/>
    </row>
    <row r="22" spans="1:20" ht="20.100000000000001" customHeight="1" x14ac:dyDescent="0.25">
      <c r="A22" s="137">
        <v>19</v>
      </c>
      <c r="B22" s="142"/>
      <c r="C22" s="156">
        <v>15</v>
      </c>
      <c r="D22" s="156" t="s">
        <v>23</v>
      </c>
      <c r="E22" s="155">
        <v>81</v>
      </c>
      <c r="F22" s="47">
        <v>85</v>
      </c>
      <c r="G22" s="47">
        <v>72</v>
      </c>
      <c r="H22" s="47">
        <v>75</v>
      </c>
      <c r="I22" s="47">
        <v>71</v>
      </c>
      <c r="J22" s="47">
        <v>80</v>
      </c>
      <c r="K22" s="47">
        <v>68</v>
      </c>
      <c r="L22" s="47">
        <v>79</v>
      </c>
      <c r="M22" s="47">
        <v>82</v>
      </c>
      <c r="N22" s="47">
        <v>94</v>
      </c>
      <c r="O22" s="47">
        <v>88</v>
      </c>
      <c r="P22" s="15">
        <f t="shared" si="0"/>
        <v>875</v>
      </c>
      <c r="Q22" s="33">
        <f t="shared" si="1"/>
        <v>79.545454545454547</v>
      </c>
      <c r="R22" s="15">
        <f t="shared" si="2"/>
        <v>15</v>
      </c>
      <c r="S22" s="15"/>
      <c r="T22" s="15"/>
    </row>
    <row r="23" spans="1:20" ht="20.100000000000001" customHeight="1" x14ac:dyDescent="0.25">
      <c r="A23" s="137">
        <v>20</v>
      </c>
      <c r="B23" s="142"/>
      <c r="C23" s="156">
        <v>16</v>
      </c>
      <c r="D23" s="156" t="s">
        <v>20</v>
      </c>
      <c r="E23" s="155">
        <v>81</v>
      </c>
      <c r="F23" s="47">
        <v>53</v>
      </c>
      <c r="G23" s="47">
        <v>46</v>
      </c>
      <c r="H23" s="47">
        <v>57</v>
      </c>
      <c r="I23" s="47">
        <v>51</v>
      </c>
      <c r="J23" s="47">
        <v>49</v>
      </c>
      <c r="K23" s="47">
        <v>51</v>
      </c>
      <c r="L23" s="47">
        <v>51</v>
      </c>
      <c r="M23" s="47">
        <v>61</v>
      </c>
      <c r="N23" s="47">
        <v>79</v>
      </c>
      <c r="O23" s="47">
        <v>87</v>
      </c>
      <c r="P23" s="15">
        <f t="shared" si="0"/>
        <v>666</v>
      </c>
      <c r="Q23" s="33">
        <f t="shared" si="1"/>
        <v>60.545454545454547</v>
      </c>
      <c r="R23" s="15">
        <f t="shared" si="2"/>
        <v>46</v>
      </c>
      <c r="S23" s="15"/>
      <c r="T23" s="15"/>
    </row>
    <row r="24" spans="1:20" ht="20.100000000000001" customHeight="1" x14ac:dyDescent="0.25">
      <c r="A24" s="137">
        <v>21</v>
      </c>
      <c r="B24" s="142"/>
      <c r="C24" s="156">
        <v>15</v>
      </c>
      <c r="D24" s="156" t="s">
        <v>23</v>
      </c>
      <c r="E24" s="155">
        <v>84</v>
      </c>
      <c r="F24" s="47">
        <v>56</v>
      </c>
      <c r="G24" s="47">
        <v>54</v>
      </c>
      <c r="H24" s="47">
        <v>66</v>
      </c>
      <c r="I24" s="47">
        <v>63</v>
      </c>
      <c r="J24" s="47">
        <v>58</v>
      </c>
      <c r="K24" s="47">
        <v>62</v>
      </c>
      <c r="L24" s="47">
        <v>71</v>
      </c>
      <c r="M24" s="47">
        <v>63</v>
      </c>
      <c r="N24" s="47">
        <v>76</v>
      </c>
      <c r="O24" s="47">
        <v>88</v>
      </c>
      <c r="P24" s="15">
        <f t="shared" si="0"/>
        <v>741</v>
      </c>
      <c r="Q24" s="33">
        <f t="shared" si="1"/>
        <v>67.36363636363636</v>
      </c>
      <c r="R24" s="15">
        <f t="shared" si="2"/>
        <v>33</v>
      </c>
      <c r="S24" s="15"/>
      <c r="T24" s="15"/>
    </row>
    <row r="25" spans="1:20" ht="20.100000000000001" customHeight="1" x14ac:dyDescent="0.25">
      <c r="A25" s="121">
        <v>22</v>
      </c>
      <c r="B25" s="142"/>
      <c r="C25" s="156">
        <v>16</v>
      </c>
      <c r="D25" s="156" t="s">
        <v>23</v>
      </c>
      <c r="E25" s="155">
        <v>86</v>
      </c>
      <c r="F25" s="47">
        <v>80</v>
      </c>
      <c r="G25" s="47">
        <v>81</v>
      </c>
      <c r="H25" s="47">
        <v>93</v>
      </c>
      <c r="I25" s="47">
        <v>90</v>
      </c>
      <c r="J25" s="47">
        <v>93</v>
      </c>
      <c r="K25" s="47">
        <v>91</v>
      </c>
      <c r="L25" s="47">
        <v>93</v>
      </c>
      <c r="M25" s="47">
        <v>93</v>
      </c>
      <c r="N25" s="47">
        <v>94</v>
      </c>
      <c r="O25" s="47">
        <v>99</v>
      </c>
      <c r="P25" s="15">
        <f t="shared" si="0"/>
        <v>993</v>
      </c>
      <c r="Q25" s="33">
        <f t="shared" si="1"/>
        <v>90.272727272727266</v>
      </c>
      <c r="R25" s="15">
        <f t="shared" si="2"/>
        <v>4</v>
      </c>
      <c r="S25" s="15"/>
      <c r="T25" s="15"/>
    </row>
    <row r="26" spans="1:20" ht="20.100000000000001" customHeight="1" x14ac:dyDescent="0.25">
      <c r="A26" s="121">
        <v>23</v>
      </c>
      <c r="B26" s="142"/>
      <c r="C26" s="156">
        <v>16</v>
      </c>
      <c r="D26" s="156" t="s">
        <v>20</v>
      </c>
      <c r="E26" s="155">
        <v>86</v>
      </c>
      <c r="F26" s="47">
        <v>84</v>
      </c>
      <c r="G26" s="47">
        <v>86</v>
      </c>
      <c r="H26" s="47">
        <v>85</v>
      </c>
      <c r="I26" s="47">
        <v>89</v>
      </c>
      <c r="J26" s="47">
        <v>93</v>
      </c>
      <c r="K26" s="47">
        <v>90</v>
      </c>
      <c r="L26" s="47">
        <v>87</v>
      </c>
      <c r="M26" s="47">
        <v>89</v>
      </c>
      <c r="N26" s="47">
        <v>98</v>
      </c>
      <c r="O26" s="47">
        <v>99</v>
      </c>
      <c r="P26" s="15">
        <f t="shared" si="0"/>
        <v>986</v>
      </c>
      <c r="Q26" s="33">
        <f t="shared" si="1"/>
        <v>89.63636363636364</v>
      </c>
      <c r="R26" s="15">
        <f t="shared" si="2"/>
        <v>6</v>
      </c>
      <c r="S26" s="15"/>
      <c r="T26" s="15"/>
    </row>
    <row r="27" spans="1:20" ht="20.100000000000001" customHeight="1" x14ac:dyDescent="0.25">
      <c r="A27" s="137">
        <v>24</v>
      </c>
      <c r="B27" s="142"/>
      <c r="C27" s="156">
        <v>15</v>
      </c>
      <c r="D27" s="156" t="s">
        <v>20</v>
      </c>
      <c r="E27" s="155">
        <v>68</v>
      </c>
      <c r="F27" s="47">
        <v>58</v>
      </c>
      <c r="G27" s="47">
        <v>73</v>
      </c>
      <c r="H27" s="47">
        <v>62</v>
      </c>
      <c r="I27" s="47">
        <v>70</v>
      </c>
      <c r="J27" s="47">
        <v>59</v>
      </c>
      <c r="K27" s="47">
        <v>58</v>
      </c>
      <c r="L27" s="47">
        <v>74</v>
      </c>
      <c r="M27" s="47">
        <v>68</v>
      </c>
      <c r="N27" s="47">
        <v>84</v>
      </c>
      <c r="O27" s="47">
        <v>70</v>
      </c>
      <c r="P27" s="15">
        <f t="shared" si="0"/>
        <v>744</v>
      </c>
      <c r="Q27" s="33">
        <f t="shared" si="1"/>
        <v>67.63636363636364</v>
      </c>
      <c r="R27" s="15">
        <f t="shared" si="2"/>
        <v>32</v>
      </c>
      <c r="S27" s="15"/>
      <c r="T27" s="15"/>
    </row>
    <row r="28" spans="1:20" ht="20.100000000000001" customHeight="1" x14ac:dyDescent="0.25">
      <c r="A28" s="121">
        <v>25</v>
      </c>
      <c r="B28" s="142"/>
      <c r="C28" s="156">
        <v>14</v>
      </c>
      <c r="D28" s="156" t="s">
        <v>23</v>
      </c>
      <c r="E28" s="155">
        <v>92</v>
      </c>
      <c r="F28" s="47">
        <v>75</v>
      </c>
      <c r="G28" s="47">
        <v>88</v>
      </c>
      <c r="H28" s="47">
        <v>83</v>
      </c>
      <c r="I28" s="47">
        <v>65</v>
      </c>
      <c r="J28" s="47">
        <v>76</v>
      </c>
      <c r="K28" s="47">
        <v>82</v>
      </c>
      <c r="L28" s="47">
        <v>76</v>
      </c>
      <c r="M28" s="47">
        <v>80</v>
      </c>
      <c r="N28" s="47">
        <v>97</v>
      </c>
      <c r="O28" s="47">
        <v>100</v>
      </c>
      <c r="P28" s="15">
        <f t="shared" si="0"/>
        <v>914</v>
      </c>
      <c r="Q28" s="33">
        <f t="shared" si="1"/>
        <v>83.090909090909093</v>
      </c>
      <c r="R28" s="15">
        <f t="shared" si="2"/>
        <v>10</v>
      </c>
      <c r="S28" s="15"/>
      <c r="T28" s="15"/>
    </row>
    <row r="29" spans="1:20" ht="20.100000000000001" customHeight="1" x14ac:dyDescent="0.25">
      <c r="A29" s="137">
        <v>26</v>
      </c>
      <c r="B29" s="142"/>
      <c r="C29" s="156">
        <v>14</v>
      </c>
      <c r="D29" s="156" t="s">
        <v>20</v>
      </c>
      <c r="E29" s="155">
        <v>81</v>
      </c>
      <c r="F29" s="47">
        <v>55</v>
      </c>
      <c r="G29" s="47">
        <v>36</v>
      </c>
      <c r="H29" s="47">
        <v>55</v>
      </c>
      <c r="I29" s="47">
        <v>39</v>
      </c>
      <c r="J29" s="47">
        <v>38</v>
      </c>
      <c r="K29" s="47">
        <v>45</v>
      </c>
      <c r="L29" s="47">
        <v>53</v>
      </c>
      <c r="M29" s="47">
        <v>63</v>
      </c>
      <c r="N29" s="47">
        <v>63</v>
      </c>
      <c r="O29" s="47">
        <v>66</v>
      </c>
      <c r="P29" s="15">
        <f t="shared" si="0"/>
        <v>594</v>
      </c>
      <c r="Q29" s="33">
        <f t="shared" si="1"/>
        <v>54</v>
      </c>
      <c r="R29" s="15">
        <f t="shared" si="2"/>
        <v>54</v>
      </c>
      <c r="S29" s="15"/>
      <c r="T29" s="15"/>
    </row>
    <row r="30" spans="1:20" ht="20.100000000000001" customHeight="1" x14ac:dyDescent="0.25">
      <c r="A30" s="137">
        <v>27</v>
      </c>
      <c r="B30" s="142"/>
      <c r="C30" s="156">
        <v>15</v>
      </c>
      <c r="D30" s="156" t="s">
        <v>20</v>
      </c>
      <c r="E30" s="155">
        <v>65</v>
      </c>
      <c r="F30" s="47">
        <v>67</v>
      </c>
      <c r="G30" s="47">
        <v>71</v>
      </c>
      <c r="H30" s="47">
        <v>58</v>
      </c>
      <c r="I30" s="47">
        <v>53</v>
      </c>
      <c r="J30" s="47">
        <v>69</v>
      </c>
      <c r="K30" s="47">
        <v>55</v>
      </c>
      <c r="L30" s="47">
        <v>62</v>
      </c>
      <c r="M30" s="47">
        <v>71</v>
      </c>
      <c r="N30" s="47">
        <v>84</v>
      </c>
      <c r="O30" s="47">
        <v>84</v>
      </c>
      <c r="P30" s="15">
        <f t="shared" si="0"/>
        <v>739</v>
      </c>
      <c r="Q30" s="33">
        <f t="shared" si="1"/>
        <v>67.181818181818187</v>
      </c>
      <c r="R30" s="15">
        <f t="shared" si="2"/>
        <v>34</v>
      </c>
      <c r="S30" s="15"/>
      <c r="T30" s="15"/>
    </row>
    <row r="31" spans="1:20" ht="20.100000000000001" customHeight="1" x14ac:dyDescent="0.25">
      <c r="A31" s="137">
        <v>28</v>
      </c>
      <c r="B31" s="142"/>
      <c r="C31" s="156">
        <v>16</v>
      </c>
      <c r="D31" s="156" t="s">
        <v>23</v>
      </c>
      <c r="E31" s="155">
        <v>71</v>
      </c>
      <c r="F31" s="47">
        <v>66</v>
      </c>
      <c r="G31" s="47">
        <v>47</v>
      </c>
      <c r="H31" s="47">
        <v>59</v>
      </c>
      <c r="I31" s="47">
        <v>51</v>
      </c>
      <c r="J31" s="47">
        <v>58</v>
      </c>
      <c r="K31" s="47">
        <v>54</v>
      </c>
      <c r="L31" s="47">
        <v>68</v>
      </c>
      <c r="M31" s="47">
        <v>79</v>
      </c>
      <c r="N31" s="47">
        <v>77</v>
      </c>
      <c r="O31" s="47">
        <v>91</v>
      </c>
      <c r="P31" s="15">
        <f t="shared" si="0"/>
        <v>721</v>
      </c>
      <c r="Q31" s="33">
        <f t="shared" si="1"/>
        <v>65.545454545454547</v>
      </c>
      <c r="R31" s="15">
        <f t="shared" si="2"/>
        <v>37</v>
      </c>
      <c r="S31" s="15"/>
      <c r="T31" s="15"/>
    </row>
    <row r="32" spans="1:20" ht="20.100000000000001" customHeight="1" x14ac:dyDescent="0.25">
      <c r="A32" s="121">
        <v>29</v>
      </c>
      <c r="B32" s="142"/>
      <c r="C32" s="156">
        <v>16</v>
      </c>
      <c r="D32" s="156" t="s">
        <v>23</v>
      </c>
      <c r="E32" s="155">
        <v>91</v>
      </c>
      <c r="F32" s="47">
        <v>94</v>
      </c>
      <c r="G32" s="47">
        <v>93</v>
      </c>
      <c r="H32" s="47">
        <v>92</v>
      </c>
      <c r="I32" s="47">
        <v>89</v>
      </c>
      <c r="J32" s="47">
        <v>94</v>
      </c>
      <c r="K32" s="47">
        <v>95</v>
      </c>
      <c r="L32" s="47">
        <v>94</v>
      </c>
      <c r="M32" s="47">
        <v>92</v>
      </c>
      <c r="N32" s="47">
        <v>100</v>
      </c>
      <c r="O32" s="47">
        <v>100</v>
      </c>
      <c r="P32" s="15">
        <f t="shared" si="0"/>
        <v>1034</v>
      </c>
      <c r="Q32" s="33">
        <f t="shared" si="1"/>
        <v>94</v>
      </c>
      <c r="R32" s="15">
        <f t="shared" si="2"/>
        <v>2</v>
      </c>
      <c r="S32" s="15"/>
      <c r="T32" s="15"/>
    </row>
    <row r="33" spans="1:20" ht="20.100000000000001" customHeight="1" x14ac:dyDescent="0.25">
      <c r="A33" s="137">
        <v>30</v>
      </c>
      <c r="B33" s="159"/>
      <c r="C33" s="160">
        <v>15</v>
      </c>
      <c r="D33" s="160" t="s">
        <v>23</v>
      </c>
      <c r="E33" s="155">
        <v>95</v>
      </c>
      <c r="F33" s="47">
        <v>88</v>
      </c>
      <c r="G33" s="47">
        <v>88</v>
      </c>
      <c r="H33" s="47">
        <v>98</v>
      </c>
      <c r="I33" s="47">
        <v>87</v>
      </c>
      <c r="J33" s="47">
        <v>90</v>
      </c>
      <c r="K33" s="47">
        <v>89</v>
      </c>
      <c r="L33" s="47">
        <v>90</v>
      </c>
      <c r="M33" s="47">
        <v>89</v>
      </c>
      <c r="N33" s="47">
        <v>100</v>
      </c>
      <c r="O33" s="47">
        <v>100</v>
      </c>
      <c r="P33" s="15">
        <f t="shared" si="0"/>
        <v>1014</v>
      </c>
      <c r="Q33" s="33">
        <f t="shared" si="1"/>
        <v>92.181818181818187</v>
      </c>
      <c r="R33" s="15">
        <f t="shared" si="2"/>
        <v>3</v>
      </c>
      <c r="S33" s="15"/>
      <c r="T33" s="15"/>
    </row>
    <row r="34" spans="1:20" ht="20.100000000000001" customHeight="1" x14ac:dyDescent="0.25">
      <c r="A34" s="121">
        <v>31</v>
      </c>
      <c r="B34" s="142"/>
      <c r="C34" s="156">
        <v>14</v>
      </c>
      <c r="D34" s="156" t="s">
        <v>23</v>
      </c>
      <c r="E34" s="155">
        <v>80</v>
      </c>
      <c r="F34" s="47">
        <v>77</v>
      </c>
      <c r="G34" s="47">
        <v>89</v>
      </c>
      <c r="H34" s="47">
        <v>91</v>
      </c>
      <c r="I34" s="47">
        <v>94</v>
      </c>
      <c r="J34" s="47">
        <v>91</v>
      </c>
      <c r="K34" s="47">
        <v>95</v>
      </c>
      <c r="L34" s="47">
        <v>86</v>
      </c>
      <c r="M34" s="47">
        <v>90</v>
      </c>
      <c r="N34" s="47">
        <v>95</v>
      </c>
      <c r="O34" s="47">
        <v>97</v>
      </c>
      <c r="P34" s="15">
        <f t="shared" si="0"/>
        <v>985</v>
      </c>
      <c r="Q34" s="33">
        <f t="shared" si="1"/>
        <v>89.545454545454547</v>
      </c>
      <c r="R34" s="15">
        <f t="shared" si="2"/>
        <v>7</v>
      </c>
      <c r="S34" s="15"/>
      <c r="T34" s="15"/>
    </row>
    <row r="35" spans="1:20" ht="20.100000000000001" customHeight="1" x14ac:dyDescent="0.25">
      <c r="A35" s="121">
        <v>32</v>
      </c>
      <c r="B35" s="142"/>
      <c r="C35" s="156">
        <v>15</v>
      </c>
      <c r="D35" s="156" t="s">
        <v>23</v>
      </c>
      <c r="E35" s="155">
        <v>74</v>
      </c>
      <c r="F35" s="47">
        <v>52</v>
      </c>
      <c r="G35" s="47">
        <v>42</v>
      </c>
      <c r="H35" s="47">
        <v>52</v>
      </c>
      <c r="I35" s="47">
        <v>53</v>
      </c>
      <c r="J35" s="47">
        <v>48</v>
      </c>
      <c r="K35" s="47">
        <v>51</v>
      </c>
      <c r="L35" s="47">
        <v>55</v>
      </c>
      <c r="M35" s="47">
        <v>53</v>
      </c>
      <c r="N35" s="47">
        <v>67</v>
      </c>
      <c r="O35" s="47">
        <v>80</v>
      </c>
      <c r="P35" s="15">
        <f t="shared" si="0"/>
        <v>627</v>
      </c>
      <c r="Q35" s="33">
        <f t="shared" si="1"/>
        <v>57</v>
      </c>
      <c r="R35" s="15">
        <f t="shared" si="2"/>
        <v>50</v>
      </c>
      <c r="S35" s="15"/>
      <c r="T35" s="15"/>
    </row>
    <row r="36" spans="1:20" ht="20.100000000000001" customHeight="1" x14ac:dyDescent="0.25">
      <c r="A36" s="121">
        <v>33</v>
      </c>
      <c r="B36" s="142"/>
      <c r="C36" s="156">
        <v>16</v>
      </c>
      <c r="D36" s="156" t="s">
        <v>23</v>
      </c>
      <c r="E36" s="155">
        <v>67</v>
      </c>
      <c r="F36" s="47">
        <v>60</v>
      </c>
      <c r="G36" s="47">
        <v>40</v>
      </c>
      <c r="H36" s="47">
        <v>57</v>
      </c>
      <c r="I36" s="47">
        <v>51</v>
      </c>
      <c r="J36" s="47">
        <v>51</v>
      </c>
      <c r="K36" s="47">
        <v>53</v>
      </c>
      <c r="L36" s="47">
        <v>60</v>
      </c>
      <c r="M36" s="47">
        <v>58</v>
      </c>
      <c r="N36" s="47">
        <v>69</v>
      </c>
      <c r="O36" s="47">
        <v>86</v>
      </c>
      <c r="P36" s="15">
        <f t="shared" si="0"/>
        <v>652</v>
      </c>
      <c r="Q36" s="33">
        <f t="shared" si="1"/>
        <v>59.272727272727273</v>
      </c>
      <c r="R36" s="15">
        <f t="shared" si="2"/>
        <v>48</v>
      </c>
      <c r="S36" s="15"/>
      <c r="T36" s="15"/>
    </row>
    <row r="37" spans="1:20" ht="20.100000000000001" customHeight="1" x14ac:dyDescent="0.25">
      <c r="A37" s="137">
        <v>34</v>
      </c>
      <c r="B37" s="142"/>
      <c r="C37" s="156">
        <v>15</v>
      </c>
      <c r="D37" s="156" t="s">
        <v>23</v>
      </c>
      <c r="E37" s="155">
        <v>83</v>
      </c>
      <c r="F37" s="47">
        <v>68</v>
      </c>
      <c r="G37" s="47">
        <v>66</v>
      </c>
      <c r="H37" s="47">
        <v>70</v>
      </c>
      <c r="I37" s="47">
        <v>57</v>
      </c>
      <c r="J37" s="47">
        <v>58</v>
      </c>
      <c r="K37" s="47">
        <v>70</v>
      </c>
      <c r="L37" s="47">
        <v>60</v>
      </c>
      <c r="M37" s="47">
        <v>75</v>
      </c>
      <c r="N37" s="47">
        <v>95</v>
      </c>
      <c r="O37" s="47">
        <v>91</v>
      </c>
      <c r="P37" s="15">
        <f t="shared" si="0"/>
        <v>793</v>
      </c>
      <c r="Q37" s="33">
        <f t="shared" si="1"/>
        <v>72.090909090909093</v>
      </c>
      <c r="R37" s="15">
        <f t="shared" si="2"/>
        <v>27</v>
      </c>
      <c r="S37" s="15"/>
      <c r="T37" s="15"/>
    </row>
    <row r="38" spans="1:20" ht="20.100000000000001" customHeight="1" x14ac:dyDescent="0.25">
      <c r="A38" s="137">
        <v>35</v>
      </c>
      <c r="B38" s="142"/>
      <c r="C38" s="156">
        <v>15</v>
      </c>
      <c r="D38" s="156" t="s">
        <v>20</v>
      </c>
      <c r="E38" s="155">
        <v>78</v>
      </c>
      <c r="F38" s="47">
        <v>76</v>
      </c>
      <c r="G38" s="47">
        <v>70</v>
      </c>
      <c r="H38" s="47">
        <v>68</v>
      </c>
      <c r="I38" s="47">
        <v>63</v>
      </c>
      <c r="J38" s="47">
        <v>65</v>
      </c>
      <c r="K38" s="47">
        <v>68</v>
      </c>
      <c r="L38" s="47">
        <v>73</v>
      </c>
      <c r="M38" s="47">
        <v>78</v>
      </c>
      <c r="N38" s="47">
        <v>88</v>
      </c>
      <c r="O38" s="47">
        <v>86</v>
      </c>
      <c r="P38" s="15">
        <f t="shared" si="0"/>
        <v>813</v>
      </c>
      <c r="Q38" s="33">
        <f t="shared" si="1"/>
        <v>73.909090909090907</v>
      </c>
      <c r="R38" s="15">
        <f t="shared" si="2"/>
        <v>24</v>
      </c>
      <c r="S38" s="15"/>
      <c r="T38" s="15"/>
    </row>
    <row r="39" spans="1:20" ht="20.100000000000001" customHeight="1" x14ac:dyDescent="0.25">
      <c r="A39" s="137">
        <v>36</v>
      </c>
      <c r="B39" s="142"/>
      <c r="C39" s="156">
        <v>15</v>
      </c>
      <c r="D39" s="156" t="s">
        <v>23</v>
      </c>
      <c r="E39" s="155">
        <v>72</v>
      </c>
      <c r="F39" s="47">
        <v>41</v>
      </c>
      <c r="G39" s="47">
        <v>36</v>
      </c>
      <c r="H39" s="47">
        <v>55</v>
      </c>
      <c r="I39" s="47">
        <v>50</v>
      </c>
      <c r="J39" s="47">
        <v>44</v>
      </c>
      <c r="K39" s="47">
        <v>46</v>
      </c>
      <c r="L39" s="47">
        <v>60</v>
      </c>
      <c r="M39" s="47">
        <v>49</v>
      </c>
      <c r="N39" s="47">
        <v>62</v>
      </c>
      <c r="O39" s="47">
        <v>80</v>
      </c>
      <c r="P39" s="15">
        <f t="shared" si="0"/>
        <v>595</v>
      </c>
      <c r="Q39" s="33">
        <f t="shared" si="1"/>
        <v>54.090909090909093</v>
      </c>
      <c r="R39" s="15">
        <f t="shared" si="2"/>
        <v>52</v>
      </c>
      <c r="S39" s="15"/>
      <c r="T39" s="15"/>
    </row>
    <row r="40" spans="1:20" ht="20.100000000000001" customHeight="1" x14ac:dyDescent="0.25">
      <c r="A40" s="121">
        <v>37</v>
      </c>
      <c r="B40" s="142"/>
      <c r="C40" s="156">
        <v>16</v>
      </c>
      <c r="D40" s="156" t="s">
        <v>23</v>
      </c>
      <c r="E40" s="155">
        <v>87</v>
      </c>
      <c r="F40" s="47">
        <v>66</v>
      </c>
      <c r="G40" s="47">
        <v>77</v>
      </c>
      <c r="H40" s="47">
        <v>69</v>
      </c>
      <c r="I40" s="47">
        <v>58</v>
      </c>
      <c r="J40" s="47">
        <v>67</v>
      </c>
      <c r="K40" s="47">
        <v>57</v>
      </c>
      <c r="L40" s="47">
        <v>66</v>
      </c>
      <c r="M40" s="47">
        <v>62</v>
      </c>
      <c r="N40" s="47">
        <v>93</v>
      </c>
      <c r="O40" s="47">
        <v>91</v>
      </c>
      <c r="P40" s="15">
        <f t="shared" si="0"/>
        <v>793</v>
      </c>
      <c r="Q40" s="33">
        <f t="shared" si="1"/>
        <v>72.090909090909093</v>
      </c>
      <c r="R40" s="15">
        <f t="shared" si="2"/>
        <v>27</v>
      </c>
      <c r="S40" s="15"/>
      <c r="T40" s="15"/>
    </row>
    <row r="41" spans="1:20" ht="20.100000000000001" customHeight="1" x14ac:dyDescent="0.25">
      <c r="A41" s="121">
        <v>38</v>
      </c>
      <c r="B41" s="142"/>
      <c r="C41" s="156">
        <v>17</v>
      </c>
      <c r="D41" s="156" t="s">
        <v>20</v>
      </c>
      <c r="E41" s="155">
        <v>74</v>
      </c>
      <c r="F41" s="47">
        <v>59</v>
      </c>
      <c r="G41" s="47">
        <v>56</v>
      </c>
      <c r="H41" s="47">
        <v>55</v>
      </c>
      <c r="I41" s="47">
        <v>63</v>
      </c>
      <c r="J41" s="47">
        <v>65</v>
      </c>
      <c r="K41" s="47">
        <v>61</v>
      </c>
      <c r="L41" s="47">
        <v>74</v>
      </c>
      <c r="M41" s="47">
        <v>63</v>
      </c>
      <c r="N41" s="47">
        <v>68</v>
      </c>
      <c r="O41" s="47">
        <v>96</v>
      </c>
      <c r="P41" s="15">
        <f t="shared" si="0"/>
        <v>734</v>
      </c>
      <c r="Q41" s="33">
        <f t="shared" si="1"/>
        <v>66.727272727272734</v>
      </c>
      <c r="R41" s="15">
        <f t="shared" si="2"/>
        <v>35</v>
      </c>
      <c r="S41" s="15"/>
      <c r="T41" s="15"/>
    </row>
    <row r="42" spans="1:20" ht="20.100000000000001" customHeight="1" x14ac:dyDescent="0.25">
      <c r="A42" s="137">
        <v>39</v>
      </c>
      <c r="B42" s="142"/>
      <c r="C42" s="156">
        <v>16</v>
      </c>
      <c r="D42" s="156" t="s">
        <v>20</v>
      </c>
      <c r="E42" s="155">
        <v>70</v>
      </c>
      <c r="F42" s="47">
        <v>55</v>
      </c>
      <c r="G42" s="47">
        <v>47</v>
      </c>
      <c r="H42" s="47">
        <v>54</v>
      </c>
      <c r="I42" s="47">
        <v>44</v>
      </c>
      <c r="J42" s="47">
        <v>58</v>
      </c>
      <c r="K42" s="47">
        <v>55</v>
      </c>
      <c r="L42" s="47">
        <v>51</v>
      </c>
      <c r="M42" s="47">
        <v>63</v>
      </c>
      <c r="N42" s="47">
        <v>71</v>
      </c>
      <c r="O42" s="47">
        <v>87</v>
      </c>
      <c r="P42" s="15">
        <f t="shared" si="0"/>
        <v>655</v>
      </c>
      <c r="Q42" s="33">
        <f t="shared" si="1"/>
        <v>59.545454545454547</v>
      </c>
      <c r="R42" s="15">
        <f t="shared" si="2"/>
        <v>47</v>
      </c>
      <c r="S42" s="15"/>
      <c r="T42" s="15"/>
    </row>
    <row r="43" spans="1:20" ht="20.100000000000001" customHeight="1" x14ac:dyDescent="0.25">
      <c r="A43" s="121">
        <v>40</v>
      </c>
      <c r="B43" s="142"/>
      <c r="C43" s="156">
        <v>16</v>
      </c>
      <c r="D43" s="156" t="s">
        <v>20</v>
      </c>
      <c r="E43" s="155">
        <v>69</v>
      </c>
      <c r="F43" s="47">
        <v>63</v>
      </c>
      <c r="G43" s="47">
        <v>71</v>
      </c>
      <c r="H43" s="47">
        <v>58</v>
      </c>
      <c r="I43" s="47">
        <v>53</v>
      </c>
      <c r="J43" s="47">
        <v>70</v>
      </c>
      <c r="K43" s="47">
        <v>54</v>
      </c>
      <c r="L43" s="47">
        <v>62</v>
      </c>
      <c r="M43" s="47">
        <v>67</v>
      </c>
      <c r="N43" s="47">
        <v>74</v>
      </c>
      <c r="O43" s="47">
        <v>90</v>
      </c>
      <c r="P43" s="15">
        <f t="shared" si="0"/>
        <v>731</v>
      </c>
      <c r="Q43" s="33">
        <f t="shared" si="1"/>
        <v>66.454545454545453</v>
      </c>
      <c r="R43" s="15">
        <f t="shared" si="2"/>
        <v>36</v>
      </c>
      <c r="S43" s="15"/>
      <c r="T43" s="15"/>
    </row>
    <row r="44" spans="1:20" ht="20.100000000000001" customHeight="1" x14ac:dyDescent="0.25">
      <c r="A44" s="137">
        <v>41</v>
      </c>
      <c r="B44" s="142"/>
      <c r="C44" s="156">
        <v>15</v>
      </c>
      <c r="D44" s="156" t="s">
        <v>20</v>
      </c>
      <c r="E44" s="155">
        <v>78</v>
      </c>
      <c r="F44" s="47">
        <v>56</v>
      </c>
      <c r="G44" s="47">
        <v>83</v>
      </c>
      <c r="H44" s="47">
        <v>82</v>
      </c>
      <c r="I44" s="47">
        <v>83</v>
      </c>
      <c r="J44" s="47">
        <v>87</v>
      </c>
      <c r="K44" s="47">
        <v>76</v>
      </c>
      <c r="L44" s="47">
        <v>85</v>
      </c>
      <c r="M44" s="47">
        <v>85</v>
      </c>
      <c r="N44" s="47">
        <v>94</v>
      </c>
      <c r="O44" s="47">
        <v>93</v>
      </c>
      <c r="P44" s="15">
        <f t="shared" si="0"/>
        <v>902</v>
      </c>
      <c r="Q44" s="33">
        <f t="shared" si="1"/>
        <v>82</v>
      </c>
      <c r="R44" s="15">
        <f t="shared" si="2"/>
        <v>11</v>
      </c>
      <c r="S44" s="15"/>
      <c r="T44" s="15"/>
    </row>
    <row r="45" spans="1:20" ht="20.100000000000001" customHeight="1" x14ac:dyDescent="0.25">
      <c r="A45" s="137">
        <v>42</v>
      </c>
      <c r="B45" s="142"/>
      <c r="C45" s="156">
        <v>16</v>
      </c>
      <c r="D45" s="156" t="s">
        <v>20</v>
      </c>
      <c r="E45" s="214"/>
      <c r="F45" s="215"/>
      <c r="G45" s="215"/>
      <c r="H45" s="215"/>
      <c r="I45" s="215"/>
      <c r="J45" s="215"/>
      <c r="K45" s="215"/>
      <c r="L45" s="215"/>
      <c r="M45" s="215"/>
      <c r="N45" s="215"/>
      <c r="O45" s="215"/>
      <c r="P45" s="15">
        <f t="shared" si="0"/>
        <v>0</v>
      </c>
      <c r="Q45" s="33"/>
      <c r="R45" s="15"/>
      <c r="S45" s="15"/>
      <c r="T45" s="15"/>
    </row>
    <row r="46" spans="1:20" ht="20.100000000000001" customHeight="1" x14ac:dyDescent="0.25">
      <c r="A46" s="137">
        <v>43</v>
      </c>
      <c r="B46" s="142"/>
      <c r="C46" s="156">
        <v>15</v>
      </c>
      <c r="D46" s="156" t="s">
        <v>23</v>
      </c>
      <c r="E46" s="155">
        <v>77</v>
      </c>
      <c r="F46" s="47">
        <v>64</v>
      </c>
      <c r="G46" s="47">
        <v>48</v>
      </c>
      <c r="H46" s="47">
        <v>56</v>
      </c>
      <c r="I46" s="47">
        <v>45</v>
      </c>
      <c r="J46" s="47">
        <v>52</v>
      </c>
      <c r="K46" s="47">
        <v>45</v>
      </c>
      <c r="L46" s="47">
        <v>64</v>
      </c>
      <c r="M46" s="47">
        <v>60</v>
      </c>
      <c r="N46" s="47">
        <v>80</v>
      </c>
      <c r="O46" s="47">
        <v>84</v>
      </c>
      <c r="P46" s="15">
        <f t="shared" si="0"/>
        <v>675</v>
      </c>
      <c r="Q46" s="33">
        <f t="shared" si="1"/>
        <v>61.363636363636367</v>
      </c>
      <c r="R46" s="15">
        <f t="shared" si="2"/>
        <v>43</v>
      </c>
      <c r="S46" s="15"/>
      <c r="T46" s="15"/>
    </row>
    <row r="47" spans="1:20" ht="20.100000000000001" customHeight="1" x14ac:dyDescent="0.25">
      <c r="A47" s="121">
        <v>44</v>
      </c>
      <c r="B47" s="142"/>
      <c r="C47" s="156">
        <v>15</v>
      </c>
      <c r="D47" s="156" t="s">
        <v>23</v>
      </c>
      <c r="E47" s="155">
        <v>98</v>
      </c>
      <c r="F47" s="47">
        <v>87</v>
      </c>
      <c r="G47" s="47">
        <v>90</v>
      </c>
      <c r="H47" s="47">
        <v>97</v>
      </c>
      <c r="I47" s="47">
        <v>89</v>
      </c>
      <c r="J47" s="47">
        <v>94</v>
      </c>
      <c r="K47" s="47">
        <v>97</v>
      </c>
      <c r="L47" s="47">
        <v>96</v>
      </c>
      <c r="M47" s="47">
        <v>94</v>
      </c>
      <c r="N47" s="47">
        <v>100</v>
      </c>
      <c r="O47" s="47">
        <v>100</v>
      </c>
      <c r="P47" s="15">
        <f t="shared" si="0"/>
        <v>1042</v>
      </c>
      <c r="Q47" s="33">
        <f t="shared" si="1"/>
        <v>94.727272727272734</v>
      </c>
      <c r="R47" s="15">
        <f t="shared" si="2"/>
        <v>1</v>
      </c>
      <c r="S47" s="15"/>
      <c r="T47" s="15"/>
    </row>
    <row r="48" spans="1:20" ht="20.100000000000001" customHeight="1" x14ac:dyDescent="0.25">
      <c r="A48" s="137">
        <v>45</v>
      </c>
      <c r="B48" s="142"/>
      <c r="C48" s="156">
        <v>16</v>
      </c>
      <c r="D48" s="156" t="s">
        <v>23</v>
      </c>
      <c r="E48" s="155">
        <v>93</v>
      </c>
      <c r="F48" s="47">
        <v>71</v>
      </c>
      <c r="G48" s="47">
        <v>65</v>
      </c>
      <c r="H48" s="47">
        <v>83</v>
      </c>
      <c r="I48" s="47">
        <v>67</v>
      </c>
      <c r="J48" s="47">
        <v>89</v>
      </c>
      <c r="K48" s="47">
        <v>79</v>
      </c>
      <c r="L48" s="47">
        <v>79</v>
      </c>
      <c r="M48" s="47">
        <v>87</v>
      </c>
      <c r="N48" s="47">
        <v>87</v>
      </c>
      <c r="O48" s="47">
        <v>100</v>
      </c>
      <c r="P48" s="15">
        <f t="shared" si="0"/>
        <v>900</v>
      </c>
      <c r="Q48" s="33">
        <f t="shared" si="1"/>
        <v>81.818181818181813</v>
      </c>
      <c r="R48" s="15">
        <f t="shared" si="2"/>
        <v>12</v>
      </c>
      <c r="S48" s="15"/>
      <c r="T48" s="15"/>
    </row>
    <row r="49" spans="1:20" ht="20.100000000000001" customHeight="1" x14ac:dyDescent="0.25">
      <c r="A49" s="121">
        <v>46</v>
      </c>
      <c r="B49" s="142"/>
      <c r="C49" s="156">
        <v>14</v>
      </c>
      <c r="D49" s="156" t="s">
        <v>20</v>
      </c>
      <c r="E49" s="155">
        <v>91</v>
      </c>
      <c r="F49" s="47">
        <v>85</v>
      </c>
      <c r="G49" s="47">
        <v>84</v>
      </c>
      <c r="H49" s="47">
        <v>90</v>
      </c>
      <c r="I49" s="47">
        <v>86</v>
      </c>
      <c r="J49" s="47">
        <v>90</v>
      </c>
      <c r="K49" s="47">
        <v>89</v>
      </c>
      <c r="L49" s="47">
        <v>88</v>
      </c>
      <c r="M49" s="47">
        <v>94</v>
      </c>
      <c r="N49" s="47">
        <v>95</v>
      </c>
      <c r="O49" s="47">
        <v>95</v>
      </c>
      <c r="P49" s="15">
        <f t="shared" si="0"/>
        <v>987</v>
      </c>
      <c r="Q49" s="33">
        <f t="shared" si="1"/>
        <v>89.727272727272734</v>
      </c>
      <c r="R49" s="15">
        <f t="shared" si="2"/>
        <v>5</v>
      </c>
      <c r="S49" s="15"/>
      <c r="T49" s="15"/>
    </row>
    <row r="50" spans="1:20" ht="20.100000000000001" customHeight="1" x14ac:dyDescent="0.25">
      <c r="A50" s="121">
        <v>47</v>
      </c>
      <c r="B50" s="142"/>
      <c r="C50" s="156">
        <v>15</v>
      </c>
      <c r="D50" s="156" t="s">
        <v>20</v>
      </c>
      <c r="E50" s="155">
        <v>72</v>
      </c>
      <c r="F50" s="47">
        <v>58</v>
      </c>
      <c r="G50" s="47">
        <v>70</v>
      </c>
      <c r="H50" s="47">
        <v>66</v>
      </c>
      <c r="I50" s="47">
        <v>57</v>
      </c>
      <c r="J50" s="47">
        <v>75</v>
      </c>
      <c r="K50" s="47">
        <v>69</v>
      </c>
      <c r="L50" s="47">
        <v>68</v>
      </c>
      <c r="M50" s="47">
        <v>67</v>
      </c>
      <c r="N50" s="47">
        <v>73</v>
      </c>
      <c r="O50" s="47">
        <v>81</v>
      </c>
      <c r="P50" s="15">
        <f t="shared" si="0"/>
        <v>756</v>
      </c>
      <c r="Q50" s="33">
        <f t="shared" si="1"/>
        <v>68.727272727272734</v>
      </c>
      <c r="R50" s="15">
        <f t="shared" si="2"/>
        <v>31</v>
      </c>
      <c r="S50" s="15"/>
      <c r="T50" s="15"/>
    </row>
    <row r="51" spans="1:20" ht="20.100000000000001" customHeight="1" x14ac:dyDescent="0.25">
      <c r="A51" s="121">
        <v>48</v>
      </c>
      <c r="B51" s="142"/>
      <c r="C51" s="156">
        <v>15</v>
      </c>
      <c r="D51" s="156" t="s">
        <v>23</v>
      </c>
      <c r="E51" s="155">
        <v>89</v>
      </c>
      <c r="F51" s="47">
        <v>74</v>
      </c>
      <c r="G51" s="47">
        <v>66</v>
      </c>
      <c r="H51" s="47">
        <v>74</v>
      </c>
      <c r="I51" s="47">
        <v>66</v>
      </c>
      <c r="J51" s="47">
        <v>65</v>
      </c>
      <c r="K51" s="47">
        <v>75</v>
      </c>
      <c r="L51" s="47">
        <v>59</v>
      </c>
      <c r="M51" s="47">
        <v>80</v>
      </c>
      <c r="N51" s="47">
        <v>88</v>
      </c>
      <c r="O51" s="47">
        <v>92</v>
      </c>
      <c r="P51" s="15">
        <f t="shared" si="0"/>
        <v>828</v>
      </c>
      <c r="Q51" s="33">
        <f t="shared" si="1"/>
        <v>75.272727272727266</v>
      </c>
      <c r="R51" s="15">
        <f t="shared" si="2"/>
        <v>20</v>
      </c>
      <c r="S51" s="15"/>
      <c r="T51" s="15"/>
    </row>
    <row r="52" spans="1:20" ht="20.100000000000001" customHeight="1" x14ac:dyDescent="0.25">
      <c r="A52" s="137">
        <v>49</v>
      </c>
      <c r="B52" s="142"/>
      <c r="C52" s="156">
        <v>14</v>
      </c>
      <c r="D52" s="156" t="s">
        <v>23</v>
      </c>
      <c r="E52" s="155">
        <v>61</v>
      </c>
      <c r="F52" s="47">
        <v>71</v>
      </c>
      <c r="G52" s="47">
        <v>51</v>
      </c>
      <c r="H52" s="47">
        <v>63</v>
      </c>
      <c r="I52" s="47">
        <v>53</v>
      </c>
      <c r="J52" s="47">
        <v>53</v>
      </c>
      <c r="K52" s="47">
        <v>60</v>
      </c>
      <c r="L52" s="47">
        <v>65</v>
      </c>
      <c r="M52" s="47">
        <v>78</v>
      </c>
      <c r="N52" s="47">
        <v>76</v>
      </c>
      <c r="O52" s="47">
        <v>84</v>
      </c>
      <c r="P52" s="15">
        <f t="shared" si="0"/>
        <v>715</v>
      </c>
      <c r="Q52" s="33">
        <f t="shared" si="1"/>
        <v>65</v>
      </c>
      <c r="R52" s="15">
        <f t="shared" si="2"/>
        <v>38</v>
      </c>
      <c r="S52" s="15"/>
      <c r="T52" s="15"/>
    </row>
    <row r="53" spans="1:20" ht="19.5" customHeight="1" x14ac:dyDescent="0.25">
      <c r="A53" s="170">
        <v>50</v>
      </c>
      <c r="B53" s="142"/>
      <c r="C53" s="156">
        <v>15</v>
      </c>
      <c r="D53" s="156" t="s">
        <v>23</v>
      </c>
      <c r="E53" s="158">
        <v>88</v>
      </c>
      <c r="F53" s="98">
        <v>84</v>
      </c>
      <c r="G53" s="98">
        <v>84</v>
      </c>
      <c r="H53" s="98">
        <v>72</v>
      </c>
      <c r="I53" s="98">
        <v>80</v>
      </c>
      <c r="J53" s="98">
        <v>76</v>
      </c>
      <c r="K53" s="98">
        <v>70</v>
      </c>
      <c r="L53" s="98">
        <v>72</v>
      </c>
      <c r="M53" s="98">
        <v>81</v>
      </c>
      <c r="N53" s="98">
        <v>92</v>
      </c>
      <c r="O53" s="98">
        <v>95</v>
      </c>
      <c r="P53" s="15">
        <f t="shared" si="0"/>
        <v>894</v>
      </c>
      <c r="Q53" s="33">
        <f t="shared" si="1"/>
        <v>81.272727272727266</v>
      </c>
      <c r="R53" s="15">
        <f t="shared" si="2"/>
        <v>13</v>
      </c>
      <c r="S53" s="98"/>
      <c r="T53" s="98"/>
    </row>
    <row r="54" spans="1:20" ht="19.5" customHeight="1" x14ac:dyDescent="0.3">
      <c r="A54" s="137">
        <v>51</v>
      </c>
      <c r="B54" s="142"/>
      <c r="C54" s="156">
        <v>15</v>
      </c>
      <c r="D54" s="156" t="s">
        <v>23</v>
      </c>
      <c r="E54" s="216">
        <v>79</v>
      </c>
      <c r="F54" s="217">
        <v>80</v>
      </c>
      <c r="G54" s="217">
        <v>62</v>
      </c>
      <c r="H54" s="217">
        <v>65</v>
      </c>
      <c r="I54" s="217">
        <v>61</v>
      </c>
      <c r="J54" s="217">
        <v>74</v>
      </c>
      <c r="K54" s="217">
        <v>72</v>
      </c>
      <c r="L54" s="217">
        <v>75</v>
      </c>
      <c r="M54" s="217">
        <v>81</v>
      </c>
      <c r="N54" s="217">
        <v>87</v>
      </c>
      <c r="O54" s="217">
        <v>92</v>
      </c>
      <c r="P54" s="15">
        <f t="shared" si="0"/>
        <v>828</v>
      </c>
      <c r="Q54" s="33">
        <f t="shared" si="1"/>
        <v>75.272727272727266</v>
      </c>
      <c r="R54" s="15">
        <f t="shared" si="2"/>
        <v>20</v>
      </c>
      <c r="S54" s="217"/>
      <c r="T54" s="217"/>
    </row>
    <row r="55" spans="1:20" ht="19.5" customHeight="1" x14ac:dyDescent="0.3">
      <c r="A55" s="170">
        <v>52</v>
      </c>
      <c r="B55" s="142"/>
      <c r="C55" s="156">
        <v>16</v>
      </c>
      <c r="D55" s="156" t="s">
        <v>20</v>
      </c>
      <c r="E55" s="216">
        <v>83</v>
      </c>
      <c r="F55" s="217">
        <v>66</v>
      </c>
      <c r="G55" s="217">
        <v>70</v>
      </c>
      <c r="H55" s="217">
        <v>75</v>
      </c>
      <c r="I55" s="217">
        <v>77</v>
      </c>
      <c r="J55" s="217">
        <v>84</v>
      </c>
      <c r="K55" s="217">
        <v>79</v>
      </c>
      <c r="L55" s="217">
        <v>82</v>
      </c>
      <c r="M55" s="217">
        <v>82</v>
      </c>
      <c r="N55" s="217">
        <v>74</v>
      </c>
      <c r="O55" s="217">
        <v>88</v>
      </c>
      <c r="P55" s="15">
        <f t="shared" si="0"/>
        <v>860</v>
      </c>
      <c r="Q55" s="33">
        <f t="shared" si="1"/>
        <v>78.181818181818187</v>
      </c>
      <c r="R55" s="15">
        <f t="shared" si="2"/>
        <v>18</v>
      </c>
      <c r="S55" s="98"/>
      <c r="T55" s="98"/>
    </row>
    <row r="56" spans="1:20" ht="19.5" customHeight="1" x14ac:dyDescent="0.3">
      <c r="A56" s="137">
        <v>53</v>
      </c>
      <c r="B56" s="142"/>
      <c r="C56" s="156">
        <v>16</v>
      </c>
      <c r="D56" s="156" t="s">
        <v>20</v>
      </c>
      <c r="E56" s="216">
        <v>80</v>
      </c>
      <c r="F56" s="217">
        <v>64</v>
      </c>
      <c r="G56" s="217">
        <v>79</v>
      </c>
      <c r="H56" s="217">
        <v>74</v>
      </c>
      <c r="I56" s="217">
        <v>66</v>
      </c>
      <c r="J56" s="217">
        <v>80</v>
      </c>
      <c r="K56" s="217">
        <v>77</v>
      </c>
      <c r="L56" s="217">
        <v>89</v>
      </c>
      <c r="M56" s="217">
        <v>83</v>
      </c>
      <c r="N56" s="217">
        <v>76</v>
      </c>
      <c r="O56" s="217">
        <v>81</v>
      </c>
      <c r="P56" s="15">
        <f t="shared" si="0"/>
        <v>849</v>
      </c>
      <c r="Q56" s="33">
        <f t="shared" si="1"/>
        <v>77.181818181818187</v>
      </c>
      <c r="R56" s="15">
        <f t="shared" si="2"/>
        <v>19</v>
      </c>
      <c r="S56" s="98"/>
      <c r="T56" s="98"/>
    </row>
    <row r="57" spans="1:20" ht="19.5" customHeight="1" x14ac:dyDescent="0.3">
      <c r="A57" s="170">
        <v>54</v>
      </c>
      <c r="B57" s="142"/>
      <c r="C57" s="156">
        <v>14</v>
      </c>
      <c r="D57" s="156" t="s">
        <v>20</v>
      </c>
      <c r="E57" s="216">
        <v>64</v>
      </c>
      <c r="F57" s="217">
        <v>55</v>
      </c>
      <c r="G57" s="217">
        <v>67</v>
      </c>
      <c r="H57" s="217">
        <v>59</v>
      </c>
      <c r="I57" s="217">
        <v>63</v>
      </c>
      <c r="J57" s="217">
        <v>65</v>
      </c>
      <c r="K57" s="217">
        <v>45</v>
      </c>
      <c r="L57" s="217">
        <v>72</v>
      </c>
      <c r="M57" s="217">
        <v>67</v>
      </c>
      <c r="N57" s="217">
        <v>69</v>
      </c>
      <c r="O57" s="217">
        <v>76</v>
      </c>
      <c r="P57" s="15">
        <f t="shared" si="0"/>
        <v>702</v>
      </c>
      <c r="Q57" s="33">
        <f t="shared" si="1"/>
        <v>63.81818181818182</v>
      </c>
      <c r="R57" s="15">
        <f t="shared" si="2"/>
        <v>39</v>
      </c>
      <c r="S57" s="98"/>
      <c r="T57" s="98"/>
    </row>
    <row r="58" spans="1:20" ht="19.5" customHeight="1" x14ac:dyDescent="0.3">
      <c r="A58" s="137">
        <v>55</v>
      </c>
      <c r="B58" s="142"/>
      <c r="C58" s="156">
        <v>15</v>
      </c>
      <c r="D58" s="156" t="s">
        <v>23</v>
      </c>
      <c r="E58" s="216">
        <v>78</v>
      </c>
      <c r="F58" s="217">
        <v>48</v>
      </c>
      <c r="G58" s="217">
        <v>44</v>
      </c>
      <c r="H58" s="217">
        <v>57</v>
      </c>
      <c r="I58" s="217">
        <v>61</v>
      </c>
      <c r="J58" s="217">
        <v>60</v>
      </c>
      <c r="K58" s="217">
        <v>63</v>
      </c>
      <c r="L58" s="217">
        <v>58</v>
      </c>
      <c r="M58" s="217">
        <v>60</v>
      </c>
      <c r="N58" s="217">
        <v>77</v>
      </c>
      <c r="O58" s="217">
        <v>86</v>
      </c>
      <c r="P58" s="15">
        <f t="shared" si="0"/>
        <v>692</v>
      </c>
      <c r="Q58" s="33">
        <f t="shared" si="1"/>
        <v>62.909090909090907</v>
      </c>
      <c r="R58" s="15">
        <f t="shared" si="2"/>
        <v>40</v>
      </c>
      <c r="S58" s="98"/>
      <c r="T58" s="98"/>
    </row>
  </sheetData>
  <mergeCells count="2">
    <mergeCell ref="A1:T1"/>
    <mergeCell ref="A2:T2"/>
  </mergeCells>
  <conditionalFormatting sqref="E4:O58">
    <cfRule type="cellIs" dxfId="5" priority="1" operator="lessThan">
      <formula>50</formula>
    </cfRule>
  </conditionalFormatting>
  <pageMargins left="0.7" right="0.7" top="0.75" bottom="0.75" header="0.3" footer="0.3"/>
  <pageSetup paperSize="9" scale="74" fitToHeight="0" orientation="landscape"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58"/>
  <sheetViews>
    <sheetView workbookViewId="0">
      <selection activeCell="B4" sqref="B4:B58"/>
    </sheetView>
  </sheetViews>
  <sheetFormatPr defaultRowHeight="15" x14ac:dyDescent="0.25"/>
  <cols>
    <col min="1" max="1" width="6.7109375" style="14" customWidth="1"/>
    <col min="2" max="2" width="35.140625" bestFit="1" customWidth="1"/>
    <col min="3" max="3" width="4.7109375" customWidth="1"/>
    <col min="4" max="4" width="4.140625" customWidth="1"/>
    <col min="5" max="16" width="7.7109375" customWidth="1"/>
    <col min="17" max="17" width="9.140625" customWidth="1"/>
    <col min="18" max="20" width="7.7109375" customWidth="1"/>
  </cols>
  <sheetData>
    <row r="1" spans="1:20" ht="20.25" x14ac:dyDescent="0.25">
      <c r="A1" s="272" t="s">
        <v>48</v>
      </c>
      <c r="B1" s="273"/>
      <c r="C1" s="273"/>
      <c r="D1" s="273"/>
      <c r="E1" s="273"/>
      <c r="F1" s="273"/>
      <c r="G1" s="273"/>
      <c r="H1" s="273"/>
      <c r="I1" s="273"/>
      <c r="J1" s="273"/>
      <c r="K1" s="273"/>
      <c r="L1" s="273"/>
      <c r="M1" s="273"/>
      <c r="N1" s="273"/>
      <c r="O1" s="273"/>
      <c r="P1" s="273"/>
      <c r="Q1" s="273"/>
      <c r="R1" s="273"/>
      <c r="S1" s="273"/>
      <c r="T1" s="274"/>
    </row>
    <row r="2" spans="1:20" ht="18" thickBot="1" x14ac:dyDescent="0.3">
      <c r="A2" s="275" t="s">
        <v>50</v>
      </c>
      <c r="B2" s="275"/>
      <c r="C2" s="275"/>
      <c r="D2" s="275"/>
      <c r="E2" s="275"/>
      <c r="F2" s="275"/>
      <c r="G2" s="275"/>
      <c r="H2" s="275"/>
      <c r="I2" s="275"/>
      <c r="J2" s="275"/>
      <c r="K2" s="275"/>
      <c r="L2" s="275"/>
      <c r="M2" s="275"/>
      <c r="N2" s="275"/>
      <c r="O2" s="275"/>
      <c r="P2" s="275"/>
      <c r="Q2" s="275"/>
      <c r="R2" s="275"/>
      <c r="S2" s="275"/>
      <c r="T2" s="275"/>
    </row>
    <row r="3" spans="1:20" ht="67.5" customHeight="1" thickBot="1" x14ac:dyDescent="0.3">
      <c r="A3" s="21" t="s">
        <v>24</v>
      </c>
      <c r="B3" s="22" t="s">
        <v>1</v>
      </c>
      <c r="C3" s="23" t="s">
        <v>2</v>
      </c>
      <c r="D3" s="171" t="s">
        <v>3</v>
      </c>
      <c r="E3" s="25" t="s">
        <v>4</v>
      </c>
      <c r="F3" s="25" t="s">
        <v>5</v>
      </c>
      <c r="G3" s="25" t="s">
        <v>6</v>
      </c>
      <c r="H3" s="25" t="s">
        <v>7</v>
      </c>
      <c r="I3" s="25" t="s">
        <v>8</v>
      </c>
      <c r="J3" s="25" t="s">
        <v>9</v>
      </c>
      <c r="K3" s="26" t="s">
        <v>10</v>
      </c>
      <c r="L3" s="25" t="s">
        <v>11</v>
      </c>
      <c r="M3" s="27" t="s">
        <v>12</v>
      </c>
      <c r="N3" s="27" t="s">
        <v>13</v>
      </c>
      <c r="O3" s="25" t="s">
        <v>14</v>
      </c>
      <c r="P3" s="27" t="s">
        <v>15</v>
      </c>
      <c r="Q3" s="25" t="s">
        <v>16</v>
      </c>
      <c r="R3" s="25" t="s">
        <v>17</v>
      </c>
      <c r="S3" s="26" t="s">
        <v>18</v>
      </c>
      <c r="T3" s="28" t="s">
        <v>19</v>
      </c>
    </row>
    <row r="4" spans="1:20" ht="20.100000000000001" customHeight="1" x14ac:dyDescent="0.25">
      <c r="A4" s="136">
        <v>1</v>
      </c>
      <c r="B4" s="142"/>
      <c r="C4" s="156">
        <v>14</v>
      </c>
      <c r="D4" s="156" t="s">
        <v>20</v>
      </c>
      <c r="E4" s="15">
        <v>72</v>
      </c>
      <c r="F4" s="15">
        <v>84</v>
      </c>
      <c r="G4" s="15">
        <v>53</v>
      </c>
      <c r="H4" s="15">
        <v>66</v>
      </c>
      <c r="I4" s="15">
        <v>70</v>
      </c>
      <c r="J4" s="15">
        <v>78</v>
      </c>
      <c r="K4" s="15">
        <v>71</v>
      </c>
      <c r="L4" s="15">
        <v>62</v>
      </c>
      <c r="M4" s="15">
        <v>84</v>
      </c>
      <c r="N4" s="15">
        <v>86</v>
      </c>
      <c r="O4" s="15">
        <v>91</v>
      </c>
      <c r="P4" s="15">
        <f>SUM(E4:O4)</f>
        <v>817</v>
      </c>
      <c r="Q4" s="33">
        <f>AVERAGE(E4:O4)</f>
        <v>74.272727272727266</v>
      </c>
      <c r="R4" s="15">
        <f>RANK(Q4,$Q$4:$Q$58)</f>
        <v>26</v>
      </c>
      <c r="S4" s="15"/>
      <c r="T4" s="15"/>
    </row>
    <row r="5" spans="1:20" ht="20.100000000000001" customHeight="1" x14ac:dyDescent="0.25">
      <c r="A5" s="121">
        <v>2</v>
      </c>
      <c r="B5" s="142"/>
      <c r="C5" s="156">
        <v>16</v>
      </c>
      <c r="D5" s="156" t="s">
        <v>20</v>
      </c>
      <c r="E5" s="15">
        <v>71</v>
      </c>
      <c r="F5" s="15">
        <v>62</v>
      </c>
      <c r="G5" s="15">
        <v>71</v>
      </c>
      <c r="H5" s="15">
        <v>68</v>
      </c>
      <c r="I5" s="15">
        <v>69</v>
      </c>
      <c r="J5" s="15">
        <v>67</v>
      </c>
      <c r="K5" s="15">
        <v>65</v>
      </c>
      <c r="L5" s="15">
        <v>75</v>
      </c>
      <c r="M5" s="15">
        <v>75</v>
      </c>
      <c r="N5" s="15">
        <v>77</v>
      </c>
      <c r="O5" s="15">
        <v>92</v>
      </c>
      <c r="P5" s="15">
        <f t="shared" ref="P5:P58" si="0">SUM(E5:O5)</f>
        <v>792</v>
      </c>
      <c r="Q5" s="33">
        <f t="shared" ref="Q5:Q58" si="1">AVERAGE(E5:O5)</f>
        <v>72</v>
      </c>
      <c r="R5" s="15">
        <f t="shared" ref="R5:R58" si="2">RANK(Q5,$Q$4:$Q$58)</f>
        <v>29</v>
      </c>
      <c r="S5" s="15"/>
      <c r="T5" s="15"/>
    </row>
    <row r="6" spans="1:20" ht="20.100000000000001" customHeight="1" x14ac:dyDescent="0.25">
      <c r="A6" s="137">
        <v>3</v>
      </c>
      <c r="B6" s="142"/>
      <c r="C6" s="156">
        <v>16</v>
      </c>
      <c r="D6" s="156" t="s">
        <v>23</v>
      </c>
      <c r="E6" s="15">
        <v>82</v>
      </c>
      <c r="F6" s="15">
        <v>87</v>
      </c>
      <c r="G6" s="15">
        <v>81</v>
      </c>
      <c r="H6" s="15">
        <v>83</v>
      </c>
      <c r="I6" s="15">
        <v>81</v>
      </c>
      <c r="J6" s="15">
        <v>94</v>
      </c>
      <c r="K6" s="15">
        <v>92</v>
      </c>
      <c r="L6" s="15">
        <v>98</v>
      </c>
      <c r="M6" s="15">
        <v>96</v>
      </c>
      <c r="N6" s="15">
        <v>94</v>
      </c>
      <c r="O6" s="15">
        <v>95</v>
      </c>
      <c r="P6" s="15">
        <f t="shared" si="0"/>
        <v>983</v>
      </c>
      <c r="Q6" s="33">
        <f t="shared" si="1"/>
        <v>89.36363636363636</v>
      </c>
      <c r="R6" s="15">
        <f t="shared" si="2"/>
        <v>5</v>
      </c>
      <c r="S6" s="15"/>
      <c r="T6" s="15"/>
    </row>
    <row r="7" spans="1:20" ht="20.100000000000001" customHeight="1" x14ac:dyDescent="0.25">
      <c r="A7" s="121">
        <v>4</v>
      </c>
      <c r="B7" s="142"/>
      <c r="C7" s="156">
        <v>15</v>
      </c>
      <c r="D7" s="156" t="s">
        <v>23</v>
      </c>
      <c r="E7" s="15">
        <v>87</v>
      </c>
      <c r="F7" s="15">
        <v>77</v>
      </c>
      <c r="G7" s="15">
        <v>83</v>
      </c>
      <c r="H7" s="15">
        <v>82</v>
      </c>
      <c r="I7" s="15">
        <v>77</v>
      </c>
      <c r="J7" s="15">
        <v>92</v>
      </c>
      <c r="K7" s="15">
        <v>91</v>
      </c>
      <c r="L7" s="15">
        <v>80</v>
      </c>
      <c r="M7" s="15">
        <v>91</v>
      </c>
      <c r="N7" s="15">
        <v>92</v>
      </c>
      <c r="O7" s="15">
        <v>100</v>
      </c>
      <c r="P7" s="15">
        <f t="shared" si="0"/>
        <v>952</v>
      </c>
      <c r="Q7" s="33">
        <f t="shared" si="1"/>
        <v>86.545454545454547</v>
      </c>
      <c r="R7" s="15">
        <f t="shared" si="2"/>
        <v>9</v>
      </c>
      <c r="S7" s="15"/>
      <c r="T7" s="15"/>
    </row>
    <row r="8" spans="1:20" ht="20.100000000000001" customHeight="1" x14ac:dyDescent="0.25">
      <c r="A8" s="121">
        <v>5</v>
      </c>
      <c r="B8" s="142"/>
      <c r="C8" s="156">
        <v>16</v>
      </c>
      <c r="D8" s="156" t="s">
        <v>20</v>
      </c>
      <c r="E8" s="15">
        <v>77</v>
      </c>
      <c r="F8" s="15">
        <v>58</v>
      </c>
      <c r="G8" s="15">
        <v>51</v>
      </c>
      <c r="H8" s="15">
        <v>54</v>
      </c>
      <c r="I8" s="15">
        <v>63</v>
      </c>
      <c r="J8" s="15">
        <v>82</v>
      </c>
      <c r="K8" s="15">
        <v>78</v>
      </c>
      <c r="L8" s="15">
        <v>87</v>
      </c>
      <c r="M8" s="15">
        <v>84</v>
      </c>
      <c r="N8" s="15">
        <v>90</v>
      </c>
      <c r="O8" s="15">
        <v>95</v>
      </c>
      <c r="P8" s="15">
        <f t="shared" si="0"/>
        <v>819</v>
      </c>
      <c r="Q8" s="33">
        <f t="shared" si="1"/>
        <v>74.454545454545453</v>
      </c>
      <c r="R8" s="15">
        <f t="shared" si="2"/>
        <v>25</v>
      </c>
      <c r="S8" s="15"/>
      <c r="T8" s="15"/>
    </row>
    <row r="9" spans="1:20" ht="20.100000000000001" customHeight="1" x14ac:dyDescent="0.25">
      <c r="A9" s="137">
        <v>6</v>
      </c>
      <c r="B9" s="142"/>
      <c r="C9" s="156">
        <v>16</v>
      </c>
      <c r="D9" s="156" t="s">
        <v>23</v>
      </c>
      <c r="E9" s="15">
        <v>72</v>
      </c>
      <c r="F9" s="15">
        <v>50</v>
      </c>
      <c r="G9" s="15">
        <v>41</v>
      </c>
      <c r="H9" s="15">
        <v>43</v>
      </c>
      <c r="I9" s="15">
        <v>47</v>
      </c>
      <c r="J9" s="15">
        <v>43</v>
      </c>
      <c r="K9" s="15">
        <v>51</v>
      </c>
      <c r="L9" s="15">
        <v>51</v>
      </c>
      <c r="M9" s="15">
        <v>58</v>
      </c>
      <c r="N9" s="15">
        <v>73</v>
      </c>
      <c r="O9" s="15">
        <v>90</v>
      </c>
      <c r="P9" s="15">
        <f t="shared" si="0"/>
        <v>619</v>
      </c>
      <c r="Q9" s="33">
        <f t="shared" si="1"/>
        <v>56.272727272727273</v>
      </c>
      <c r="R9" s="15">
        <f t="shared" si="2"/>
        <v>50</v>
      </c>
      <c r="S9" s="15"/>
      <c r="T9" s="15"/>
    </row>
    <row r="10" spans="1:20" ht="20.100000000000001" customHeight="1" x14ac:dyDescent="0.25">
      <c r="A10" s="121">
        <v>7</v>
      </c>
      <c r="B10" s="142"/>
      <c r="C10" s="156">
        <v>16</v>
      </c>
      <c r="D10" s="156" t="s">
        <v>23</v>
      </c>
      <c r="E10" s="15">
        <v>83</v>
      </c>
      <c r="F10" s="15">
        <v>77</v>
      </c>
      <c r="G10" s="15">
        <v>92</v>
      </c>
      <c r="H10" s="15">
        <v>81</v>
      </c>
      <c r="I10" s="15">
        <v>76</v>
      </c>
      <c r="J10" s="15">
        <v>87</v>
      </c>
      <c r="K10" s="15">
        <v>86</v>
      </c>
      <c r="L10" s="15">
        <v>69</v>
      </c>
      <c r="M10" s="15">
        <v>82</v>
      </c>
      <c r="N10" s="15">
        <v>83</v>
      </c>
      <c r="O10" s="15">
        <v>97</v>
      </c>
      <c r="P10" s="15">
        <f t="shared" si="0"/>
        <v>913</v>
      </c>
      <c r="Q10" s="33">
        <f t="shared" si="1"/>
        <v>83</v>
      </c>
      <c r="R10" s="15">
        <f t="shared" si="2"/>
        <v>14</v>
      </c>
      <c r="S10" s="15"/>
      <c r="T10" s="15"/>
    </row>
    <row r="11" spans="1:20" ht="20.100000000000001" customHeight="1" x14ac:dyDescent="0.25">
      <c r="A11" s="121">
        <v>8</v>
      </c>
      <c r="B11" s="142"/>
      <c r="C11" s="156">
        <v>16</v>
      </c>
      <c r="D11" s="156" t="s">
        <v>20</v>
      </c>
      <c r="E11" s="15">
        <v>85</v>
      </c>
      <c r="F11" s="15">
        <v>72</v>
      </c>
      <c r="G11" s="15">
        <v>83</v>
      </c>
      <c r="H11" s="15">
        <v>77</v>
      </c>
      <c r="I11" s="15">
        <v>62</v>
      </c>
      <c r="J11" s="15">
        <v>79</v>
      </c>
      <c r="K11" s="15">
        <v>83</v>
      </c>
      <c r="L11" s="15">
        <v>92</v>
      </c>
      <c r="M11" s="15">
        <v>87</v>
      </c>
      <c r="N11" s="15">
        <v>90</v>
      </c>
      <c r="O11" s="15">
        <v>90</v>
      </c>
      <c r="P11" s="15">
        <f t="shared" si="0"/>
        <v>900</v>
      </c>
      <c r="Q11" s="33">
        <f t="shared" si="1"/>
        <v>81.818181818181813</v>
      </c>
      <c r="R11" s="15">
        <f t="shared" si="2"/>
        <v>17</v>
      </c>
      <c r="S11" s="15"/>
      <c r="T11" s="15"/>
    </row>
    <row r="12" spans="1:20" ht="20.100000000000001" customHeight="1" x14ac:dyDescent="0.25">
      <c r="A12" s="137">
        <v>9</v>
      </c>
      <c r="B12" s="142"/>
      <c r="C12" s="156">
        <v>14</v>
      </c>
      <c r="D12" s="156" t="s">
        <v>20</v>
      </c>
      <c r="E12" s="15">
        <v>81</v>
      </c>
      <c r="F12" s="15">
        <v>84</v>
      </c>
      <c r="G12" s="15">
        <v>47</v>
      </c>
      <c r="H12" s="15">
        <v>45</v>
      </c>
      <c r="I12" s="15">
        <v>54</v>
      </c>
      <c r="J12" s="15">
        <v>81</v>
      </c>
      <c r="K12" s="15">
        <v>87</v>
      </c>
      <c r="L12" s="15">
        <v>79</v>
      </c>
      <c r="M12" s="15">
        <v>94</v>
      </c>
      <c r="N12" s="15">
        <v>90</v>
      </c>
      <c r="O12" s="15">
        <v>91</v>
      </c>
      <c r="P12" s="15">
        <f t="shared" si="0"/>
        <v>833</v>
      </c>
      <c r="Q12" s="33">
        <f t="shared" si="1"/>
        <v>75.727272727272734</v>
      </c>
      <c r="R12" s="15">
        <f t="shared" si="2"/>
        <v>23</v>
      </c>
      <c r="S12" s="15"/>
      <c r="T12" s="15"/>
    </row>
    <row r="13" spans="1:20" ht="20.100000000000001" customHeight="1" x14ac:dyDescent="0.25">
      <c r="A13" s="121">
        <v>10</v>
      </c>
      <c r="B13" s="142"/>
      <c r="C13" s="156">
        <v>15</v>
      </c>
      <c r="D13" s="156" t="s">
        <v>23</v>
      </c>
      <c r="E13" s="15">
        <v>69</v>
      </c>
      <c r="F13" s="15">
        <v>74</v>
      </c>
      <c r="G13" s="15">
        <v>34</v>
      </c>
      <c r="H13" s="15">
        <v>29</v>
      </c>
      <c r="I13" s="15">
        <v>42</v>
      </c>
      <c r="J13" s="15">
        <v>45</v>
      </c>
      <c r="K13" s="15">
        <v>55</v>
      </c>
      <c r="L13" s="15">
        <v>50</v>
      </c>
      <c r="M13" s="15">
        <v>72</v>
      </c>
      <c r="N13" s="15">
        <v>64</v>
      </c>
      <c r="O13" s="15">
        <v>80</v>
      </c>
      <c r="P13" s="15">
        <f t="shared" si="0"/>
        <v>614</v>
      </c>
      <c r="Q13" s="33">
        <f t="shared" si="1"/>
        <v>55.81818181818182</v>
      </c>
      <c r="R13" s="15">
        <f t="shared" si="2"/>
        <v>52</v>
      </c>
      <c r="S13" s="15"/>
      <c r="T13" s="15"/>
    </row>
    <row r="14" spans="1:20" ht="20.100000000000001" customHeight="1" x14ac:dyDescent="0.25">
      <c r="A14" s="137">
        <v>11</v>
      </c>
      <c r="B14" s="142"/>
      <c r="C14" s="156">
        <v>15</v>
      </c>
      <c r="D14" s="156" t="s">
        <v>23</v>
      </c>
      <c r="E14" s="15">
        <v>75</v>
      </c>
      <c r="F14" s="15">
        <v>73</v>
      </c>
      <c r="G14" s="15">
        <v>42</v>
      </c>
      <c r="H14" s="15">
        <v>52</v>
      </c>
      <c r="I14" s="15">
        <v>50</v>
      </c>
      <c r="J14" s="15">
        <v>59</v>
      </c>
      <c r="K14" s="15">
        <v>66</v>
      </c>
      <c r="L14" s="15">
        <v>53</v>
      </c>
      <c r="M14" s="15">
        <v>69</v>
      </c>
      <c r="N14" s="15">
        <v>83</v>
      </c>
      <c r="O14" s="15">
        <v>78</v>
      </c>
      <c r="P14" s="15">
        <f t="shared" si="0"/>
        <v>700</v>
      </c>
      <c r="Q14" s="33">
        <f t="shared" si="1"/>
        <v>63.636363636363633</v>
      </c>
      <c r="R14" s="15">
        <f t="shared" si="2"/>
        <v>36</v>
      </c>
      <c r="S14" s="15"/>
      <c r="T14" s="15"/>
    </row>
    <row r="15" spans="1:20" ht="20.100000000000001" customHeight="1" x14ac:dyDescent="0.25">
      <c r="A15" s="137">
        <v>12</v>
      </c>
      <c r="B15" s="142"/>
      <c r="C15" s="156">
        <v>15</v>
      </c>
      <c r="D15" s="156" t="s">
        <v>23</v>
      </c>
      <c r="E15" s="15">
        <v>65</v>
      </c>
      <c r="F15" s="15">
        <v>54</v>
      </c>
      <c r="G15" s="15">
        <v>41</v>
      </c>
      <c r="H15" s="15">
        <v>38</v>
      </c>
      <c r="I15" s="15">
        <v>37</v>
      </c>
      <c r="J15" s="15">
        <v>51</v>
      </c>
      <c r="K15" s="15">
        <v>46</v>
      </c>
      <c r="L15" s="15">
        <v>50</v>
      </c>
      <c r="M15" s="15">
        <v>63</v>
      </c>
      <c r="N15" s="15">
        <v>65</v>
      </c>
      <c r="O15" s="15">
        <v>86</v>
      </c>
      <c r="P15" s="15">
        <f t="shared" si="0"/>
        <v>596</v>
      </c>
      <c r="Q15" s="33">
        <f t="shared" si="1"/>
        <v>54.18181818181818</v>
      </c>
      <c r="R15" s="15">
        <f t="shared" si="2"/>
        <v>53</v>
      </c>
      <c r="S15" s="15"/>
      <c r="T15" s="15"/>
    </row>
    <row r="16" spans="1:20" ht="20.100000000000001" customHeight="1" x14ac:dyDescent="0.25">
      <c r="A16" s="137">
        <v>13</v>
      </c>
      <c r="B16" s="142"/>
      <c r="C16" s="156">
        <v>15</v>
      </c>
      <c r="D16" s="156" t="s">
        <v>23</v>
      </c>
      <c r="E16" s="15">
        <v>73</v>
      </c>
      <c r="F16" s="15">
        <v>67</v>
      </c>
      <c r="G16" s="15">
        <v>80</v>
      </c>
      <c r="H16" s="15">
        <v>68</v>
      </c>
      <c r="I16" s="15">
        <v>58</v>
      </c>
      <c r="J16" s="15">
        <v>65</v>
      </c>
      <c r="K16" s="15">
        <v>63</v>
      </c>
      <c r="L16" s="15">
        <v>73</v>
      </c>
      <c r="M16" s="15">
        <v>80</v>
      </c>
      <c r="N16" s="15">
        <v>70</v>
      </c>
      <c r="O16" s="15">
        <v>96</v>
      </c>
      <c r="P16" s="15">
        <f t="shared" si="0"/>
        <v>793</v>
      </c>
      <c r="Q16" s="33">
        <f t="shared" si="1"/>
        <v>72.090909090909093</v>
      </c>
      <c r="R16" s="15">
        <f t="shared" si="2"/>
        <v>28</v>
      </c>
      <c r="S16" s="15"/>
      <c r="T16" s="15"/>
    </row>
    <row r="17" spans="1:20" ht="20.100000000000001" customHeight="1" x14ac:dyDescent="0.25">
      <c r="A17" s="121">
        <v>14</v>
      </c>
      <c r="B17" s="142"/>
      <c r="C17" s="156">
        <v>16</v>
      </c>
      <c r="D17" s="156" t="s">
        <v>23</v>
      </c>
      <c r="E17" s="169">
        <v>64</v>
      </c>
      <c r="F17" s="169">
        <v>81</v>
      </c>
      <c r="G17" s="169">
        <v>61</v>
      </c>
      <c r="H17" s="169">
        <v>62</v>
      </c>
      <c r="I17" s="169">
        <v>58</v>
      </c>
      <c r="J17" s="169">
        <v>72</v>
      </c>
      <c r="K17" s="169">
        <v>73</v>
      </c>
      <c r="L17" s="169">
        <v>77</v>
      </c>
      <c r="M17" s="169">
        <v>86</v>
      </c>
      <c r="N17" s="169">
        <v>91</v>
      </c>
      <c r="O17" s="169">
        <v>97</v>
      </c>
      <c r="P17" s="15">
        <f t="shared" si="0"/>
        <v>822</v>
      </c>
      <c r="Q17" s="33">
        <f t="shared" si="1"/>
        <v>74.727272727272734</v>
      </c>
      <c r="R17" s="15">
        <f t="shared" si="2"/>
        <v>24</v>
      </c>
      <c r="S17" s="15"/>
      <c r="T17" s="15"/>
    </row>
    <row r="18" spans="1:20" ht="20.100000000000001" customHeight="1" x14ac:dyDescent="0.25">
      <c r="A18" s="137">
        <v>15</v>
      </c>
      <c r="B18" s="142"/>
      <c r="C18" s="156">
        <v>16</v>
      </c>
      <c r="D18" s="156" t="s">
        <v>23</v>
      </c>
      <c r="E18" s="15">
        <v>68</v>
      </c>
      <c r="F18" s="15">
        <v>64</v>
      </c>
      <c r="G18" s="15">
        <v>45</v>
      </c>
      <c r="H18" s="15">
        <v>45</v>
      </c>
      <c r="I18" s="15">
        <v>42</v>
      </c>
      <c r="J18" s="15">
        <v>40</v>
      </c>
      <c r="K18" s="15">
        <v>53</v>
      </c>
      <c r="L18" s="15">
        <v>58</v>
      </c>
      <c r="M18" s="15">
        <v>60</v>
      </c>
      <c r="N18" s="15">
        <v>72</v>
      </c>
      <c r="O18" s="15">
        <v>81</v>
      </c>
      <c r="P18" s="15">
        <f t="shared" si="0"/>
        <v>628</v>
      </c>
      <c r="Q18" s="33">
        <f t="shared" si="1"/>
        <v>57.090909090909093</v>
      </c>
      <c r="R18" s="15">
        <f t="shared" si="2"/>
        <v>47</v>
      </c>
      <c r="S18" s="15"/>
      <c r="T18" s="15"/>
    </row>
    <row r="19" spans="1:20" ht="20.100000000000001" customHeight="1" x14ac:dyDescent="0.25">
      <c r="A19" s="121">
        <v>16</v>
      </c>
      <c r="B19" s="142"/>
      <c r="C19" s="156">
        <v>16</v>
      </c>
      <c r="D19" s="156" t="s">
        <v>20</v>
      </c>
      <c r="E19" s="15">
        <v>65</v>
      </c>
      <c r="F19" s="15">
        <v>55</v>
      </c>
      <c r="G19" s="15">
        <v>43</v>
      </c>
      <c r="H19" s="15">
        <v>38</v>
      </c>
      <c r="I19" s="15">
        <v>42</v>
      </c>
      <c r="J19" s="15">
        <v>52</v>
      </c>
      <c r="K19" s="15">
        <v>57</v>
      </c>
      <c r="L19" s="15">
        <v>65</v>
      </c>
      <c r="M19" s="15">
        <v>58</v>
      </c>
      <c r="N19" s="15">
        <v>70</v>
      </c>
      <c r="O19" s="15">
        <v>76</v>
      </c>
      <c r="P19" s="15">
        <f t="shared" si="0"/>
        <v>621</v>
      </c>
      <c r="Q19" s="33">
        <f t="shared" si="1"/>
        <v>56.454545454545453</v>
      </c>
      <c r="R19" s="15">
        <f t="shared" si="2"/>
        <v>49</v>
      </c>
      <c r="S19" s="15"/>
      <c r="T19" s="15"/>
    </row>
    <row r="20" spans="1:20" ht="20.100000000000001" customHeight="1" x14ac:dyDescent="0.25">
      <c r="A20" s="121">
        <v>17</v>
      </c>
      <c r="B20" s="142"/>
      <c r="C20" s="156">
        <v>15</v>
      </c>
      <c r="D20" s="156" t="s">
        <v>20</v>
      </c>
      <c r="E20" s="15">
        <v>68</v>
      </c>
      <c r="F20" s="15">
        <v>68</v>
      </c>
      <c r="G20" s="15">
        <v>42</v>
      </c>
      <c r="H20" s="15">
        <v>37</v>
      </c>
      <c r="I20" s="15">
        <v>42</v>
      </c>
      <c r="J20" s="15">
        <v>51</v>
      </c>
      <c r="K20" s="15">
        <v>48</v>
      </c>
      <c r="L20" s="15">
        <v>53</v>
      </c>
      <c r="M20" s="15">
        <v>71</v>
      </c>
      <c r="N20" s="15">
        <v>67</v>
      </c>
      <c r="O20" s="15">
        <v>79</v>
      </c>
      <c r="P20" s="15">
        <f t="shared" si="0"/>
        <v>626</v>
      </c>
      <c r="Q20" s="33">
        <f t="shared" si="1"/>
        <v>56.909090909090907</v>
      </c>
      <c r="R20" s="15">
        <f t="shared" si="2"/>
        <v>48</v>
      </c>
      <c r="S20" s="15"/>
      <c r="T20" s="15"/>
    </row>
    <row r="21" spans="1:20" ht="20.100000000000001" customHeight="1" x14ac:dyDescent="0.25">
      <c r="A21" s="121">
        <v>18</v>
      </c>
      <c r="B21" s="142"/>
      <c r="C21" s="156">
        <v>16</v>
      </c>
      <c r="D21" s="156" t="s">
        <v>20</v>
      </c>
      <c r="E21" s="15">
        <v>87</v>
      </c>
      <c r="F21" s="15">
        <v>69</v>
      </c>
      <c r="G21" s="15">
        <v>81</v>
      </c>
      <c r="H21" s="15">
        <v>76</v>
      </c>
      <c r="I21" s="15">
        <v>76</v>
      </c>
      <c r="J21" s="15">
        <v>87</v>
      </c>
      <c r="K21" s="15">
        <v>92</v>
      </c>
      <c r="L21" s="15">
        <v>87</v>
      </c>
      <c r="M21" s="15">
        <v>98</v>
      </c>
      <c r="N21" s="15">
        <v>87</v>
      </c>
      <c r="O21" s="15">
        <v>95</v>
      </c>
      <c r="P21" s="15">
        <f t="shared" si="0"/>
        <v>935</v>
      </c>
      <c r="Q21" s="33">
        <f t="shared" si="1"/>
        <v>85</v>
      </c>
      <c r="R21" s="15">
        <f t="shared" si="2"/>
        <v>12</v>
      </c>
      <c r="S21" s="15"/>
      <c r="T21" s="15"/>
    </row>
    <row r="22" spans="1:20" ht="20.100000000000001" customHeight="1" x14ac:dyDescent="0.25">
      <c r="A22" s="137">
        <v>19</v>
      </c>
      <c r="B22" s="142"/>
      <c r="C22" s="156">
        <v>15</v>
      </c>
      <c r="D22" s="156" t="s">
        <v>23</v>
      </c>
      <c r="E22" s="15">
        <v>77</v>
      </c>
      <c r="F22" s="15">
        <v>88</v>
      </c>
      <c r="G22" s="15">
        <v>67</v>
      </c>
      <c r="H22" s="15">
        <v>70</v>
      </c>
      <c r="I22" s="15">
        <v>74</v>
      </c>
      <c r="J22" s="15">
        <v>89</v>
      </c>
      <c r="K22" s="15">
        <v>81</v>
      </c>
      <c r="L22" s="15">
        <v>88</v>
      </c>
      <c r="M22" s="15">
        <v>97</v>
      </c>
      <c r="N22" s="15">
        <v>94</v>
      </c>
      <c r="O22" s="15">
        <v>99</v>
      </c>
      <c r="P22" s="15">
        <f t="shared" si="0"/>
        <v>924</v>
      </c>
      <c r="Q22" s="33">
        <f t="shared" si="1"/>
        <v>84</v>
      </c>
      <c r="R22" s="15">
        <f t="shared" si="2"/>
        <v>13</v>
      </c>
      <c r="S22" s="15"/>
      <c r="T22" s="15"/>
    </row>
    <row r="23" spans="1:20" ht="20.100000000000001" customHeight="1" x14ac:dyDescent="0.25">
      <c r="A23" s="137">
        <v>20</v>
      </c>
      <c r="B23" s="142"/>
      <c r="C23" s="156">
        <v>16</v>
      </c>
      <c r="D23" s="156" t="s">
        <v>20</v>
      </c>
      <c r="E23" s="15">
        <v>75</v>
      </c>
      <c r="F23" s="15">
        <v>61</v>
      </c>
      <c r="G23" s="15">
        <v>44</v>
      </c>
      <c r="H23" s="15">
        <v>39</v>
      </c>
      <c r="I23" s="15">
        <v>39</v>
      </c>
      <c r="J23" s="15">
        <v>53</v>
      </c>
      <c r="K23" s="15">
        <v>52</v>
      </c>
      <c r="L23" s="15">
        <v>59</v>
      </c>
      <c r="M23" s="15">
        <v>64</v>
      </c>
      <c r="N23" s="15">
        <v>82</v>
      </c>
      <c r="O23" s="15">
        <v>96</v>
      </c>
      <c r="P23" s="15">
        <f t="shared" si="0"/>
        <v>664</v>
      </c>
      <c r="Q23" s="33">
        <f t="shared" si="1"/>
        <v>60.363636363636367</v>
      </c>
      <c r="R23" s="15">
        <f t="shared" si="2"/>
        <v>44</v>
      </c>
      <c r="S23" s="15"/>
      <c r="T23" s="15"/>
    </row>
    <row r="24" spans="1:20" ht="20.100000000000001" customHeight="1" x14ac:dyDescent="0.25">
      <c r="A24" s="137">
        <v>21</v>
      </c>
      <c r="B24" s="142"/>
      <c r="C24" s="156">
        <v>15</v>
      </c>
      <c r="D24" s="156" t="s">
        <v>23</v>
      </c>
      <c r="E24" s="15">
        <v>74</v>
      </c>
      <c r="F24" s="15">
        <v>49</v>
      </c>
      <c r="G24" s="15">
        <v>56</v>
      </c>
      <c r="H24" s="15">
        <v>55</v>
      </c>
      <c r="I24" s="15">
        <v>62</v>
      </c>
      <c r="J24" s="15">
        <v>68</v>
      </c>
      <c r="K24" s="15">
        <v>72</v>
      </c>
      <c r="L24" s="15">
        <v>63</v>
      </c>
      <c r="M24" s="15">
        <v>68</v>
      </c>
      <c r="N24" s="15">
        <v>74</v>
      </c>
      <c r="O24" s="15">
        <v>96</v>
      </c>
      <c r="P24" s="15">
        <f t="shared" si="0"/>
        <v>737</v>
      </c>
      <c r="Q24" s="33">
        <f t="shared" si="1"/>
        <v>67</v>
      </c>
      <c r="R24" s="15">
        <f t="shared" si="2"/>
        <v>33</v>
      </c>
      <c r="S24" s="15"/>
      <c r="T24" s="15"/>
    </row>
    <row r="25" spans="1:20" ht="20.100000000000001" customHeight="1" x14ac:dyDescent="0.25">
      <c r="A25" s="121">
        <v>22</v>
      </c>
      <c r="B25" s="142"/>
      <c r="C25" s="156">
        <v>16</v>
      </c>
      <c r="D25" s="156" t="s">
        <v>23</v>
      </c>
      <c r="E25" s="15">
        <v>85</v>
      </c>
      <c r="F25" s="15">
        <v>81</v>
      </c>
      <c r="G25" s="15">
        <v>78</v>
      </c>
      <c r="H25" s="15">
        <v>88</v>
      </c>
      <c r="I25" s="15">
        <v>84</v>
      </c>
      <c r="J25" s="15">
        <v>95</v>
      </c>
      <c r="K25" s="15">
        <v>93</v>
      </c>
      <c r="L25" s="15">
        <v>95</v>
      </c>
      <c r="M25" s="15">
        <v>93</v>
      </c>
      <c r="N25" s="15">
        <v>81</v>
      </c>
      <c r="O25" s="15">
        <v>96</v>
      </c>
      <c r="P25" s="15">
        <f t="shared" si="0"/>
        <v>969</v>
      </c>
      <c r="Q25" s="33">
        <f t="shared" si="1"/>
        <v>88.090909090909093</v>
      </c>
      <c r="R25" s="15">
        <f t="shared" si="2"/>
        <v>6</v>
      </c>
      <c r="S25" s="15"/>
      <c r="T25" s="15"/>
    </row>
    <row r="26" spans="1:20" ht="20.100000000000001" customHeight="1" x14ac:dyDescent="0.25">
      <c r="A26" s="121">
        <v>23</v>
      </c>
      <c r="B26" s="142"/>
      <c r="C26" s="156">
        <v>16</v>
      </c>
      <c r="D26" s="156" t="s">
        <v>20</v>
      </c>
      <c r="E26" s="15">
        <v>89</v>
      </c>
      <c r="F26" s="15">
        <v>85</v>
      </c>
      <c r="G26" s="15">
        <v>80</v>
      </c>
      <c r="H26" s="15">
        <v>85</v>
      </c>
      <c r="I26" s="15">
        <v>80</v>
      </c>
      <c r="J26" s="15">
        <v>90</v>
      </c>
      <c r="K26" s="15">
        <v>85</v>
      </c>
      <c r="L26" s="15">
        <v>83</v>
      </c>
      <c r="M26" s="15">
        <v>82</v>
      </c>
      <c r="N26" s="15">
        <v>92</v>
      </c>
      <c r="O26" s="15">
        <v>100</v>
      </c>
      <c r="P26" s="15">
        <f t="shared" si="0"/>
        <v>951</v>
      </c>
      <c r="Q26" s="33">
        <f t="shared" si="1"/>
        <v>86.454545454545453</v>
      </c>
      <c r="R26" s="15">
        <f t="shared" si="2"/>
        <v>10</v>
      </c>
      <c r="S26" s="15"/>
      <c r="T26" s="15"/>
    </row>
    <row r="27" spans="1:20" ht="20.100000000000001" customHeight="1" x14ac:dyDescent="0.25">
      <c r="A27" s="137">
        <v>24</v>
      </c>
      <c r="B27" s="142"/>
      <c r="C27" s="156">
        <v>15</v>
      </c>
      <c r="D27" s="156" t="s">
        <v>20</v>
      </c>
      <c r="E27" s="15">
        <v>64</v>
      </c>
      <c r="F27" s="15">
        <v>65</v>
      </c>
      <c r="G27" s="15">
        <v>55</v>
      </c>
      <c r="H27" s="15">
        <v>42</v>
      </c>
      <c r="I27" s="15">
        <v>50</v>
      </c>
      <c r="J27" s="15">
        <v>57</v>
      </c>
      <c r="K27" s="15">
        <v>76</v>
      </c>
      <c r="L27" s="15">
        <v>80</v>
      </c>
      <c r="M27" s="15">
        <v>65</v>
      </c>
      <c r="N27" s="15">
        <v>83</v>
      </c>
      <c r="O27" s="15">
        <v>90</v>
      </c>
      <c r="P27" s="15">
        <f t="shared" si="0"/>
        <v>727</v>
      </c>
      <c r="Q27" s="33">
        <f t="shared" si="1"/>
        <v>66.090909090909093</v>
      </c>
      <c r="R27" s="15">
        <f t="shared" si="2"/>
        <v>34</v>
      </c>
      <c r="S27" s="15"/>
      <c r="T27" s="15"/>
    </row>
    <row r="28" spans="1:20" ht="20.100000000000001" customHeight="1" x14ac:dyDescent="0.25">
      <c r="A28" s="121">
        <v>25</v>
      </c>
      <c r="B28" s="142"/>
      <c r="C28" s="156">
        <v>14</v>
      </c>
      <c r="D28" s="156" t="s">
        <v>23</v>
      </c>
      <c r="E28" s="15">
        <v>84</v>
      </c>
      <c r="F28" s="15">
        <v>88</v>
      </c>
      <c r="G28" s="15">
        <v>93</v>
      </c>
      <c r="H28" s="15">
        <v>65</v>
      </c>
      <c r="I28" s="15">
        <v>74</v>
      </c>
      <c r="J28" s="15">
        <v>90</v>
      </c>
      <c r="K28" s="15">
        <v>87</v>
      </c>
      <c r="L28" s="15">
        <v>89</v>
      </c>
      <c r="M28" s="15">
        <v>86</v>
      </c>
      <c r="N28" s="15">
        <v>96</v>
      </c>
      <c r="O28" s="15">
        <v>94</v>
      </c>
      <c r="P28" s="15">
        <f t="shared" si="0"/>
        <v>946</v>
      </c>
      <c r="Q28" s="33">
        <f t="shared" si="1"/>
        <v>86</v>
      </c>
      <c r="R28" s="15">
        <f t="shared" si="2"/>
        <v>11</v>
      </c>
      <c r="S28" s="15"/>
      <c r="T28" s="15"/>
    </row>
    <row r="29" spans="1:20" ht="20.100000000000001" customHeight="1" x14ac:dyDescent="0.25">
      <c r="A29" s="137">
        <v>26</v>
      </c>
      <c r="B29" s="142"/>
      <c r="C29" s="156">
        <v>14</v>
      </c>
      <c r="D29" s="156" t="s">
        <v>20</v>
      </c>
      <c r="E29" s="15">
        <v>71</v>
      </c>
      <c r="F29" s="15">
        <v>43</v>
      </c>
      <c r="G29" s="15">
        <v>33</v>
      </c>
      <c r="H29" s="15">
        <v>19</v>
      </c>
      <c r="I29" s="15">
        <v>37</v>
      </c>
      <c r="J29" s="15">
        <v>35</v>
      </c>
      <c r="K29" s="15">
        <v>51</v>
      </c>
      <c r="L29" s="15">
        <v>44</v>
      </c>
      <c r="M29" s="15">
        <v>52</v>
      </c>
      <c r="N29" s="15">
        <v>54</v>
      </c>
      <c r="O29" s="15">
        <v>60</v>
      </c>
      <c r="P29" s="15">
        <f t="shared" si="0"/>
        <v>499</v>
      </c>
      <c r="Q29" s="33">
        <f t="shared" si="1"/>
        <v>45.363636363636367</v>
      </c>
      <c r="R29" s="15">
        <f t="shared" si="2"/>
        <v>54</v>
      </c>
      <c r="S29" s="15"/>
      <c r="T29" s="15"/>
    </row>
    <row r="30" spans="1:20" ht="20.100000000000001" customHeight="1" x14ac:dyDescent="0.25">
      <c r="A30" s="137">
        <v>27</v>
      </c>
      <c r="B30" s="142"/>
      <c r="C30" s="156">
        <v>15</v>
      </c>
      <c r="D30" s="156" t="s">
        <v>20</v>
      </c>
      <c r="E30" s="15">
        <v>68</v>
      </c>
      <c r="F30" s="15">
        <v>57</v>
      </c>
      <c r="G30" s="15">
        <v>64</v>
      </c>
      <c r="H30" s="15">
        <v>67</v>
      </c>
      <c r="I30" s="15">
        <v>55</v>
      </c>
      <c r="J30" s="15">
        <v>48</v>
      </c>
      <c r="K30" s="15">
        <v>63</v>
      </c>
      <c r="L30" s="15">
        <v>65</v>
      </c>
      <c r="M30" s="15">
        <v>67</v>
      </c>
      <c r="N30" s="15">
        <v>73</v>
      </c>
      <c r="O30" s="15">
        <v>85</v>
      </c>
      <c r="P30" s="15">
        <f t="shared" si="0"/>
        <v>712</v>
      </c>
      <c r="Q30" s="33">
        <f t="shared" si="1"/>
        <v>64.727272727272734</v>
      </c>
      <c r="R30" s="15">
        <f t="shared" si="2"/>
        <v>35</v>
      </c>
      <c r="S30" s="15"/>
      <c r="T30" s="15"/>
    </row>
    <row r="31" spans="1:20" ht="20.100000000000001" customHeight="1" x14ac:dyDescent="0.25">
      <c r="A31" s="137">
        <v>28</v>
      </c>
      <c r="B31" s="142"/>
      <c r="C31" s="156">
        <v>16</v>
      </c>
      <c r="D31" s="156" t="s">
        <v>23</v>
      </c>
      <c r="E31" s="15">
        <v>72</v>
      </c>
      <c r="F31" s="15">
        <v>71</v>
      </c>
      <c r="G31" s="15">
        <v>54</v>
      </c>
      <c r="H31" s="15">
        <v>40</v>
      </c>
      <c r="I31" s="15">
        <v>48</v>
      </c>
      <c r="J31" s="15">
        <v>61</v>
      </c>
      <c r="K31" s="15">
        <v>60</v>
      </c>
      <c r="L31" s="15">
        <v>57</v>
      </c>
      <c r="M31" s="15">
        <v>72</v>
      </c>
      <c r="N31" s="15">
        <v>78</v>
      </c>
      <c r="O31" s="15">
        <v>86</v>
      </c>
      <c r="P31" s="15">
        <f t="shared" si="0"/>
        <v>699</v>
      </c>
      <c r="Q31" s="33">
        <f t="shared" si="1"/>
        <v>63.545454545454547</v>
      </c>
      <c r="R31" s="15">
        <f t="shared" si="2"/>
        <v>37</v>
      </c>
      <c r="S31" s="15"/>
      <c r="T31" s="15"/>
    </row>
    <row r="32" spans="1:20" ht="20.100000000000001" customHeight="1" x14ac:dyDescent="0.25">
      <c r="A32" s="121">
        <v>29</v>
      </c>
      <c r="B32" s="142"/>
      <c r="C32" s="156">
        <v>16</v>
      </c>
      <c r="D32" s="156" t="s">
        <v>23</v>
      </c>
      <c r="E32" s="15">
        <v>89</v>
      </c>
      <c r="F32" s="15">
        <v>95</v>
      </c>
      <c r="G32" s="15">
        <v>95</v>
      </c>
      <c r="H32" s="15">
        <v>96</v>
      </c>
      <c r="I32" s="15">
        <v>93</v>
      </c>
      <c r="J32" s="15">
        <v>100</v>
      </c>
      <c r="K32" s="15">
        <v>97</v>
      </c>
      <c r="L32" s="15">
        <v>93</v>
      </c>
      <c r="M32" s="15">
        <v>97</v>
      </c>
      <c r="N32" s="15">
        <v>100</v>
      </c>
      <c r="O32" s="15">
        <v>100</v>
      </c>
      <c r="P32" s="15">
        <f t="shared" si="0"/>
        <v>1055</v>
      </c>
      <c r="Q32" s="33">
        <f t="shared" si="1"/>
        <v>95.909090909090907</v>
      </c>
      <c r="R32" s="15">
        <f t="shared" si="2"/>
        <v>1</v>
      </c>
      <c r="S32" s="15"/>
      <c r="T32" s="15"/>
    </row>
    <row r="33" spans="1:20" ht="20.100000000000001" customHeight="1" x14ac:dyDescent="0.25">
      <c r="A33" s="137">
        <v>30</v>
      </c>
      <c r="B33" s="159"/>
      <c r="C33" s="160">
        <v>15</v>
      </c>
      <c r="D33" s="160" t="s">
        <v>23</v>
      </c>
      <c r="E33" s="15">
        <v>90</v>
      </c>
      <c r="F33" s="15">
        <v>86</v>
      </c>
      <c r="G33" s="15">
        <v>87</v>
      </c>
      <c r="H33" s="15">
        <v>89</v>
      </c>
      <c r="I33" s="15">
        <v>86</v>
      </c>
      <c r="J33" s="15">
        <v>96</v>
      </c>
      <c r="K33" s="15">
        <v>96</v>
      </c>
      <c r="L33" s="15">
        <v>91</v>
      </c>
      <c r="M33" s="15">
        <v>97</v>
      </c>
      <c r="N33" s="15">
        <v>98</v>
      </c>
      <c r="O33" s="15">
        <v>100</v>
      </c>
      <c r="P33" s="15">
        <f t="shared" si="0"/>
        <v>1016</v>
      </c>
      <c r="Q33" s="33">
        <f t="shared" si="1"/>
        <v>92.36363636363636</v>
      </c>
      <c r="R33" s="15">
        <f t="shared" si="2"/>
        <v>3</v>
      </c>
      <c r="S33" s="15"/>
      <c r="T33" s="15"/>
    </row>
    <row r="34" spans="1:20" ht="20.100000000000001" customHeight="1" x14ac:dyDescent="0.25">
      <c r="A34" s="121">
        <v>31</v>
      </c>
      <c r="B34" s="142"/>
      <c r="C34" s="156">
        <v>14</v>
      </c>
      <c r="D34" s="156" t="s">
        <v>23</v>
      </c>
      <c r="E34" s="15">
        <v>77</v>
      </c>
      <c r="F34" s="15">
        <v>84</v>
      </c>
      <c r="G34" s="15">
        <v>92</v>
      </c>
      <c r="H34" s="15">
        <v>84</v>
      </c>
      <c r="I34" s="15">
        <v>95</v>
      </c>
      <c r="J34" s="15">
        <v>95</v>
      </c>
      <c r="K34" s="15">
        <v>98</v>
      </c>
      <c r="L34" s="15">
        <v>96</v>
      </c>
      <c r="M34" s="15">
        <v>97</v>
      </c>
      <c r="N34" s="15">
        <v>98</v>
      </c>
      <c r="O34" s="15">
        <v>96</v>
      </c>
      <c r="P34" s="15">
        <f t="shared" si="0"/>
        <v>1012</v>
      </c>
      <c r="Q34" s="33">
        <f t="shared" si="1"/>
        <v>92</v>
      </c>
      <c r="R34" s="15">
        <f t="shared" si="2"/>
        <v>4</v>
      </c>
      <c r="S34" s="15"/>
      <c r="T34" s="15"/>
    </row>
    <row r="35" spans="1:20" ht="20.100000000000001" customHeight="1" x14ac:dyDescent="0.25">
      <c r="A35" s="121">
        <v>32</v>
      </c>
      <c r="B35" s="142"/>
      <c r="C35" s="156">
        <v>15</v>
      </c>
      <c r="D35" s="156" t="s">
        <v>23</v>
      </c>
      <c r="E35" s="15">
        <v>72</v>
      </c>
      <c r="F35" s="15">
        <v>63</v>
      </c>
      <c r="G35" s="15">
        <v>41</v>
      </c>
      <c r="H35" s="15">
        <v>39</v>
      </c>
      <c r="I35" s="15">
        <v>47</v>
      </c>
      <c r="J35" s="15">
        <v>55</v>
      </c>
      <c r="K35" s="15">
        <v>54</v>
      </c>
      <c r="L35" s="15">
        <v>52</v>
      </c>
      <c r="M35" s="15">
        <v>59</v>
      </c>
      <c r="N35" s="15">
        <v>76</v>
      </c>
      <c r="O35" s="15">
        <v>88</v>
      </c>
      <c r="P35" s="15">
        <f t="shared" si="0"/>
        <v>646</v>
      </c>
      <c r="Q35" s="33">
        <f t="shared" si="1"/>
        <v>58.727272727272727</v>
      </c>
      <c r="R35" s="15">
        <f t="shared" si="2"/>
        <v>46</v>
      </c>
      <c r="S35" s="15"/>
      <c r="T35" s="15"/>
    </row>
    <row r="36" spans="1:20" ht="20.100000000000001" customHeight="1" x14ac:dyDescent="0.25">
      <c r="A36" s="121">
        <v>33</v>
      </c>
      <c r="B36" s="142"/>
      <c r="C36" s="156">
        <v>16</v>
      </c>
      <c r="D36" s="156" t="s">
        <v>23</v>
      </c>
      <c r="E36" s="15">
        <v>72</v>
      </c>
      <c r="F36" s="15">
        <v>68</v>
      </c>
      <c r="G36" s="15">
        <v>37</v>
      </c>
      <c r="H36" s="15">
        <v>42</v>
      </c>
      <c r="I36" s="15">
        <v>51</v>
      </c>
      <c r="J36" s="15">
        <v>55</v>
      </c>
      <c r="K36" s="15">
        <v>60</v>
      </c>
      <c r="L36" s="15">
        <v>58</v>
      </c>
      <c r="M36" s="15">
        <v>67</v>
      </c>
      <c r="N36" s="15">
        <v>79</v>
      </c>
      <c r="O36" s="15">
        <v>88</v>
      </c>
      <c r="P36" s="15">
        <f t="shared" si="0"/>
        <v>677</v>
      </c>
      <c r="Q36" s="33">
        <f t="shared" si="1"/>
        <v>61.545454545454547</v>
      </c>
      <c r="R36" s="15">
        <f t="shared" si="2"/>
        <v>39</v>
      </c>
      <c r="S36" s="15"/>
      <c r="T36" s="15"/>
    </row>
    <row r="37" spans="1:20" ht="20.100000000000001" customHeight="1" x14ac:dyDescent="0.25">
      <c r="A37" s="137">
        <v>34</v>
      </c>
      <c r="B37" s="142"/>
      <c r="C37" s="156">
        <v>15</v>
      </c>
      <c r="D37" s="156" t="s">
        <v>23</v>
      </c>
      <c r="E37" s="15">
        <v>85</v>
      </c>
      <c r="F37" s="15">
        <v>71</v>
      </c>
      <c r="G37" s="15">
        <v>63</v>
      </c>
      <c r="H37" s="15">
        <v>65</v>
      </c>
      <c r="I37" s="15">
        <v>72</v>
      </c>
      <c r="J37" s="15">
        <v>77</v>
      </c>
      <c r="K37" s="15">
        <v>85</v>
      </c>
      <c r="L37" s="15">
        <v>67</v>
      </c>
      <c r="M37" s="15">
        <v>93</v>
      </c>
      <c r="N37" s="15">
        <v>94</v>
      </c>
      <c r="O37" s="15">
        <v>97</v>
      </c>
      <c r="P37" s="15">
        <f t="shared" si="0"/>
        <v>869</v>
      </c>
      <c r="Q37" s="33">
        <f t="shared" si="1"/>
        <v>79</v>
      </c>
      <c r="R37" s="15">
        <f t="shared" si="2"/>
        <v>20</v>
      </c>
      <c r="S37" s="15"/>
      <c r="T37" s="15"/>
    </row>
    <row r="38" spans="1:20" ht="20.100000000000001" customHeight="1" x14ac:dyDescent="0.25">
      <c r="A38" s="137">
        <v>35</v>
      </c>
      <c r="B38" s="142"/>
      <c r="C38" s="156">
        <v>15</v>
      </c>
      <c r="D38" s="156" t="s">
        <v>20</v>
      </c>
      <c r="E38" s="15">
        <v>77</v>
      </c>
      <c r="F38" s="15">
        <v>75</v>
      </c>
      <c r="G38" s="15">
        <v>58</v>
      </c>
      <c r="H38" s="15">
        <v>58</v>
      </c>
      <c r="I38" s="15">
        <v>59</v>
      </c>
      <c r="J38" s="15">
        <v>66</v>
      </c>
      <c r="K38" s="15">
        <v>73</v>
      </c>
      <c r="L38" s="15">
        <v>66</v>
      </c>
      <c r="M38" s="15">
        <v>89</v>
      </c>
      <c r="N38" s="15">
        <v>91</v>
      </c>
      <c r="O38" s="15">
        <v>87</v>
      </c>
      <c r="P38" s="15">
        <f t="shared" si="0"/>
        <v>799</v>
      </c>
      <c r="Q38" s="33">
        <f t="shared" si="1"/>
        <v>72.63636363636364</v>
      </c>
      <c r="R38" s="15">
        <f t="shared" si="2"/>
        <v>27</v>
      </c>
      <c r="S38" s="15"/>
      <c r="T38" s="15"/>
    </row>
    <row r="39" spans="1:20" ht="20.100000000000001" customHeight="1" x14ac:dyDescent="0.25">
      <c r="A39" s="137">
        <v>36</v>
      </c>
      <c r="B39" s="142"/>
      <c r="C39" s="156">
        <v>15</v>
      </c>
      <c r="D39" s="156" t="s">
        <v>23</v>
      </c>
      <c r="E39" s="15">
        <v>71</v>
      </c>
      <c r="F39" s="15">
        <v>49</v>
      </c>
      <c r="G39" s="15">
        <v>38</v>
      </c>
      <c r="H39" s="15">
        <v>48</v>
      </c>
      <c r="I39" s="15">
        <v>53</v>
      </c>
      <c r="J39" s="15">
        <v>44</v>
      </c>
      <c r="K39" s="15">
        <v>50</v>
      </c>
      <c r="L39" s="15">
        <v>50</v>
      </c>
      <c r="M39" s="15">
        <v>62</v>
      </c>
      <c r="N39" s="15">
        <v>78</v>
      </c>
      <c r="O39" s="15">
        <v>75</v>
      </c>
      <c r="P39" s="15">
        <f t="shared" si="0"/>
        <v>618</v>
      </c>
      <c r="Q39" s="33">
        <f t="shared" si="1"/>
        <v>56.18181818181818</v>
      </c>
      <c r="R39" s="15">
        <f t="shared" si="2"/>
        <v>51</v>
      </c>
      <c r="S39" s="15"/>
      <c r="T39" s="15"/>
    </row>
    <row r="40" spans="1:20" ht="20.100000000000001" customHeight="1" x14ac:dyDescent="0.25">
      <c r="A40" s="121">
        <v>37</v>
      </c>
      <c r="B40" s="142"/>
      <c r="C40" s="156">
        <v>16</v>
      </c>
      <c r="D40" s="156" t="s">
        <v>23</v>
      </c>
      <c r="E40" s="15">
        <v>84</v>
      </c>
      <c r="F40" s="15">
        <v>65</v>
      </c>
      <c r="G40" s="15">
        <v>78</v>
      </c>
      <c r="H40" s="15">
        <v>56</v>
      </c>
      <c r="I40" s="15">
        <v>52</v>
      </c>
      <c r="J40" s="15">
        <v>59</v>
      </c>
      <c r="K40" s="15">
        <v>68</v>
      </c>
      <c r="L40" s="15">
        <v>61</v>
      </c>
      <c r="M40" s="15">
        <v>66</v>
      </c>
      <c r="N40" s="15">
        <v>81</v>
      </c>
      <c r="O40" s="15">
        <v>88</v>
      </c>
      <c r="P40" s="15">
        <f t="shared" si="0"/>
        <v>758</v>
      </c>
      <c r="Q40" s="33">
        <f t="shared" si="1"/>
        <v>68.909090909090907</v>
      </c>
      <c r="R40" s="15">
        <f t="shared" si="2"/>
        <v>31</v>
      </c>
      <c r="S40" s="15"/>
      <c r="T40" s="15"/>
    </row>
    <row r="41" spans="1:20" ht="20.100000000000001" customHeight="1" x14ac:dyDescent="0.25">
      <c r="A41" s="121">
        <v>38</v>
      </c>
      <c r="B41" s="142"/>
      <c r="C41" s="156">
        <v>17</v>
      </c>
      <c r="D41" s="156" t="s">
        <v>20</v>
      </c>
      <c r="E41" s="15">
        <v>71</v>
      </c>
      <c r="F41" s="15">
        <v>59</v>
      </c>
      <c r="G41" s="15">
        <v>50</v>
      </c>
      <c r="H41" s="15">
        <v>61</v>
      </c>
      <c r="I41" s="15">
        <v>46</v>
      </c>
      <c r="J41" s="15">
        <v>66</v>
      </c>
      <c r="K41" s="15">
        <v>47</v>
      </c>
      <c r="L41" s="15">
        <v>44</v>
      </c>
      <c r="M41" s="15">
        <v>74</v>
      </c>
      <c r="N41" s="15">
        <v>64</v>
      </c>
      <c r="O41" s="15">
        <v>77</v>
      </c>
      <c r="P41" s="15">
        <f t="shared" si="0"/>
        <v>659</v>
      </c>
      <c r="Q41" s="33">
        <f t="shared" si="1"/>
        <v>59.909090909090907</v>
      </c>
      <c r="R41" s="15">
        <f t="shared" si="2"/>
        <v>45</v>
      </c>
      <c r="S41" s="15"/>
      <c r="T41" s="15"/>
    </row>
    <row r="42" spans="1:20" ht="20.100000000000001" customHeight="1" x14ac:dyDescent="0.25">
      <c r="A42" s="137">
        <v>39</v>
      </c>
      <c r="B42" s="142"/>
      <c r="C42" s="156">
        <v>16</v>
      </c>
      <c r="D42" s="156" t="s">
        <v>20</v>
      </c>
      <c r="E42" s="15">
        <v>70</v>
      </c>
      <c r="F42" s="15">
        <v>57</v>
      </c>
      <c r="G42" s="15">
        <v>49</v>
      </c>
      <c r="H42" s="15">
        <v>43</v>
      </c>
      <c r="I42" s="15">
        <v>50</v>
      </c>
      <c r="J42" s="15">
        <v>65</v>
      </c>
      <c r="K42" s="15">
        <v>61</v>
      </c>
      <c r="L42" s="15">
        <v>56</v>
      </c>
      <c r="M42" s="15">
        <v>72</v>
      </c>
      <c r="N42" s="15">
        <v>69</v>
      </c>
      <c r="O42" s="15">
        <v>75</v>
      </c>
      <c r="P42" s="15">
        <f t="shared" si="0"/>
        <v>667</v>
      </c>
      <c r="Q42" s="33">
        <f t="shared" si="1"/>
        <v>60.636363636363633</v>
      </c>
      <c r="R42" s="15">
        <f t="shared" si="2"/>
        <v>42</v>
      </c>
      <c r="S42" s="15"/>
      <c r="T42" s="15"/>
    </row>
    <row r="43" spans="1:20" ht="20.100000000000001" customHeight="1" x14ac:dyDescent="0.25">
      <c r="A43" s="121">
        <v>40</v>
      </c>
      <c r="B43" s="142"/>
      <c r="C43" s="156">
        <v>16</v>
      </c>
      <c r="D43" s="156" t="s">
        <v>20</v>
      </c>
      <c r="E43" s="15">
        <v>71</v>
      </c>
      <c r="F43" s="15">
        <v>59</v>
      </c>
      <c r="G43" s="15">
        <v>63</v>
      </c>
      <c r="H43" s="15">
        <v>68</v>
      </c>
      <c r="I43" s="15">
        <v>57</v>
      </c>
      <c r="J43" s="15">
        <v>60</v>
      </c>
      <c r="K43" s="15">
        <v>66</v>
      </c>
      <c r="L43" s="15">
        <v>75</v>
      </c>
      <c r="M43" s="15">
        <v>78</v>
      </c>
      <c r="N43" s="15">
        <v>84</v>
      </c>
      <c r="O43" s="15">
        <v>90</v>
      </c>
      <c r="P43" s="15">
        <f t="shared" si="0"/>
        <v>771</v>
      </c>
      <c r="Q43" s="33">
        <f t="shared" si="1"/>
        <v>70.090909090909093</v>
      </c>
      <c r="R43" s="15">
        <f t="shared" si="2"/>
        <v>30</v>
      </c>
      <c r="S43" s="15"/>
      <c r="T43" s="15"/>
    </row>
    <row r="44" spans="1:20" ht="20.100000000000001" customHeight="1" x14ac:dyDescent="0.25">
      <c r="A44" s="137">
        <v>41</v>
      </c>
      <c r="B44" s="142"/>
      <c r="C44" s="156">
        <v>15</v>
      </c>
      <c r="D44" s="156" t="s">
        <v>20</v>
      </c>
      <c r="E44" s="15">
        <v>77</v>
      </c>
      <c r="F44" s="15">
        <v>74</v>
      </c>
      <c r="G44" s="15">
        <v>79</v>
      </c>
      <c r="H44" s="15">
        <v>72</v>
      </c>
      <c r="I44" s="15">
        <v>70</v>
      </c>
      <c r="J44" s="15">
        <v>90</v>
      </c>
      <c r="K44" s="15">
        <v>85</v>
      </c>
      <c r="L44" s="15">
        <v>86</v>
      </c>
      <c r="M44" s="15">
        <v>83</v>
      </c>
      <c r="N44" s="15">
        <v>93</v>
      </c>
      <c r="O44" s="15">
        <v>97</v>
      </c>
      <c r="P44" s="15">
        <f t="shared" si="0"/>
        <v>906</v>
      </c>
      <c r="Q44" s="33">
        <f t="shared" si="1"/>
        <v>82.36363636363636</v>
      </c>
      <c r="R44" s="15">
        <f t="shared" si="2"/>
        <v>16</v>
      </c>
      <c r="S44" s="15"/>
      <c r="T44" s="15"/>
    </row>
    <row r="45" spans="1:20" ht="20.100000000000001" customHeight="1" x14ac:dyDescent="0.25">
      <c r="A45" s="137">
        <v>42</v>
      </c>
      <c r="B45" s="142"/>
      <c r="C45" s="156">
        <v>16</v>
      </c>
      <c r="D45" s="156" t="s">
        <v>20</v>
      </c>
      <c r="E45" s="230"/>
      <c r="F45" s="230"/>
      <c r="G45" s="230"/>
      <c r="H45" s="230"/>
      <c r="I45" s="230"/>
      <c r="J45" s="230"/>
      <c r="K45" s="230"/>
      <c r="L45" s="230"/>
      <c r="M45" s="230"/>
      <c r="N45" s="230"/>
      <c r="O45" s="230"/>
      <c r="P45" s="15">
        <f t="shared" si="0"/>
        <v>0</v>
      </c>
      <c r="Q45" s="33"/>
      <c r="R45" s="15"/>
      <c r="S45" s="15"/>
      <c r="T45" s="15"/>
    </row>
    <row r="46" spans="1:20" ht="20.100000000000001" customHeight="1" x14ac:dyDescent="0.25">
      <c r="A46" s="137">
        <v>43</v>
      </c>
      <c r="B46" s="142"/>
      <c r="C46" s="156">
        <v>15</v>
      </c>
      <c r="D46" s="156" t="s">
        <v>23</v>
      </c>
      <c r="E46" s="15">
        <v>70</v>
      </c>
      <c r="F46" s="15">
        <v>76</v>
      </c>
      <c r="G46" s="15">
        <v>49</v>
      </c>
      <c r="H46" s="15">
        <v>39</v>
      </c>
      <c r="I46" s="15">
        <v>46</v>
      </c>
      <c r="J46" s="15">
        <v>65</v>
      </c>
      <c r="K46" s="15">
        <v>65</v>
      </c>
      <c r="L46" s="15">
        <v>50</v>
      </c>
      <c r="M46" s="15">
        <v>65</v>
      </c>
      <c r="N46" s="15">
        <v>70</v>
      </c>
      <c r="O46" s="15">
        <v>80</v>
      </c>
      <c r="P46" s="15">
        <f t="shared" si="0"/>
        <v>675</v>
      </c>
      <c r="Q46" s="33">
        <f t="shared" si="1"/>
        <v>61.363636363636367</v>
      </c>
      <c r="R46" s="15">
        <f t="shared" si="2"/>
        <v>40</v>
      </c>
      <c r="S46" s="15"/>
      <c r="T46" s="15"/>
    </row>
    <row r="47" spans="1:20" ht="20.100000000000001" customHeight="1" x14ac:dyDescent="0.25">
      <c r="A47" s="121">
        <v>44</v>
      </c>
      <c r="B47" s="142"/>
      <c r="C47" s="156">
        <v>15</v>
      </c>
      <c r="D47" s="156" t="s">
        <v>23</v>
      </c>
      <c r="E47" s="15">
        <v>92</v>
      </c>
      <c r="F47" s="15">
        <v>88</v>
      </c>
      <c r="G47" s="15">
        <v>90</v>
      </c>
      <c r="H47" s="15">
        <v>96</v>
      </c>
      <c r="I47" s="15">
        <v>90</v>
      </c>
      <c r="J47" s="15">
        <v>100</v>
      </c>
      <c r="K47" s="15">
        <v>96</v>
      </c>
      <c r="L47" s="15">
        <v>95</v>
      </c>
      <c r="M47" s="15">
        <v>100</v>
      </c>
      <c r="N47" s="15">
        <v>100</v>
      </c>
      <c r="O47" s="15">
        <v>100</v>
      </c>
      <c r="P47" s="15">
        <f t="shared" si="0"/>
        <v>1047</v>
      </c>
      <c r="Q47" s="33">
        <f t="shared" si="1"/>
        <v>95.181818181818187</v>
      </c>
      <c r="R47" s="15">
        <f t="shared" si="2"/>
        <v>2</v>
      </c>
      <c r="S47" s="15"/>
      <c r="T47" s="15"/>
    </row>
    <row r="48" spans="1:20" ht="20.100000000000001" customHeight="1" x14ac:dyDescent="0.25">
      <c r="A48" s="137">
        <v>45</v>
      </c>
      <c r="B48" s="142"/>
      <c r="C48" s="156">
        <v>16</v>
      </c>
      <c r="D48" s="156" t="s">
        <v>23</v>
      </c>
      <c r="E48" s="15">
        <v>87</v>
      </c>
      <c r="F48" s="15">
        <v>79</v>
      </c>
      <c r="G48" s="15">
        <v>72</v>
      </c>
      <c r="H48" s="15">
        <v>73</v>
      </c>
      <c r="I48" s="15">
        <v>81</v>
      </c>
      <c r="J48" s="15">
        <v>94</v>
      </c>
      <c r="K48" s="15">
        <v>92</v>
      </c>
      <c r="L48" s="15">
        <v>91</v>
      </c>
      <c r="M48" s="15">
        <v>95</v>
      </c>
      <c r="N48" s="15">
        <v>95</v>
      </c>
      <c r="O48" s="15">
        <v>94</v>
      </c>
      <c r="P48" s="15">
        <f t="shared" si="0"/>
        <v>953</v>
      </c>
      <c r="Q48" s="33">
        <f t="shared" si="1"/>
        <v>86.63636363636364</v>
      </c>
      <c r="R48" s="15">
        <f t="shared" si="2"/>
        <v>8</v>
      </c>
      <c r="S48" s="15"/>
      <c r="T48" s="15"/>
    </row>
    <row r="49" spans="1:20" ht="20.100000000000001" customHeight="1" x14ac:dyDescent="0.25">
      <c r="A49" s="121">
        <v>46</v>
      </c>
      <c r="B49" s="142"/>
      <c r="C49" s="156">
        <v>14</v>
      </c>
      <c r="D49" s="156" t="s">
        <v>20</v>
      </c>
      <c r="E49" s="15">
        <v>92</v>
      </c>
      <c r="F49" s="15">
        <v>88</v>
      </c>
      <c r="G49" s="15">
        <v>77</v>
      </c>
      <c r="H49" s="15">
        <v>65</v>
      </c>
      <c r="I49" s="15">
        <v>76</v>
      </c>
      <c r="J49" s="15">
        <v>89</v>
      </c>
      <c r="K49" s="15">
        <v>94</v>
      </c>
      <c r="L49" s="15">
        <v>94</v>
      </c>
      <c r="M49" s="15">
        <v>100</v>
      </c>
      <c r="N49" s="15">
        <v>91</v>
      </c>
      <c r="O49" s="15">
        <v>96</v>
      </c>
      <c r="P49" s="15">
        <f t="shared" si="0"/>
        <v>962</v>
      </c>
      <c r="Q49" s="33">
        <f t="shared" si="1"/>
        <v>87.454545454545453</v>
      </c>
      <c r="R49" s="15">
        <f t="shared" si="2"/>
        <v>7</v>
      </c>
      <c r="S49" s="15"/>
      <c r="T49" s="15"/>
    </row>
    <row r="50" spans="1:20" ht="20.100000000000001" customHeight="1" x14ac:dyDescent="0.25">
      <c r="A50" s="121">
        <v>47</v>
      </c>
      <c r="B50" s="142"/>
      <c r="C50" s="156">
        <v>15</v>
      </c>
      <c r="D50" s="156" t="s">
        <v>20</v>
      </c>
      <c r="E50" s="15">
        <v>73</v>
      </c>
      <c r="F50" s="15">
        <v>61</v>
      </c>
      <c r="G50" s="15">
        <v>71</v>
      </c>
      <c r="H50" s="15">
        <v>56</v>
      </c>
      <c r="I50" s="15">
        <v>57</v>
      </c>
      <c r="J50" s="15">
        <v>57</v>
      </c>
      <c r="K50" s="15">
        <v>61</v>
      </c>
      <c r="L50" s="15">
        <v>73</v>
      </c>
      <c r="M50" s="15">
        <v>73</v>
      </c>
      <c r="N50" s="15">
        <v>84</v>
      </c>
      <c r="O50" s="15">
        <v>86</v>
      </c>
      <c r="P50" s="15">
        <f t="shared" si="0"/>
        <v>752</v>
      </c>
      <c r="Q50" s="33">
        <f t="shared" si="1"/>
        <v>68.36363636363636</v>
      </c>
      <c r="R50" s="15">
        <f t="shared" si="2"/>
        <v>32</v>
      </c>
      <c r="S50" s="15"/>
      <c r="T50" s="15"/>
    </row>
    <row r="51" spans="1:20" ht="20.100000000000001" customHeight="1" x14ac:dyDescent="0.25">
      <c r="A51" s="121">
        <v>48</v>
      </c>
      <c r="B51" s="142"/>
      <c r="C51" s="156">
        <v>15</v>
      </c>
      <c r="D51" s="156" t="s">
        <v>23</v>
      </c>
      <c r="E51" s="15">
        <v>85</v>
      </c>
      <c r="F51" s="15">
        <v>77</v>
      </c>
      <c r="G51" s="15">
        <v>72</v>
      </c>
      <c r="H51" s="15">
        <v>64</v>
      </c>
      <c r="I51" s="15">
        <v>61</v>
      </c>
      <c r="J51" s="15">
        <v>84</v>
      </c>
      <c r="K51" s="15">
        <v>79</v>
      </c>
      <c r="L51" s="15">
        <v>68</v>
      </c>
      <c r="M51" s="15">
        <v>94</v>
      </c>
      <c r="N51" s="15">
        <v>84</v>
      </c>
      <c r="O51" s="15">
        <v>85</v>
      </c>
      <c r="P51" s="15">
        <f t="shared" si="0"/>
        <v>853</v>
      </c>
      <c r="Q51" s="33">
        <f t="shared" si="1"/>
        <v>77.545454545454547</v>
      </c>
      <c r="R51" s="15">
        <f t="shared" si="2"/>
        <v>21</v>
      </c>
      <c r="S51" s="15"/>
      <c r="T51" s="15"/>
    </row>
    <row r="52" spans="1:20" ht="20.100000000000001" customHeight="1" x14ac:dyDescent="0.25">
      <c r="A52" s="137">
        <v>49</v>
      </c>
      <c r="B52" s="142"/>
      <c r="C52" s="156">
        <v>14</v>
      </c>
      <c r="D52" s="156" t="s">
        <v>23</v>
      </c>
      <c r="E52" s="15">
        <v>59</v>
      </c>
      <c r="F52" s="15">
        <v>73</v>
      </c>
      <c r="G52" s="15">
        <v>36</v>
      </c>
      <c r="H52" s="15">
        <v>50</v>
      </c>
      <c r="I52" s="15">
        <v>61</v>
      </c>
      <c r="J52" s="15">
        <v>58</v>
      </c>
      <c r="K52" s="15">
        <v>60</v>
      </c>
      <c r="L52" s="15">
        <v>55</v>
      </c>
      <c r="M52" s="15">
        <v>59</v>
      </c>
      <c r="N52" s="15">
        <v>73</v>
      </c>
      <c r="O52" s="15">
        <v>82</v>
      </c>
      <c r="P52" s="15">
        <f t="shared" si="0"/>
        <v>666</v>
      </c>
      <c r="Q52" s="33">
        <f t="shared" si="1"/>
        <v>60.545454545454547</v>
      </c>
      <c r="R52" s="15">
        <f t="shared" si="2"/>
        <v>43</v>
      </c>
      <c r="S52" s="15"/>
      <c r="T52" s="15"/>
    </row>
    <row r="53" spans="1:20" ht="19.5" customHeight="1" x14ac:dyDescent="0.25">
      <c r="A53" s="170">
        <v>50</v>
      </c>
      <c r="B53" s="142"/>
      <c r="C53" s="156">
        <v>15</v>
      </c>
      <c r="D53" s="156" t="s">
        <v>23</v>
      </c>
      <c r="E53" s="15">
        <v>89</v>
      </c>
      <c r="F53" s="15">
        <v>88</v>
      </c>
      <c r="G53" s="15">
        <v>67</v>
      </c>
      <c r="H53" s="15">
        <v>61</v>
      </c>
      <c r="I53" s="15">
        <v>74</v>
      </c>
      <c r="J53" s="15">
        <v>82</v>
      </c>
      <c r="K53" s="15">
        <v>69</v>
      </c>
      <c r="L53" s="15">
        <v>83</v>
      </c>
      <c r="M53" s="15">
        <v>91</v>
      </c>
      <c r="N53" s="15">
        <v>76</v>
      </c>
      <c r="O53" s="15">
        <v>91</v>
      </c>
      <c r="P53" s="15">
        <f t="shared" si="0"/>
        <v>871</v>
      </c>
      <c r="Q53" s="33">
        <f t="shared" si="1"/>
        <v>79.181818181818187</v>
      </c>
      <c r="R53" s="15">
        <f t="shared" si="2"/>
        <v>19</v>
      </c>
      <c r="S53" s="15"/>
      <c r="T53" s="15"/>
    </row>
    <row r="54" spans="1:20" ht="19.5" customHeight="1" x14ac:dyDescent="0.25">
      <c r="A54" s="137">
        <v>51</v>
      </c>
      <c r="B54" s="142"/>
      <c r="C54" s="156">
        <v>15</v>
      </c>
      <c r="D54" s="156" t="s">
        <v>23</v>
      </c>
      <c r="E54" s="15">
        <v>84</v>
      </c>
      <c r="F54" s="15">
        <v>83</v>
      </c>
      <c r="G54" s="15">
        <v>59</v>
      </c>
      <c r="H54" s="15">
        <v>70</v>
      </c>
      <c r="I54" s="15">
        <v>64</v>
      </c>
      <c r="J54" s="15">
        <v>88</v>
      </c>
      <c r="K54" s="15">
        <v>91</v>
      </c>
      <c r="L54" s="15">
        <v>87</v>
      </c>
      <c r="M54" s="15">
        <v>93</v>
      </c>
      <c r="N54" s="15">
        <v>95</v>
      </c>
      <c r="O54" s="15">
        <v>98</v>
      </c>
      <c r="P54" s="15">
        <f t="shared" si="0"/>
        <v>912</v>
      </c>
      <c r="Q54" s="33">
        <f t="shared" si="1"/>
        <v>82.909090909090907</v>
      </c>
      <c r="R54" s="15">
        <f t="shared" si="2"/>
        <v>15</v>
      </c>
      <c r="S54" s="15"/>
      <c r="T54" s="15"/>
    </row>
    <row r="55" spans="1:20" ht="19.5" customHeight="1" x14ac:dyDescent="0.25">
      <c r="A55" s="170">
        <v>52</v>
      </c>
      <c r="B55" s="142"/>
      <c r="C55" s="156">
        <v>16</v>
      </c>
      <c r="D55" s="156" t="s">
        <v>20</v>
      </c>
      <c r="E55" s="15">
        <v>76</v>
      </c>
      <c r="F55" s="15">
        <v>73</v>
      </c>
      <c r="G55" s="15">
        <v>69</v>
      </c>
      <c r="H55" s="15">
        <v>71</v>
      </c>
      <c r="I55" s="15">
        <v>80</v>
      </c>
      <c r="J55" s="15">
        <v>86</v>
      </c>
      <c r="K55" s="15">
        <v>80</v>
      </c>
      <c r="L55" s="15">
        <v>87</v>
      </c>
      <c r="M55" s="15">
        <v>89</v>
      </c>
      <c r="N55" s="15">
        <v>79</v>
      </c>
      <c r="O55" s="15">
        <v>91</v>
      </c>
      <c r="P55" s="15">
        <f t="shared" si="0"/>
        <v>881</v>
      </c>
      <c r="Q55" s="33">
        <f t="shared" si="1"/>
        <v>80.090909090909093</v>
      </c>
      <c r="R55" s="15">
        <f t="shared" si="2"/>
        <v>18</v>
      </c>
      <c r="S55" s="15"/>
      <c r="T55" s="15"/>
    </row>
    <row r="56" spans="1:20" ht="19.5" customHeight="1" x14ac:dyDescent="0.25">
      <c r="A56" s="137">
        <v>53</v>
      </c>
      <c r="B56" s="142"/>
      <c r="C56" s="156">
        <v>16</v>
      </c>
      <c r="D56" s="156" t="s">
        <v>20</v>
      </c>
      <c r="E56" s="15">
        <v>72</v>
      </c>
      <c r="F56" s="15">
        <v>77</v>
      </c>
      <c r="G56" s="15">
        <v>75</v>
      </c>
      <c r="H56" s="15">
        <v>72</v>
      </c>
      <c r="I56" s="15">
        <v>62</v>
      </c>
      <c r="J56" s="15">
        <v>77</v>
      </c>
      <c r="K56" s="15">
        <v>79</v>
      </c>
      <c r="L56" s="15">
        <v>78</v>
      </c>
      <c r="M56" s="15">
        <v>80</v>
      </c>
      <c r="N56" s="15">
        <v>81</v>
      </c>
      <c r="O56" s="15">
        <v>85</v>
      </c>
      <c r="P56" s="15">
        <f t="shared" si="0"/>
        <v>838</v>
      </c>
      <c r="Q56" s="33">
        <f t="shared" si="1"/>
        <v>76.181818181818187</v>
      </c>
      <c r="R56" s="15">
        <f t="shared" si="2"/>
        <v>22</v>
      </c>
      <c r="S56" s="15"/>
      <c r="T56" s="15"/>
    </row>
    <row r="57" spans="1:20" ht="19.5" customHeight="1" x14ac:dyDescent="0.25">
      <c r="A57" s="170">
        <v>54</v>
      </c>
      <c r="B57" s="142"/>
      <c r="C57" s="156">
        <v>14</v>
      </c>
      <c r="D57" s="156" t="s">
        <v>20</v>
      </c>
      <c r="E57" s="15">
        <v>66</v>
      </c>
      <c r="F57" s="15">
        <v>54</v>
      </c>
      <c r="G57" s="15">
        <v>50</v>
      </c>
      <c r="H57" s="15">
        <v>51</v>
      </c>
      <c r="I57" s="15">
        <v>43</v>
      </c>
      <c r="J57" s="15">
        <v>56</v>
      </c>
      <c r="K57" s="15">
        <v>59</v>
      </c>
      <c r="L57" s="15">
        <v>58</v>
      </c>
      <c r="M57" s="15">
        <v>73</v>
      </c>
      <c r="N57" s="15">
        <v>81</v>
      </c>
      <c r="O57" s="15">
        <v>80</v>
      </c>
      <c r="P57" s="15">
        <f t="shared" si="0"/>
        <v>671</v>
      </c>
      <c r="Q57" s="33">
        <f t="shared" si="1"/>
        <v>61</v>
      </c>
      <c r="R57" s="15">
        <f t="shared" si="2"/>
        <v>41</v>
      </c>
      <c r="S57" s="15"/>
      <c r="T57" s="15"/>
    </row>
    <row r="58" spans="1:20" ht="19.5" customHeight="1" x14ac:dyDescent="0.25">
      <c r="A58" s="137">
        <v>55</v>
      </c>
      <c r="B58" s="142"/>
      <c r="C58" s="156">
        <v>15</v>
      </c>
      <c r="D58" s="156" t="s">
        <v>23</v>
      </c>
      <c r="E58" s="15">
        <v>77</v>
      </c>
      <c r="F58" s="15">
        <v>52</v>
      </c>
      <c r="G58" s="15">
        <v>44</v>
      </c>
      <c r="H58" s="15">
        <v>43</v>
      </c>
      <c r="I58" s="15">
        <v>54</v>
      </c>
      <c r="J58" s="15">
        <v>56</v>
      </c>
      <c r="K58" s="15">
        <v>57</v>
      </c>
      <c r="L58" s="15">
        <v>58</v>
      </c>
      <c r="M58" s="15">
        <v>73</v>
      </c>
      <c r="N58" s="15">
        <v>85</v>
      </c>
      <c r="O58" s="15">
        <v>82</v>
      </c>
      <c r="P58" s="15">
        <f t="shared" si="0"/>
        <v>681</v>
      </c>
      <c r="Q58" s="33">
        <f t="shared" si="1"/>
        <v>61.909090909090907</v>
      </c>
      <c r="R58" s="15">
        <f t="shared" si="2"/>
        <v>38</v>
      </c>
      <c r="S58" s="15"/>
      <c r="T58" s="15"/>
    </row>
  </sheetData>
  <mergeCells count="2">
    <mergeCell ref="A1:T1"/>
    <mergeCell ref="A2:T2"/>
  </mergeCells>
  <pageMargins left="0.7" right="0.7" top="0.75" bottom="0.75" header="0.3" footer="0.3"/>
  <pageSetup scale="70" orientation="landscape"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58"/>
  <sheetViews>
    <sheetView workbookViewId="0">
      <selection activeCell="B4" sqref="B4:B58"/>
    </sheetView>
  </sheetViews>
  <sheetFormatPr defaultRowHeight="15" x14ac:dyDescent="0.25"/>
  <cols>
    <col min="1" max="1" width="6.7109375" style="14" customWidth="1"/>
    <col min="2" max="2" width="35.140625" bestFit="1" customWidth="1"/>
    <col min="3" max="3" width="4.7109375" customWidth="1"/>
    <col min="4" max="4" width="4.140625" customWidth="1"/>
    <col min="5" max="5" width="12" style="14" customWidth="1"/>
    <col min="6" max="7" width="10.5703125" style="14" customWidth="1"/>
    <col min="13" max="13" width="16.140625" customWidth="1"/>
  </cols>
  <sheetData>
    <row r="1" spans="1:11" ht="20.25" x14ac:dyDescent="0.25">
      <c r="A1" s="288" t="s">
        <v>48</v>
      </c>
      <c r="B1" s="289"/>
      <c r="C1" s="289"/>
      <c r="D1" s="289"/>
      <c r="E1" s="289"/>
      <c r="F1" s="289"/>
      <c r="G1" s="289"/>
      <c r="H1" s="289"/>
    </row>
    <row r="2" spans="1:11" ht="17.25" x14ac:dyDescent="0.25">
      <c r="A2" s="290" t="s">
        <v>51</v>
      </c>
      <c r="B2" s="291"/>
      <c r="C2" s="291"/>
      <c r="D2" s="291"/>
      <c r="E2" s="291"/>
      <c r="F2" s="291"/>
      <c r="G2" s="291"/>
      <c r="H2" s="291"/>
    </row>
    <row r="3" spans="1:11" ht="67.5" customHeight="1" thickBot="1" x14ac:dyDescent="0.3">
      <c r="A3" s="21" t="s">
        <v>24</v>
      </c>
      <c r="B3" s="22" t="s">
        <v>1</v>
      </c>
      <c r="C3" s="23" t="s">
        <v>2</v>
      </c>
      <c r="D3" s="22" t="s">
        <v>3</v>
      </c>
      <c r="E3" s="72" t="s">
        <v>26</v>
      </c>
      <c r="F3" s="72" t="s">
        <v>27</v>
      </c>
      <c r="G3" s="72" t="s">
        <v>16</v>
      </c>
      <c r="H3" s="123" t="s">
        <v>17</v>
      </c>
      <c r="J3" s="128"/>
      <c r="K3" s="129"/>
    </row>
    <row r="4" spans="1:11" ht="20.100000000000001" customHeight="1" x14ac:dyDescent="0.25">
      <c r="A4" s="136">
        <v>1</v>
      </c>
      <c r="B4" s="142"/>
      <c r="C4" s="156">
        <v>14</v>
      </c>
      <c r="D4" s="156" t="s">
        <v>20</v>
      </c>
      <c r="E4" s="33">
        <f>'10B Sem 1'!Q4</f>
        <v>75</v>
      </c>
      <c r="F4" s="33">
        <f>'10B Sem 2'!Q4</f>
        <v>74.272727272727266</v>
      </c>
      <c r="G4" s="33">
        <f>AVERAGE(E4:F4)</f>
        <v>74.636363636363626</v>
      </c>
      <c r="H4" s="132">
        <f>RANK(G4,$G$4:$G$58)</f>
        <v>23</v>
      </c>
      <c r="J4" s="130"/>
      <c r="K4" s="131"/>
    </row>
    <row r="5" spans="1:11" ht="20.100000000000001" customHeight="1" x14ac:dyDescent="0.25">
      <c r="A5" s="121">
        <v>2</v>
      </c>
      <c r="B5" s="142"/>
      <c r="C5" s="156">
        <v>16</v>
      </c>
      <c r="D5" s="156" t="s">
        <v>20</v>
      </c>
      <c r="E5" s="33">
        <f>'10B Sem 1'!Q5</f>
        <v>69.272727272727266</v>
      </c>
      <c r="F5" s="33">
        <f>'10B Sem 2'!Q5</f>
        <v>72</v>
      </c>
      <c r="G5" s="33">
        <f t="shared" ref="G5:G58" si="0">AVERAGE(E5:F5)</f>
        <v>70.636363636363626</v>
      </c>
      <c r="H5" s="132">
        <f t="shared" ref="H5:H58" si="1">RANK(G5,$G$4:$G$58)</f>
        <v>29</v>
      </c>
      <c r="J5" s="130"/>
      <c r="K5" s="131"/>
    </row>
    <row r="6" spans="1:11" ht="20.100000000000001" customHeight="1" x14ac:dyDescent="0.25">
      <c r="A6" s="137">
        <v>3</v>
      </c>
      <c r="B6" s="142"/>
      <c r="C6" s="156">
        <v>16</v>
      </c>
      <c r="D6" s="156" t="s">
        <v>23</v>
      </c>
      <c r="E6" s="33">
        <f>'10B Sem 1'!Q6</f>
        <v>87.272727272727266</v>
      </c>
      <c r="F6" s="33">
        <f>'10B Sem 2'!Q6</f>
        <v>89.36363636363636</v>
      </c>
      <c r="G6" s="33">
        <f t="shared" si="0"/>
        <v>88.318181818181813</v>
      </c>
      <c r="H6" s="132">
        <f t="shared" si="1"/>
        <v>7</v>
      </c>
      <c r="J6" s="130"/>
      <c r="K6" s="131"/>
    </row>
    <row r="7" spans="1:11" ht="20.100000000000001" customHeight="1" x14ac:dyDescent="0.25">
      <c r="A7" s="121">
        <v>4</v>
      </c>
      <c r="B7" s="142"/>
      <c r="C7" s="156">
        <v>15</v>
      </c>
      <c r="D7" s="156" t="s">
        <v>23</v>
      </c>
      <c r="E7" s="33">
        <f>'10B Sem 1'!Q7</f>
        <v>85.909090909090907</v>
      </c>
      <c r="F7" s="33">
        <f>'10B Sem 2'!Q7</f>
        <v>86.545454545454547</v>
      </c>
      <c r="G7" s="33">
        <f t="shared" si="0"/>
        <v>86.22727272727272</v>
      </c>
      <c r="H7" s="132">
        <f t="shared" si="1"/>
        <v>9</v>
      </c>
      <c r="J7" s="130"/>
      <c r="K7" s="131"/>
    </row>
    <row r="8" spans="1:11" ht="20.100000000000001" customHeight="1" x14ac:dyDescent="0.25">
      <c r="A8" s="121">
        <v>5</v>
      </c>
      <c r="B8" s="142"/>
      <c r="C8" s="156">
        <v>16</v>
      </c>
      <c r="D8" s="156" t="s">
        <v>20</v>
      </c>
      <c r="E8" s="33">
        <f>'10B Sem 1'!Q8</f>
        <v>73</v>
      </c>
      <c r="F8" s="33">
        <f>'10B Sem 2'!Q8</f>
        <v>74.454545454545453</v>
      </c>
      <c r="G8" s="33">
        <f t="shared" si="0"/>
        <v>73.72727272727272</v>
      </c>
      <c r="H8" s="132">
        <f t="shared" si="1"/>
        <v>26</v>
      </c>
      <c r="J8" s="130"/>
      <c r="K8" s="131"/>
    </row>
    <row r="9" spans="1:11" ht="20.100000000000001" customHeight="1" x14ac:dyDescent="0.25">
      <c r="A9" s="137">
        <v>6</v>
      </c>
      <c r="B9" s="142"/>
      <c r="C9" s="156">
        <v>16</v>
      </c>
      <c r="D9" s="156" t="s">
        <v>23</v>
      </c>
      <c r="E9" s="33">
        <f>'10B Sem 1'!Q9</f>
        <v>55.909090909090907</v>
      </c>
      <c r="F9" s="33">
        <f>'10B Sem 2'!Q9</f>
        <v>56.272727272727273</v>
      </c>
      <c r="G9" s="33">
        <f t="shared" si="0"/>
        <v>56.090909090909093</v>
      </c>
      <c r="H9" s="132">
        <f t="shared" si="1"/>
        <v>51</v>
      </c>
      <c r="J9" s="130"/>
      <c r="K9" s="131"/>
    </row>
    <row r="10" spans="1:11" ht="20.100000000000001" customHeight="1" x14ac:dyDescent="0.25">
      <c r="A10" s="121">
        <v>7</v>
      </c>
      <c r="B10" s="142"/>
      <c r="C10" s="156">
        <v>16</v>
      </c>
      <c r="D10" s="156" t="s">
        <v>23</v>
      </c>
      <c r="E10" s="33">
        <f>'10B Sem 1'!Q10</f>
        <v>79.454545454545453</v>
      </c>
      <c r="F10" s="33">
        <f>'10B Sem 2'!Q10</f>
        <v>83</v>
      </c>
      <c r="G10" s="33">
        <f t="shared" si="0"/>
        <v>81.22727272727272</v>
      </c>
      <c r="H10" s="132">
        <f t="shared" si="1"/>
        <v>15</v>
      </c>
      <c r="J10" s="130"/>
      <c r="K10" s="131"/>
    </row>
    <row r="11" spans="1:11" ht="20.100000000000001" customHeight="1" x14ac:dyDescent="0.25">
      <c r="A11" s="121">
        <v>8</v>
      </c>
      <c r="B11" s="142"/>
      <c r="C11" s="156">
        <v>16</v>
      </c>
      <c r="D11" s="156" t="s">
        <v>20</v>
      </c>
      <c r="E11" s="33">
        <f>'10B Sem 1'!Q11</f>
        <v>79.090909090909093</v>
      </c>
      <c r="F11" s="33">
        <f>'10B Sem 2'!Q11</f>
        <v>81.818181818181813</v>
      </c>
      <c r="G11" s="33">
        <f t="shared" si="0"/>
        <v>80.454545454545453</v>
      </c>
      <c r="H11" s="132">
        <f t="shared" si="1"/>
        <v>16</v>
      </c>
      <c r="J11" s="130"/>
      <c r="K11" s="131"/>
    </row>
    <row r="12" spans="1:11" ht="20.100000000000001" customHeight="1" x14ac:dyDescent="0.25">
      <c r="A12" s="137">
        <v>9</v>
      </c>
      <c r="B12" s="142"/>
      <c r="C12" s="156">
        <v>14</v>
      </c>
      <c r="D12" s="156" t="s">
        <v>20</v>
      </c>
      <c r="E12" s="33">
        <f>'10B Sem 1'!Q12</f>
        <v>72</v>
      </c>
      <c r="F12" s="33">
        <f>'10B Sem 2'!Q12</f>
        <v>75.727272727272734</v>
      </c>
      <c r="G12" s="33">
        <f t="shared" si="0"/>
        <v>73.863636363636374</v>
      </c>
      <c r="H12" s="132">
        <f t="shared" si="1"/>
        <v>24</v>
      </c>
      <c r="J12" s="130"/>
      <c r="K12" s="131"/>
    </row>
    <row r="13" spans="1:11" ht="20.100000000000001" customHeight="1" x14ac:dyDescent="0.25">
      <c r="A13" s="121">
        <v>10</v>
      </c>
      <c r="B13" s="142"/>
      <c r="C13" s="156">
        <v>15</v>
      </c>
      <c r="D13" s="156" t="s">
        <v>23</v>
      </c>
      <c r="E13" s="33">
        <f>'10B Sem 1'!Q13</f>
        <v>57.18181818181818</v>
      </c>
      <c r="F13" s="33">
        <f>'10B Sem 2'!Q13</f>
        <v>55.81818181818182</v>
      </c>
      <c r="G13" s="33">
        <f t="shared" si="0"/>
        <v>56.5</v>
      </c>
      <c r="H13" s="132">
        <f t="shared" si="1"/>
        <v>50</v>
      </c>
      <c r="J13" s="130"/>
      <c r="K13" s="131"/>
    </row>
    <row r="14" spans="1:11" ht="20.100000000000001" customHeight="1" x14ac:dyDescent="0.25">
      <c r="A14" s="137">
        <v>11</v>
      </c>
      <c r="B14" s="142"/>
      <c r="C14" s="156">
        <v>15</v>
      </c>
      <c r="D14" s="156" t="s">
        <v>23</v>
      </c>
      <c r="E14" s="33">
        <f>'10B Sem 1'!Q14</f>
        <v>62.636363636363633</v>
      </c>
      <c r="F14" s="33">
        <f>'10B Sem 2'!Q14</f>
        <v>63.636363636363633</v>
      </c>
      <c r="G14" s="33">
        <f t="shared" si="0"/>
        <v>63.136363636363633</v>
      </c>
      <c r="H14" s="132">
        <f t="shared" si="1"/>
        <v>38</v>
      </c>
      <c r="J14" s="130"/>
      <c r="K14" s="131"/>
    </row>
    <row r="15" spans="1:11" ht="20.100000000000001" customHeight="1" x14ac:dyDescent="0.25">
      <c r="A15" s="137">
        <v>12</v>
      </c>
      <c r="B15" s="142"/>
      <c r="C15" s="156">
        <v>15</v>
      </c>
      <c r="D15" s="156" t="s">
        <v>23</v>
      </c>
      <c r="E15" s="33">
        <f>'10B Sem 1'!Q15</f>
        <v>54.090909090909093</v>
      </c>
      <c r="F15" s="33">
        <f>'10B Sem 2'!Q15</f>
        <v>54.18181818181818</v>
      </c>
      <c r="G15" s="33">
        <f t="shared" si="0"/>
        <v>54.13636363636364</v>
      </c>
      <c r="H15" s="132">
        <f t="shared" si="1"/>
        <v>53</v>
      </c>
      <c r="J15" s="130"/>
      <c r="K15" s="131"/>
    </row>
    <row r="16" spans="1:11" ht="20.100000000000001" customHeight="1" x14ac:dyDescent="0.25">
      <c r="A16" s="137">
        <v>13</v>
      </c>
      <c r="B16" s="142"/>
      <c r="C16" s="156">
        <v>15</v>
      </c>
      <c r="D16" s="156" t="s">
        <v>23</v>
      </c>
      <c r="E16" s="33">
        <f>'10B Sem 1'!Q16</f>
        <v>74.090909090909093</v>
      </c>
      <c r="F16" s="33">
        <f>'10B Sem 2'!Q16</f>
        <v>72.090909090909093</v>
      </c>
      <c r="G16" s="33">
        <f t="shared" si="0"/>
        <v>73.090909090909093</v>
      </c>
      <c r="H16" s="132">
        <f t="shared" si="1"/>
        <v>28</v>
      </c>
      <c r="J16" s="130"/>
      <c r="K16" s="131"/>
    </row>
    <row r="17" spans="1:13" ht="20.100000000000001" customHeight="1" x14ac:dyDescent="0.25">
      <c r="A17" s="121">
        <v>14</v>
      </c>
      <c r="B17" s="142"/>
      <c r="C17" s="156">
        <v>16</v>
      </c>
      <c r="D17" s="156" t="s">
        <v>23</v>
      </c>
      <c r="E17" s="168">
        <f>'10B Sem 1'!Q17</f>
        <v>73</v>
      </c>
      <c r="F17" s="168">
        <f>'10B Sem 2'!Q17</f>
        <v>74.727272727272734</v>
      </c>
      <c r="G17" s="33">
        <f t="shared" si="0"/>
        <v>73.863636363636374</v>
      </c>
      <c r="H17" s="132">
        <f t="shared" si="1"/>
        <v>24</v>
      </c>
      <c r="I17" s="174"/>
      <c r="J17" s="175"/>
      <c r="K17" s="176"/>
      <c r="L17" s="174"/>
      <c r="M17" s="174"/>
    </row>
    <row r="18" spans="1:13" ht="20.100000000000001" customHeight="1" x14ac:dyDescent="0.25">
      <c r="A18" s="137">
        <v>15</v>
      </c>
      <c r="B18" s="142"/>
      <c r="C18" s="156">
        <v>16</v>
      </c>
      <c r="D18" s="156" t="s">
        <v>23</v>
      </c>
      <c r="E18" s="33">
        <f>'10B Sem 1'!Q18</f>
        <v>60.727272727272727</v>
      </c>
      <c r="F18" s="33">
        <f>'10B Sem 2'!Q18</f>
        <v>57.090909090909093</v>
      </c>
      <c r="G18" s="33">
        <f t="shared" si="0"/>
        <v>58.909090909090907</v>
      </c>
      <c r="H18" s="132">
        <f t="shared" si="1"/>
        <v>47</v>
      </c>
      <c r="J18" s="130"/>
      <c r="K18" s="131"/>
    </row>
    <row r="19" spans="1:13" ht="20.100000000000001" customHeight="1" x14ac:dyDescent="0.25">
      <c r="A19" s="121">
        <v>16</v>
      </c>
      <c r="B19" s="142"/>
      <c r="C19" s="156">
        <v>16</v>
      </c>
      <c r="D19" s="156" t="s">
        <v>20</v>
      </c>
      <c r="E19" s="33">
        <f>'10B Sem 1'!Q19</f>
        <v>61.090909090909093</v>
      </c>
      <c r="F19" s="33">
        <f>'10B Sem 2'!Q19</f>
        <v>56.454545454545453</v>
      </c>
      <c r="G19" s="33">
        <f t="shared" si="0"/>
        <v>58.772727272727273</v>
      </c>
      <c r="H19" s="132">
        <f t="shared" si="1"/>
        <v>48</v>
      </c>
      <c r="J19" s="130"/>
      <c r="K19" s="131"/>
    </row>
    <row r="20" spans="1:13" ht="20.100000000000001" customHeight="1" x14ac:dyDescent="0.25">
      <c r="A20" s="121">
        <v>17</v>
      </c>
      <c r="B20" s="142"/>
      <c r="C20" s="156">
        <v>15</v>
      </c>
      <c r="D20" s="156" t="s">
        <v>20</v>
      </c>
      <c r="E20" s="33">
        <f>'10B Sem 1'!Q20</f>
        <v>61.636363636363633</v>
      </c>
      <c r="F20" s="33">
        <f>'10B Sem 2'!Q20</f>
        <v>56.909090909090907</v>
      </c>
      <c r="G20" s="33">
        <f t="shared" si="0"/>
        <v>59.272727272727266</v>
      </c>
      <c r="H20" s="132">
        <f t="shared" si="1"/>
        <v>46</v>
      </c>
      <c r="J20" s="130"/>
      <c r="K20" s="131"/>
    </row>
    <row r="21" spans="1:13" ht="20.100000000000001" customHeight="1" x14ac:dyDescent="0.25">
      <c r="A21" s="121">
        <v>18</v>
      </c>
      <c r="B21" s="142"/>
      <c r="C21" s="156">
        <v>16</v>
      </c>
      <c r="D21" s="156" t="s">
        <v>20</v>
      </c>
      <c r="E21" s="33">
        <f>'10B Sem 1'!Q21</f>
        <v>81.272727272727266</v>
      </c>
      <c r="F21" s="33">
        <f>'10B Sem 2'!Q21</f>
        <v>85</v>
      </c>
      <c r="G21" s="33">
        <f t="shared" si="0"/>
        <v>83.136363636363626</v>
      </c>
      <c r="H21" s="132">
        <f t="shared" si="1"/>
        <v>12</v>
      </c>
      <c r="J21" s="130"/>
      <c r="K21" s="131"/>
    </row>
    <row r="22" spans="1:13" ht="20.100000000000001" customHeight="1" x14ac:dyDescent="0.25">
      <c r="A22" s="137">
        <v>19</v>
      </c>
      <c r="B22" s="142"/>
      <c r="C22" s="156">
        <v>15</v>
      </c>
      <c r="D22" s="156" t="s">
        <v>23</v>
      </c>
      <c r="E22" s="33">
        <f>'10B Sem 1'!Q22</f>
        <v>79.545454545454547</v>
      </c>
      <c r="F22" s="33">
        <f>'10B Sem 2'!Q22</f>
        <v>84</v>
      </c>
      <c r="G22" s="33">
        <f t="shared" si="0"/>
        <v>81.77272727272728</v>
      </c>
      <c r="H22" s="132">
        <f t="shared" si="1"/>
        <v>14</v>
      </c>
      <c r="J22" s="130"/>
      <c r="K22" s="131"/>
    </row>
    <row r="23" spans="1:13" ht="20.100000000000001" customHeight="1" x14ac:dyDescent="0.25">
      <c r="A23" s="137">
        <v>20</v>
      </c>
      <c r="B23" s="142"/>
      <c r="C23" s="156">
        <v>16</v>
      </c>
      <c r="D23" s="156" t="s">
        <v>20</v>
      </c>
      <c r="E23" s="33">
        <f>'10B Sem 1'!Q23</f>
        <v>60.545454545454547</v>
      </c>
      <c r="F23" s="33">
        <f>'10B Sem 2'!Q23</f>
        <v>60.363636363636367</v>
      </c>
      <c r="G23" s="33">
        <f t="shared" si="0"/>
        <v>60.454545454545453</v>
      </c>
      <c r="H23" s="132">
        <f t="shared" si="1"/>
        <v>43</v>
      </c>
      <c r="J23" s="130"/>
      <c r="K23" s="131"/>
    </row>
    <row r="24" spans="1:13" ht="20.100000000000001" customHeight="1" x14ac:dyDescent="0.25">
      <c r="A24" s="137">
        <v>21</v>
      </c>
      <c r="B24" s="142"/>
      <c r="C24" s="156">
        <v>15</v>
      </c>
      <c r="D24" s="156" t="s">
        <v>23</v>
      </c>
      <c r="E24" s="33">
        <f>'10B Sem 1'!Q24</f>
        <v>67.36363636363636</v>
      </c>
      <c r="F24" s="33">
        <f>'10B Sem 2'!Q24</f>
        <v>67</v>
      </c>
      <c r="G24" s="33">
        <f t="shared" si="0"/>
        <v>67.181818181818187</v>
      </c>
      <c r="H24" s="132">
        <f t="shared" si="1"/>
        <v>33</v>
      </c>
      <c r="J24" s="130"/>
      <c r="K24" s="131"/>
    </row>
    <row r="25" spans="1:13" ht="20.100000000000001" customHeight="1" x14ac:dyDescent="0.25">
      <c r="A25" s="121">
        <v>22</v>
      </c>
      <c r="B25" s="142"/>
      <c r="C25" s="156">
        <v>16</v>
      </c>
      <c r="D25" s="156" t="s">
        <v>23</v>
      </c>
      <c r="E25" s="33">
        <f>'10B Sem 1'!Q25</f>
        <v>90.272727272727266</v>
      </c>
      <c r="F25" s="33">
        <f>'10B Sem 2'!Q25</f>
        <v>88.090909090909093</v>
      </c>
      <c r="G25" s="33">
        <f t="shared" si="0"/>
        <v>89.181818181818187</v>
      </c>
      <c r="H25" s="132">
        <f t="shared" si="1"/>
        <v>5</v>
      </c>
      <c r="J25" s="130"/>
      <c r="K25" s="131"/>
    </row>
    <row r="26" spans="1:13" ht="20.100000000000001" customHeight="1" x14ac:dyDescent="0.25">
      <c r="A26" s="121">
        <v>23</v>
      </c>
      <c r="B26" s="142"/>
      <c r="C26" s="156">
        <v>16</v>
      </c>
      <c r="D26" s="156" t="s">
        <v>20</v>
      </c>
      <c r="E26" s="33">
        <f>'10B Sem 1'!Q26</f>
        <v>89.63636363636364</v>
      </c>
      <c r="F26" s="33">
        <f>'10B Sem 2'!Q26</f>
        <v>86.454545454545453</v>
      </c>
      <c r="G26" s="33">
        <f t="shared" si="0"/>
        <v>88.045454545454547</v>
      </c>
      <c r="H26" s="132">
        <f t="shared" si="1"/>
        <v>8</v>
      </c>
      <c r="J26" s="130"/>
      <c r="K26" s="131"/>
    </row>
    <row r="27" spans="1:13" ht="20.100000000000001" customHeight="1" x14ac:dyDescent="0.25">
      <c r="A27" s="137">
        <v>24</v>
      </c>
      <c r="B27" s="142"/>
      <c r="C27" s="156">
        <v>15</v>
      </c>
      <c r="D27" s="156" t="s">
        <v>20</v>
      </c>
      <c r="E27" s="33">
        <f>'10B Sem 1'!Q27</f>
        <v>67.63636363636364</v>
      </c>
      <c r="F27" s="33">
        <f>'10B Sem 2'!Q27</f>
        <v>66.090909090909093</v>
      </c>
      <c r="G27" s="33">
        <f t="shared" si="0"/>
        <v>66.863636363636374</v>
      </c>
      <c r="H27" s="132">
        <f t="shared" si="1"/>
        <v>34</v>
      </c>
      <c r="J27" s="130"/>
      <c r="K27" s="131"/>
    </row>
    <row r="28" spans="1:13" ht="20.100000000000001" customHeight="1" x14ac:dyDescent="0.25">
      <c r="A28" s="121">
        <v>25</v>
      </c>
      <c r="B28" s="142"/>
      <c r="C28" s="156">
        <v>14</v>
      </c>
      <c r="D28" s="156" t="s">
        <v>23</v>
      </c>
      <c r="E28" s="33">
        <f>'10B Sem 1'!Q28</f>
        <v>83.090909090909093</v>
      </c>
      <c r="F28" s="33">
        <f>'10B Sem 2'!Q28</f>
        <v>86</v>
      </c>
      <c r="G28" s="33">
        <f t="shared" si="0"/>
        <v>84.545454545454547</v>
      </c>
      <c r="H28" s="132">
        <f t="shared" si="1"/>
        <v>10</v>
      </c>
      <c r="J28" s="130"/>
      <c r="K28" s="131"/>
    </row>
    <row r="29" spans="1:13" ht="20.100000000000001" customHeight="1" x14ac:dyDescent="0.25">
      <c r="A29" s="137">
        <v>26</v>
      </c>
      <c r="B29" s="142"/>
      <c r="C29" s="156">
        <v>14</v>
      </c>
      <c r="D29" s="156" t="s">
        <v>20</v>
      </c>
      <c r="E29" s="33">
        <f>'10B Sem 1'!Q29</f>
        <v>54</v>
      </c>
      <c r="F29" s="33">
        <f>'10B Sem 2'!Q29</f>
        <v>45.363636363636367</v>
      </c>
      <c r="G29" s="33">
        <f t="shared" si="0"/>
        <v>49.681818181818187</v>
      </c>
      <c r="H29" s="132">
        <f t="shared" si="1"/>
        <v>54</v>
      </c>
      <c r="J29" s="130"/>
      <c r="K29" s="131"/>
    </row>
    <row r="30" spans="1:13" ht="20.100000000000001" customHeight="1" x14ac:dyDescent="0.25">
      <c r="A30" s="137">
        <v>27</v>
      </c>
      <c r="B30" s="142"/>
      <c r="C30" s="156">
        <v>15</v>
      </c>
      <c r="D30" s="156" t="s">
        <v>20</v>
      </c>
      <c r="E30" s="33">
        <f>'10B Sem 1'!Q30</f>
        <v>67.181818181818187</v>
      </c>
      <c r="F30" s="33">
        <f>'10B Sem 2'!Q30</f>
        <v>64.727272727272734</v>
      </c>
      <c r="G30" s="33">
        <f t="shared" si="0"/>
        <v>65.954545454545467</v>
      </c>
      <c r="H30" s="132">
        <f t="shared" si="1"/>
        <v>35</v>
      </c>
      <c r="J30" s="130"/>
      <c r="K30" s="131"/>
    </row>
    <row r="31" spans="1:13" ht="20.100000000000001" customHeight="1" x14ac:dyDescent="0.25">
      <c r="A31" s="137">
        <v>28</v>
      </c>
      <c r="B31" s="142"/>
      <c r="C31" s="156">
        <v>16</v>
      </c>
      <c r="D31" s="156" t="s">
        <v>23</v>
      </c>
      <c r="E31" s="33">
        <f>'10B Sem 1'!Q31</f>
        <v>65.545454545454547</v>
      </c>
      <c r="F31" s="33">
        <f>'10B Sem 2'!Q31</f>
        <v>63.545454545454547</v>
      </c>
      <c r="G31" s="33">
        <f t="shared" si="0"/>
        <v>64.545454545454547</v>
      </c>
      <c r="H31" s="132">
        <f t="shared" si="1"/>
        <v>36</v>
      </c>
      <c r="J31" s="130"/>
      <c r="K31" s="131"/>
    </row>
    <row r="32" spans="1:13" ht="20.100000000000001" customHeight="1" x14ac:dyDescent="0.25">
      <c r="A32" s="121">
        <v>29</v>
      </c>
      <c r="B32" s="142"/>
      <c r="C32" s="156">
        <v>16</v>
      </c>
      <c r="D32" s="156" t="s">
        <v>23</v>
      </c>
      <c r="E32" s="33">
        <f>'10B Sem 1'!Q32</f>
        <v>94</v>
      </c>
      <c r="F32" s="33">
        <f>'10B Sem 2'!Q32</f>
        <v>95.909090909090907</v>
      </c>
      <c r="G32" s="33">
        <f t="shared" si="0"/>
        <v>94.954545454545453</v>
      </c>
      <c r="H32" s="132">
        <f t="shared" si="1"/>
        <v>2</v>
      </c>
      <c r="J32" s="130"/>
      <c r="K32" s="131"/>
    </row>
    <row r="33" spans="1:11" ht="20.100000000000001" customHeight="1" x14ac:dyDescent="0.25">
      <c r="A33" s="137">
        <v>30</v>
      </c>
      <c r="B33" s="159"/>
      <c r="C33" s="160">
        <v>15</v>
      </c>
      <c r="D33" s="160" t="s">
        <v>23</v>
      </c>
      <c r="E33" s="33">
        <f>'10B Sem 1'!Q33</f>
        <v>92.181818181818187</v>
      </c>
      <c r="F33" s="33">
        <f>'10B Sem 2'!Q33</f>
        <v>92.36363636363636</v>
      </c>
      <c r="G33" s="33">
        <f t="shared" si="0"/>
        <v>92.27272727272728</v>
      </c>
      <c r="H33" s="132">
        <f t="shared" si="1"/>
        <v>3</v>
      </c>
      <c r="J33" s="130"/>
      <c r="K33" s="131"/>
    </row>
    <row r="34" spans="1:11" ht="20.100000000000001" customHeight="1" x14ac:dyDescent="0.25">
      <c r="A34" s="121">
        <v>31</v>
      </c>
      <c r="B34" s="142"/>
      <c r="C34" s="156">
        <v>14</v>
      </c>
      <c r="D34" s="156" t="s">
        <v>23</v>
      </c>
      <c r="E34" s="33">
        <f>'10B Sem 1'!Q34</f>
        <v>89.545454545454547</v>
      </c>
      <c r="F34" s="33">
        <f>'10B Sem 2'!Q34</f>
        <v>92</v>
      </c>
      <c r="G34" s="33">
        <f t="shared" si="0"/>
        <v>90.77272727272728</v>
      </c>
      <c r="H34" s="132">
        <f t="shared" si="1"/>
        <v>4</v>
      </c>
      <c r="J34" s="130"/>
      <c r="K34" s="131"/>
    </row>
    <row r="35" spans="1:11" ht="20.100000000000001" customHeight="1" x14ac:dyDescent="0.25">
      <c r="A35" s="121">
        <v>32</v>
      </c>
      <c r="B35" s="142"/>
      <c r="C35" s="156">
        <v>15</v>
      </c>
      <c r="D35" s="156" t="s">
        <v>23</v>
      </c>
      <c r="E35" s="33">
        <f>'10B Sem 1'!Q35</f>
        <v>57</v>
      </c>
      <c r="F35" s="33">
        <f>'10B Sem 2'!Q35</f>
        <v>58.727272727272727</v>
      </c>
      <c r="G35" s="33">
        <f t="shared" si="0"/>
        <v>57.86363636363636</v>
      </c>
      <c r="H35" s="132">
        <f t="shared" si="1"/>
        <v>49</v>
      </c>
      <c r="J35" s="130"/>
      <c r="K35" s="131"/>
    </row>
    <row r="36" spans="1:11" ht="20.100000000000001" customHeight="1" x14ac:dyDescent="0.25">
      <c r="A36" s="121">
        <v>33</v>
      </c>
      <c r="B36" s="142"/>
      <c r="C36" s="156">
        <v>16</v>
      </c>
      <c r="D36" s="156" t="s">
        <v>23</v>
      </c>
      <c r="E36" s="33">
        <f>'10B Sem 1'!Q36</f>
        <v>59.272727272727273</v>
      </c>
      <c r="F36" s="33">
        <f>'10B Sem 2'!Q36</f>
        <v>61.545454545454547</v>
      </c>
      <c r="G36" s="33">
        <f t="shared" si="0"/>
        <v>60.409090909090907</v>
      </c>
      <c r="H36" s="132">
        <f t="shared" si="1"/>
        <v>44</v>
      </c>
      <c r="J36" s="130"/>
      <c r="K36" s="131"/>
    </row>
    <row r="37" spans="1:11" ht="20.100000000000001" customHeight="1" x14ac:dyDescent="0.25">
      <c r="A37" s="137">
        <v>34</v>
      </c>
      <c r="B37" s="142"/>
      <c r="C37" s="156">
        <v>15</v>
      </c>
      <c r="D37" s="156" t="s">
        <v>23</v>
      </c>
      <c r="E37" s="33">
        <f>'10B Sem 1'!Q37</f>
        <v>72.090909090909093</v>
      </c>
      <c r="F37" s="33">
        <f>'10B Sem 2'!Q37</f>
        <v>79</v>
      </c>
      <c r="G37" s="33">
        <f t="shared" si="0"/>
        <v>75.545454545454547</v>
      </c>
      <c r="H37" s="132">
        <f t="shared" si="1"/>
        <v>22</v>
      </c>
      <c r="J37" s="130"/>
      <c r="K37" s="131"/>
    </row>
    <row r="38" spans="1:11" ht="20.100000000000001" customHeight="1" x14ac:dyDescent="0.25">
      <c r="A38" s="137">
        <v>35</v>
      </c>
      <c r="B38" s="142"/>
      <c r="C38" s="156">
        <v>15</v>
      </c>
      <c r="D38" s="156" t="s">
        <v>20</v>
      </c>
      <c r="E38" s="33">
        <f>'10B Sem 1'!Q38</f>
        <v>73.909090909090907</v>
      </c>
      <c r="F38" s="33">
        <f>'10B Sem 2'!Q38</f>
        <v>72.63636363636364</v>
      </c>
      <c r="G38" s="33">
        <f t="shared" si="0"/>
        <v>73.27272727272728</v>
      </c>
      <c r="H38" s="132">
        <f t="shared" si="1"/>
        <v>27</v>
      </c>
      <c r="J38" s="130"/>
      <c r="K38" s="131"/>
    </row>
    <row r="39" spans="1:11" ht="20.100000000000001" customHeight="1" x14ac:dyDescent="0.25">
      <c r="A39" s="137">
        <v>36</v>
      </c>
      <c r="B39" s="142"/>
      <c r="C39" s="156">
        <v>15</v>
      </c>
      <c r="D39" s="156" t="s">
        <v>23</v>
      </c>
      <c r="E39" s="33">
        <f>'10B Sem 1'!Q39</f>
        <v>54.090909090909093</v>
      </c>
      <c r="F39" s="33">
        <f>'10B Sem 2'!Q39</f>
        <v>56.18181818181818</v>
      </c>
      <c r="G39" s="33">
        <f t="shared" si="0"/>
        <v>55.13636363636364</v>
      </c>
      <c r="H39" s="132">
        <f t="shared" si="1"/>
        <v>52</v>
      </c>
      <c r="J39" s="130"/>
      <c r="K39" s="131"/>
    </row>
    <row r="40" spans="1:11" ht="20.100000000000001" customHeight="1" x14ac:dyDescent="0.25">
      <c r="A40" s="121">
        <v>37</v>
      </c>
      <c r="B40" s="142"/>
      <c r="C40" s="156">
        <v>16</v>
      </c>
      <c r="D40" s="156" t="s">
        <v>23</v>
      </c>
      <c r="E40" s="33">
        <f>'10B Sem 1'!Q40</f>
        <v>72.090909090909093</v>
      </c>
      <c r="F40" s="33">
        <f>'10B Sem 2'!Q40</f>
        <v>68.909090909090907</v>
      </c>
      <c r="G40" s="33">
        <f t="shared" si="0"/>
        <v>70.5</v>
      </c>
      <c r="H40" s="132">
        <f t="shared" si="1"/>
        <v>30</v>
      </c>
      <c r="J40" s="130"/>
      <c r="K40" s="131"/>
    </row>
    <row r="41" spans="1:11" ht="20.100000000000001" customHeight="1" x14ac:dyDescent="0.25">
      <c r="A41" s="121">
        <v>38</v>
      </c>
      <c r="B41" s="142"/>
      <c r="C41" s="156">
        <v>17</v>
      </c>
      <c r="D41" s="156" t="s">
        <v>20</v>
      </c>
      <c r="E41" s="33">
        <f>'10B Sem 1'!Q41</f>
        <v>66.727272727272734</v>
      </c>
      <c r="F41" s="33">
        <f>'10B Sem 2'!Q41</f>
        <v>59.909090909090907</v>
      </c>
      <c r="G41" s="33">
        <f t="shared" si="0"/>
        <v>63.31818181818182</v>
      </c>
      <c r="H41" s="132">
        <f t="shared" si="1"/>
        <v>37</v>
      </c>
      <c r="J41" s="130"/>
      <c r="K41" s="131"/>
    </row>
    <row r="42" spans="1:11" ht="20.100000000000001" customHeight="1" x14ac:dyDescent="0.25">
      <c r="A42" s="137">
        <v>39</v>
      </c>
      <c r="B42" s="142"/>
      <c r="C42" s="156">
        <v>16</v>
      </c>
      <c r="D42" s="156" t="s">
        <v>20</v>
      </c>
      <c r="E42" s="33">
        <f>'10B Sem 1'!Q42</f>
        <v>59.545454545454547</v>
      </c>
      <c r="F42" s="33">
        <f>'10B Sem 2'!Q42</f>
        <v>60.636363636363633</v>
      </c>
      <c r="G42" s="33">
        <f t="shared" si="0"/>
        <v>60.090909090909093</v>
      </c>
      <c r="H42" s="132">
        <f t="shared" si="1"/>
        <v>45</v>
      </c>
      <c r="J42" s="130"/>
      <c r="K42" s="131"/>
    </row>
    <row r="43" spans="1:11" ht="20.100000000000001" customHeight="1" x14ac:dyDescent="0.25">
      <c r="A43" s="121">
        <v>40</v>
      </c>
      <c r="B43" s="142"/>
      <c r="C43" s="156">
        <v>16</v>
      </c>
      <c r="D43" s="156" t="s">
        <v>20</v>
      </c>
      <c r="E43" s="33">
        <f>'10B Sem 1'!Q43</f>
        <v>66.454545454545453</v>
      </c>
      <c r="F43" s="33">
        <f>'10B Sem 2'!Q43</f>
        <v>70.090909090909093</v>
      </c>
      <c r="G43" s="33">
        <f t="shared" si="0"/>
        <v>68.27272727272728</v>
      </c>
      <c r="H43" s="132">
        <f t="shared" si="1"/>
        <v>32</v>
      </c>
      <c r="J43" s="130"/>
      <c r="K43" s="131"/>
    </row>
    <row r="44" spans="1:11" ht="20.100000000000001" customHeight="1" x14ac:dyDescent="0.25">
      <c r="A44" s="137">
        <v>41</v>
      </c>
      <c r="B44" s="142"/>
      <c r="C44" s="156">
        <v>15</v>
      </c>
      <c r="D44" s="156" t="s">
        <v>20</v>
      </c>
      <c r="E44" s="33">
        <f>'10B Sem 1'!Q44</f>
        <v>82</v>
      </c>
      <c r="F44" s="33">
        <f>'10B Sem 2'!Q44</f>
        <v>82.36363636363636</v>
      </c>
      <c r="G44" s="33">
        <f t="shared" si="0"/>
        <v>82.181818181818187</v>
      </c>
      <c r="H44" s="132">
        <f t="shared" si="1"/>
        <v>13</v>
      </c>
      <c r="J44" s="130"/>
      <c r="K44" s="131"/>
    </row>
    <row r="45" spans="1:11" ht="20.100000000000001" customHeight="1" x14ac:dyDescent="0.25">
      <c r="A45" s="137">
        <v>42</v>
      </c>
      <c r="B45" s="142"/>
      <c r="C45" s="156">
        <v>16</v>
      </c>
      <c r="D45" s="156" t="s">
        <v>20</v>
      </c>
      <c r="E45" s="33">
        <f>'10B Sem 1'!Q45</f>
        <v>0</v>
      </c>
      <c r="F45" s="33">
        <f>'10B Sem 2'!Q45</f>
        <v>0</v>
      </c>
      <c r="G45" s="33">
        <f t="shared" si="0"/>
        <v>0</v>
      </c>
      <c r="H45" s="132">
        <f t="shared" si="1"/>
        <v>55</v>
      </c>
      <c r="J45" s="130"/>
      <c r="K45" s="131"/>
    </row>
    <row r="46" spans="1:11" ht="20.100000000000001" customHeight="1" x14ac:dyDescent="0.25">
      <c r="A46" s="137">
        <v>43</v>
      </c>
      <c r="B46" s="142"/>
      <c r="C46" s="156">
        <v>15</v>
      </c>
      <c r="D46" s="156" t="s">
        <v>23</v>
      </c>
      <c r="E46" s="33">
        <f>'10B Sem 1'!Q46</f>
        <v>61.363636363636367</v>
      </c>
      <c r="F46" s="33">
        <f>'10B Sem 2'!Q46</f>
        <v>61.363636363636367</v>
      </c>
      <c r="G46" s="33">
        <f t="shared" si="0"/>
        <v>61.363636363636367</v>
      </c>
      <c r="H46" s="132">
        <f t="shared" si="1"/>
        <v>42</v>
      </c>
      <c r="J46" s="130"/>
      <c r="K46" s="131"/>
    </row>
    <row r="47" spans="1:11" ht="20.100000000000001" customHeight="1" x14ac:dyDescent="0.25">
      <c r="A47" s="121">
        <v>44</v>
      </c>
      <c r="B47" s="142"/>
      <c r="C47" s="156">
        <v>15</v>
      </c>
      <c r="D47" s="156" t="s">
        <v>23</v>
      </c>
      <c r="E47" s="33">
        <f>'10B Sem 1'!Q47</f>
        <v>94.727272727272734</v>
      </c>
      <c r="F47" s="33">
        <f>'10B Sem 2'!Q47</f>
        <v>95.181818181818187</v>
      </c>
      <c r="G47" s="33">
        <f t="shared" si="0"/>
        <v>94.954545454545467</v>
      </c>
      <c r="H47" s="132">
        <f t="shared" si="1"/>
        <v>1</v>
      </c>
      <c r="J47" s="130"/>
      <c r="K47" s="131"/>
    </row>
    <row r="48" spans="1:11" ht="20.100000000000001" customHeight="1" x14ac:dyDescent="0.25">
      <c r="A48" s="137">
        <v>45</v>
      </c>
      <c r="B48" s="142"/>
      <c r="C48" s="156">
        <v>16</v>
      </c>
      <c r="D48" s="156" t="s">
        <v>23</v>
      </c>
      <c r="E48" s="33">
        <f>'10B Sem 1'!Q48</f>
        <v>81.818181818181813</v>
      </c>
      <c r="F48" s="33">
        <f>'10B Sem 2'!Q48</f>
        <v>86.63636363636364</v>
      </c>
      <c r="G48" s="33">
        <f t="shared" si="0"/>
        <v>84.22727272727272</v>
      </c>
      <c r="H48" s="132">
        <f t="shared" si="1"/>
        <v>11</v>
      </c>
      <c r="J48" s="130"/>
      <c r="K48" s="131"/>
    </row>
    <row r="49" spans="1:11" ht="20.100000000000001" customHeight="1" x14ac:dyDescent="0.25">
      <c r="A49" s="121">
        <v>46</v>
      </c>
      <c r="B49" s="142"/>
      <c r="C49" s="156">
        <v>14</v>
      </c>
      <c r="D49" s="156" t="s">
        <v>20</v>
      </c>
      <c r="E49" s="33">
        <f>'10B Sem 1'!Q49</f>
        <v>89.727272727272734</v>
      </c>
      <c r="F49" s="33">
        <f>'10B Sem 2'!Q49</f>
        <v>87.454545454545453</v>
      </c>
      <c r="G49" s="33">
        <f t="shared" si="0"/>
        <v>88.590909090909093</v>
      </c>
      <c r="H49" s="132">
        <f t="shared" si="1"/>
        <v>6</v>
      </c>
      <c r="J49" s="130"/>
      <c r="K49" s="131"/>
    </row>
    <row r="50" spans="1:11" ht="20.100000000000001" customHeight="1" x14ac:dyDescent="0.25">
      <c r="A50" s="121">
        <v>47</v>
      </c>
      <c r="B50" s="142"/>
      <c r="C50" s="156">
        <v>15</v>
      </c>
      <c r="D50" s="156" t="s">
        <v>20</v>
      </c>
      <c r="E50" s="33">
        <f>'10B Sem 1'!Q50</f>
        <v>68.727272727272734</v>
      </c>
      <c r="F50" s="33">
        <f>'10B Sem 2'!Q50</f>
        <v>68.36363636363636</v>
      </c>
      <c r="G50" s="33">
        <f t="shared" si="0"/>
        <v>68.545454545454547</v>
      </c>
      <c r="H50" s="132">
        <f t="shared" si="1"/>
        <v>31</v>
      </c>
      <c r="J50" s="130"/>
      <c r="K50" s="131"/>
    </row>
    <row r="51" spans="1:11" ht="20.100000000000001" customHeight="1" x14ac:dyDescent="0.25">
      <c r="A51" s="121">
        <v>48</v>
      </c>
      <c r="B51" s="142"/>
      <c r="C51" s="156">
        <v>15</v>
      </c>
      <c r="D51" s="156" t="s">
        <v>23</v>
      </c>
      <c r="E51" s="33">
        <f>'10B Sem 1'!Q51</f>
        <v>75.272727272727266</v>
      </c>
      <c r="F51" s="33">
        <f>'10B Sem 2'!Q51</f>
        <v>77.545454545454547</v>
      </c>
      <c r="G51" s="33">
        <f t="shared" si="0"/>
        <v>76.409090909090907</v>
      </c>
      <c r="H51" s="132">
        <f t="shared" si="1"/>
        <v>21</v>
      </c>
      <c r="J51" s="130"/>
      <c r="K51" s="131"/>
    </row>
    <row r="52" spans="1:11" ht="20.100000000000001" customHeight="1" x14ac:dyDescent="0.25">
      <c r="A52" s="137">
        <v>49</v>
      </c>
      <c r="B52" s="142"/>
      <c r="C52" s="156">
        <v>14</v>
      </c>
      <c r="D52" s="156" t="s">
        <v>23</v>
      </c>
      <c r="E52" s="33">
        <f>'10B Sem 1'!Q52</f>
        <v>65</v>
      </c>
      <c r="F52" s="33">
        <f>'10B Sem 2'!Q52</f>
        <v>60.545454545454547</v>
      </c>
      <c r="G52" s="33">
        <f t="shared" si="0"/>
        <v>62.772727272727273</v>
      </c>
      <c r="H52" s="132">
        <f t="shared" si="1"/>
        <v>39</v>
      </c>
      <c r="J52" s="130"/>
      <c r="K52" s="131"/>
    </row>
    <row r="53" spans="1:11" ht="20.100000000000001" customHeight="1" x14ac:dyDescent="0.25">
      <c r="A53" s="170">
        <v>50</v>
      </c>
      <c r="B53" s="142"/>
      <c r="C53" s="156">
        <v>15</v>
      </c>
      <c r="D53" s="156" t="s">
        <v>23</v>
      </c>
      <c r="E53" s="33">
        <f>'10B Sem 1'!Q53</f>
        <v>81.272727272727266</v>
      </c>
      <c r="F53" s="33">
        <f>'10B Sem 2'!Q53</f>
        <v>79.181818181818187</v>
      </c>
      <c r="G53" s="33">
        <f t="shared" si="0"/>
        <v>80.22727272727272</v>
      </c>
      <c r="H53" s="132">
        <f t="shared" si="1"/>
        <v>17</v>
      </c>
      <c r="J53" s="130"/>
      <c r="K53" s="131"/>
    </row>
    <row r="54" spans="1:11" ht="19.5" customHeight="1" x14ac:dyDescent="0.25">
      <c r="A54" s="137">
        <v>51</v>
      </c>
      <c r="B54" s="142"/>
      <c r="C54" s="156">
        <v>15</v>
      </c>
      <c r="D54" s="156" t="s">
        <v>23</v>
      </c>
      <c r="E54" s="127">
        <f>'10B Sem 1'!Q54</f>
        <v>75.272727272727266</v>
      </c>
      <c r="F54" s="127">
        <f>'10B Sem 2'!Q54</f>
        <v>82.909090909090907</v>
      </c>
      <c r="G54" s="33">
        <f t="shared" si="0"/>
        <v>79.090909090909093</v>
      </c>
      <c r="H54" s="132">
        <f t="shared" si="1"/>
        <v>19</v>
      </c>
    </row>
    <row r="55" spans="1:11" ht="19.5" customHeight="1" x14ac:dyDescent="0.25">
      <c r="A55" s="170">
        <v>52</v>
      </c>
      <c r="B55" s="142"/>
      <c r="C55" s="156">
        <v>16</v>
      </c>
      <c r="D55" s="156" t="s">
        <v>20</v>
      </c>
      <c r="E55" s="33">
        <f>'10B Sem 1'!Q55</f>
        <v>78.181818181818187</v>
      </c>
      <c r="F55" s="33">
        <f>'10B Sem 2'!Q55</f>
        <v>80.090909090909093</v>
      </c>
      <c r="G55" s="33">
        <f t="shared" si="0"/>
        <v>79.13636363636364</v>
      </c>
      <c r="H55" s="132">
        <f t="shared" si="1"/>
        <v>18</v>
      </c>
    </row>
    <row r="56" spans="1:11" ht="19.5" customHeight="1" x14ac:dyDescent="0.25">
      <c r="A56" s="137">
        <v>53</v>
      </c>
      <c r="B56" s="142"/>
      <c r="C56" s="156">
        <v>16</v>
      </c>
      <c r="D56" s="156" t="s">
        <v>20</v>
      </c>
      <c r="E56" s="33">
        <f>'10B Sem 1'!Q56</f>
        <v>77.181818181818187</v>
      </c>
      <c r="F56" s="33">
        <f>'10B Sem 2'!Q56</f>
        <v>76.181818181818187</v>
      </c>
      <c r="G56" s="33">
        <f t="shared" si="0"/>
        <v>76.681818181818187</v>
      </c>
      <c r="H56" s="132">
        <f t="shared" si="1"/>
        <v>20</v>
      </c>
    </row>
    <row r="57" spans="1:11" ht="19.5" customHeight="1" x14ac:dyDescent="0.25">
      <c r="A57" s="92">
        <v>54</v>
      </c>
      <c r="B57" s="142"/>
      <c r="C57" s="156">
        <v>14</v>
      </c>
      <c r="D57" s="156" t="s">
        <v>20</v>
      </c>
      <c r="E57" s="33">
        <f>'10B Sem 1'!Q57</f>
        <v>63.81818181818182</v>
      </c>
      <c r="F57" s="33">
        <f>'10B Sem 2'!Q57</f>
        <v>61</v>
      </c>
      <c r="G57" s="33">
        <f t="shared" si="0"/>
        <v>62.409090909090907</v>
      </c>
      <c r="H57" s="132">
        <f t="shared" si="1"/>
        <v>40</v>
      </c>
    </row>
    <row r="58" spans="1:11" ht="19.5" customHeight="1" x14ac:dyDescent="0.25">
      <c r="A58" s="107">
        <v>55</v>
      </c>
      <c r="B58" s="142"/>
      <c r="C58" s="156">
        <v>15</v>
      </c>
      <c r="D58" s="156" t="s">
        <v>23</v>
      </c>
      <c r="E58" s="33">
        <f>'10B Sem 1'!Q58</f>
        <v>62.909090909090907</v>
      </c>
      <c r="F58" s="33">
        <f>'10B Sem 2'!Q58</f>
        <v>61.909090909090907</v>
      </c>
      <c r="G58" s="33">
        <f t="shared" si="0"/>
        <v>62.409090909090907</v>
      </c>
      <c r="H58" s="132">
        <f t="shared" si="1"/>
        <v>40</v>
      </c>
    </row>
  </sheetData>
  <mergeCells count="2">
    <mergeCell ref="A2:H2"/>
    <mergeCell ref="A1:H1"/>
  </mergeCells>
  <pageMargins left="0.7" right="0.7" top="0.75" bottom="0.75" header="0.3" footer="0.3"/>
  <pageSetup scale="97" fitToHeight="0" orientation="portrait"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87"/>
  <sheetViews>
    <sheetView view="pageBreakPreview" zoomScale="60" zoomScaleNormal="100" workbookViewId="0">
      <selection activeCell="B4" sqref="B4:B87"/>
    </sheetView>
  </sheetViews>
  <sheetFormatPr defaultRowHeight="15" x14ac:dyDescent="0.25"/>
  <cols>
    <col min="1" max="1" width="4.85546875" customWidth="1"/>
    <col min="2" max="2" width="37.140625" customWidth="1"/>
    <col min="3" max="3" width="5.140625" customWidth="1"/>
    <col min="4" max="4" width="4" customWidth="1"/>
    <col min="5" max="5" width="11.42578125" customWidth="1"/>
    <col min="6" max="20" width="7.7109375" customWidth="1"/>
    <col min="21" max="21" width="38.28515625" customWidth="1"/>
    <col min="22" max="23" width="4.85546875" customWidth="1"/>
  </cols>
  <sheetData>
    <row r="1" spans="1:23" ht="20.25" customHeight="1" thickBot="1" x14ac:dyDescent="0.3">
      <c r="A1" s="341" t="s">
        <v>52</v>
      </c>
      <c r="B1" s="342"/>
      <c r="C1" s="342"/>
      <c r="D1" s="342"/>
      <c r="E1" s="342"/>
      <c r="F1" s="342"/>
      <c r="G1" s="342"/>
      <c r="H1" s="342"/>
      <c r="I1" s="342"/>
      <c r="J1" s="342"/>
      <c r="K1" s="342"/>
      <c r="L1" s="342"/>
      <c r="M1" s="342"/>
      <c r="N1" s="342"/>
      <c r="O1" s="342"/>
      <c r="P1" s="342"/>
      <c r="Q1" s="342"/>
      <c r="R1" s="342"/>
      <c r="S1" s="342"/>
      <c r="T1" s="343"/>
      <c r="U1" s="46"/>
    </row>
    <row r="2" spans="1:23" ht="15.75" customHeight="1" thickBot="1" x14ac:dyDescent="0.3">
      <c r="A2" s="344" t="s">
        <v>53</v>
      </c>
      <c r="B2" s="345"/>
      <c r="C2" s="345"/>
      <c r="D2" s="345"/>
      <c r="E2" s="345"/>
      <c r="F2" s="345"/>
      <c r="G2" s="345"/>
      <c r="H2" s="345"/>
      <c r="I2" s="345"/>
      <c r="J2" s="345"/>
      <c r="K2" s="345"/>
      <c r="L2" s="345"/>
      <c r="M2" s="345"/>
      <c r="N2" s="345"/>
      <c r="O2" s="345"/>
      <c r="P2" s="345"/>
      <c r="Q2" s="345"/>
      <c r="R2" s="345"/>
      <c r="S2" s="345"/>
      <c r="T2" s="344"/>
      <c r="U2" s="46"/>
    </row>
    <row r="3" spans="1:23" ht="54.75" customHeight="1" x14ac:dyDescent="0.25">
      <c r="A3" s="51" t="s">
        <v>28</v>
      </c>
      <c r="B3" s="52" t="s">
        <v>1</v>
      </c>
      <c r="C3" s="52" t="s">
        <v>2</v>
      </c>
      <c r="D3" s="52" t="s">
        <v>3</v>
      </c>
      <c r="E3" s="53"/>
      <c r="F3" s="195" t="s">
        <v>4</v>
      </c>
      <c r="G3" s="195" t="s">
        <v>5</v>
      </c>
      <c r="H3" s="195" t="s">
        <v>6</v>
      </c>
      <c r="I3" s="195" t="s">
        <v>7</v>
      </c>
      <c r="J3" s="195" t="s">
        <v>8</v>
      </c>
      <c r="K3" s="195" t="s">
        <v>9</v>
      </c>
      <c r="L3" s="195" t="s">
        <v>12</v>
      </c>
      <c r="M3" s="195" t="s">
        <v>31</v>
      </c>
      <c r="N3" s="195" t="s">
        <v>13</v>
      </c>
      <c r="O3" s="195" t="s">
        <v>14</v>
      </c>
      <c r="P3" s="195" t="s">
        <v>15</v>
      </c>
      <c r="Q3" s="195" t="s">
        <v>16</v>
      </c>
      <c r="R3" s="195" t="s">
        <v>17</v>
      </c>
      <c r="S3" s="195" t="s">
        <v>18</v>
      </c>
      <c r="T3" s="206" t="s">
        <v>19</v>
      </c>
    </row>
    <row r="4" spans="1:23" ht="20.100000000000001" customHeight="1" x14ac:dyDescent="0.3">
      <c r="A4" s="295">
        <v>1</v>
      </c>
      <c r="B4" s="293"/>
      <c r="C4" s="293">
        <v>17</v>
      </c>
      <c r="D4" s="293" t="s">
        <v>20</v>
      </c>
      <c r="E4" s="32" t="s">
        <v>21</v>
      </c>
      <c r="F4" s="31">
        <f>'11A (N S) Sem1 '!E4</f>
        <v>73</v>
      </c>
      <c r="G4" s="31">
        <f>'11A (N S) Sem1 '!F4</f>
        <v>62</v>
      </c>
      <c r="H4" s="31">
        <f>'11A (N S) Sem1 '!G4</f>
        <v>51</v>
      </c>
      <c r="I4" s="31">
        <f>'11A (N S) Sem1 '!H4</f>
        <v>58</v>
      </c>
      <c r="J4" s="31">
        <f>'11A (N S) Sem1 '!I4</f>
        <v>43</v>
      </c>
      <c r="K4" s="31">
        <f>'11A (N S) Sem1 '!J4</f>
        <v>62</v>
      </c>
      <c r="L4" s="31">
        <f>'11A (N S) Sem1 '!K4</f>
        <v>58</v>
      </c>
      <c r="M4" s="31">
        <f>'11A (N S) Sem1 '!L4</f>
        <v>93</v>
      </c>
      <c r="N4" s="31">
        <f>'11A (N S) Sem1 '!M4</f>
        <v>82</v>
      </c>
      <c r="O4" s="48">
        <f>'11A (N S) Sem1 '!N4</f>
        <v>86</v>
      </c>
      <c r="P4" s="31">
        <f>'11A (N S) Sem1 '!O4</f>
        <v>668</v>
      </c>
      <c r="Q4" s="30">
        <f>'11A (N S) Sem1 '!P4</f>
        <v>66.8</v>
      </c>
      <c r="R4" s="30">
        <f>'11A (N S) Sem1 '!Q4</f>
        <v>27</v>
      </c>
      <c r="S4" s="31">
        <f>'11A (N S) Sem1 '!R4</f>
        <v>0</v>
      </c>
      <c r="T4" s="55">
        <f>'11A (N S) Sem1 '!S4</f>
        <v>0</v>
      </c>
      <c r="U4" s="102"/>
    </row>
    <row r="5" spans="1:23" ht="20.100000000000001" customHeight="1" x14ac:dyDescent="0.3">
      <c r="A5" s="295"/>
      <c r="B5" s="293"/>
      <c r="C5" s="293">
        <v>17</v>
      </c>
      <c r="D5" s="293" t="s">
        <v>20</v>
      </c>
      <c r="E5" s="32" t="s">
        <v>22</v>
      </c>
      <c r="F5" s="31">
        <f>'11A (N S) Sem2'!E4</f>
        <v>83</v>
      </c>
      <c r="G5" s="31">
        <f>'11A (N S) Sem2'!F4</f>
        <v>63</v>
      </c>
      <c r="H5" s="31">
        <f>'11A (N S) Sem2'!G4</f>
        <v>52</v>
      </c>
      <c r="I5" s="31">
        <f>'11A (N S) Sem2'!H4</f>
        <v>63</v>
      </c>
      <c r="J5" s="31">
        <f>'11A (N S) Sem2'!I4</f>
        <v>54</v>
      </c>
      <c r="K5" s="31">
        <f>'11A (N S) Sem2'!J4</f>
        <v>79</v>
      </c>
      <c r="L5" s="31">
        <f>'11A (N S) Sem2'!K4</f>
        <v>71</v>
      </c>
      <c r="M5" s="31">
        <f>'11A (N S) Sem2'!L4</f>
        <v>70</v>
      </c>
      <c r="N5" s="31">
        <f>'11A (N S) Sem2'!M4</f>
        <v>86</v>
      </c>
      <c r="O5" s="48">
        <f>'11A (N S) Sem2'!N4</f>
        <v>97</v>
      </c>
      <c r="P5" s="31">
        <f>'11A (N S) Sem2'!O4</f>
        <v>718</v>
      </c>
      <c r="Q5" s="30">
        <f>'11A (N S) Sem2'!P4</f>
        <v>71.8</v>
      </c>
      <c r="R5" s="30">
        <f>'11A (N S) Sem2'!Q4</f>
        <v>26</v>
      </c>
      <c r="S5" s="31">
        <f>'11A (N S) Sem2'!R4</f>
        <v>0</v>
      </c>
      <c r="T5" s="55">
        <f>'11A (N S) Sem2'!S4</f>
        <v>0</v>
      </c>
      <c r="U5" s="102"/>
    </row>
    <row r="6" spans="1:23" ht="20.100000000000001" customHeight="1" x14ac:dyDescent="0.3">
      <c r="A6" s="295"/>
      <c r="B6" s="293"/>
      <c r="C6" s="293">
        <v>17</v>
      </c>
      <c r="D6" s="293" t="s">
        <v>20</v>
      </c>
      <c r="E6" s="32" t="s">
        <v>16</v>
      </c>
      <c r="F6" s="31">
        <f>AVERAGE(F4:F5)</f>
        <v>78</v>
      </c>
      <c r="G6" s="31">
        <f t="shared" ref="G6:P6" si="0">AVERAGE(G4:G5)</f>
        <v>62.5</v>
      </c>
      <c r="H6" s="31">
        <f t="shared" si="0"/>
        <v>51.5</v>
      </c>
      <c r="I6" s="31">
        <f t="shared" si="0"/>
        <v>60.5</v>
      </c>
      <c r="J6" s="31">
        <f t="shared" si="0"/>
        <v>48.5</v>
      </c>
      <c r="K6" s="31">
        <f t="shared" si="0"/>
        <v>70.5</v>
      </c>
      <c r="L6" s="31">
        <f t="shared" si="0"/>
        <v>64.5</v>
      </c>
      <c r="M6" s="31">
        <f t="shared" si="0"/>
        <v>81.5</v>
      </c>
      <c r="N6" s="31">
        <f t="shared" si="0"/>
        <v>84</v>
      </c>
      <c r="O6" s="31">
        <f t="shared" si="0"/>
        <v>91.5</v>
      </c>
      <c r="P6" s="31">
        <f t="shared" si="0"/>
        <v>693</v>
      </c>
      <c r="Q6" s="31">
        <f>AVERAGE(Q4:Q5)</f>
        <v>69.3</v>
      </c>
      <c r="R6" s="31">
        <f>'11A (N S) Avr'!$I$4</f>
        <v>26</v>
      </c>
      <c r="S6" s="31">
        <f>AVERAGE(S4:S5)</f>
        <v>0</v>
      </c>
      <c r="T6" s="31">
        <f>AVERAGE(T4:T5)</f>
        <v>0</v>
      </c>
      <c r="U6" s="102"/>
    </row>
    <row r="7" spans="1:23" ht="20.100000000000001" customHeight="1" x14ac:dyDescent="0.3">
      <c r="A7" s="295">
        <v>2</v>
      </c>
      <c r="B7" s="293"/>
      <c r="C7" s="293">
        <v>17</v>
      </c>
      <c r="D7" s="293" t="s">
        <v>20</v>
      </c>
      <c r="E7" s="32" t="s">
        <v>21</v>
      </c>
      <c r="F7" s="31">
        <f>'11A (N S) Sem1 '!E5</f>
        <v>80</v>
      </c>
      <c r="G7" s="31">
        <f>'11A (N S) Sem1 '!F5</f>
        <v>90</v>
      </c>
      <c r="H7" s="31">
        <f>'11A (N S) Sem1 '!G5</f>
        <v>90</v>
      </c>
      <c r="I7" s="31">
        <f>'11A (N S) Sem1 '!H5</f>
        <v>86</v>
      </c>
      <c r="J7" s="31">
        <f>'11A (N S) Sem1 '!I5</f>
        <v>93</v>
      </c>
      <c r="K7" s="31">
        <f>'11A (N S) Sem1 '!J5</f>
        <v>100</v>
      </c>
      <c r="L7" s="31">
        <f>'11A (N S) Sem1 '!K5</f>
        <v>80</v>
      </c>
      <c r="M7" s="31">
        <f>'11A (N S) Sem1 '!L5</f>
        <v>100</v>
      </c>
      <c r="N7" s="31">
        <f>'11A (N S) Sem1 '!M5</f>
        <v>97</v>
      </c>
      <c r="O7" s="48">
        <f>'11A (N S) Sem1 '!N5</f>
        <v>100</v>
      </c>
      <c r="P7" s="31">
        <f>'11A (N S) Sem1 '!O5</f>
        <v>916</v>
      </c>
      <c r="Q7" s="30">
        <f>'11A (N S) Sem1 '!P5</f>
        <v>91.6</v>
      </c>
      <c r="R7" s="30">
        <f>'11A (N S) Sem1 '!Q5</f>
        <v>4</v>
      </c>
      <c r="S7" s="31">
        <f>'11A (N S) Sem1 '!R5</f>
        <v>0</v>
      </c>
      <c r="T7" s="55">
        <f>'11A (N S) Sem1 '!S5</f>
        <v>0</v>
      </c>
      <c r="U7" s="102"/>
    </row>
    <row r="8" spans="1:23" ht="20.100000000000001" customHeight="1" x14ac:dyDescent="0.3">
      <c r="A8" s="295"/>
      <c r="B8" s="293"/>
      <c r="C8" s="293">
        <v>17</v>
      </c>
      <c r="D8" s="293" t="s">
        <v>20</v>
      </c>
      <c r="E8" s="32" t="s">
        <v>22</v>
      </c>
      <c r="F8" s="31">
        <f>'11A (N S) Sem2'!E5</f>
        <v>91</v>
      </c>
      <c r="G8" s="31">
        <f>'11A (N S) Sem2'!F5</f>
        <v>96</v>
      </c>
      <c r="H8" s="31">
        <f>'11A (N S) Sem2'!G5</f>
        <v>88</v>
      </c>
      <c r="I8" s="31">
        <f>'11A (N S) Sem2'!H5</f>
        <v>92</v>
      </c>
      <c r="J8" s="31">
        <f>'11A (N S) Sem2'!I5</f>
        <v>90</v>
      </c>
      <c r="K8" s="31">
        <f>'11A (N S) Sem2'!J5</f>
        <v>99</v>
      </c>
      <c r="L8" s="31">
        <f>'11A (N S) Sem2'!K5</f>
        <v>99</v>
      </c>
      <c r="M8" s="31">
        <f>'11A (N S) Sem2'!L5</f>
        <v>100</v>
      </c>
      <c r="N8" s="31">
        <f>'11A (N S) Sem2'!M5</f>
        <v>95</v>
      </c>
      <c r="O8" s="48">
        <f>'11A (N S) Sem2'!N5</f>
        <v>100</v>
      </c>
      <c r="P8" s="31">
        <f>'11A (N S) Sem2'!O5</f>
        <v>950</v>
      </c>
      <c r="Q8" s="30">
        <f>'11A (N S) Sem2'!P5</f>
        <v>95</v>
      </c>
      <c r="R8" s="30">
        <f>'11A (N S) Sem2'!Q5</f>
        <v>3</v>
      </c>
      <c r="S8" s="31">
        <f>'11A (N S) Sem2'!R5</f>
        <v>0</v>
      </c>
      <c r="T8" s="55">
        <f>'11A (N S) Sem2'!S5</f>
        <v>0</v>
      </c>
      <c r="U8" s="102"/>
    </row>
    <row r="9" spans="1:23" ht="20.100000000000001" customHeight="1" x14ac:dyDescent="0.3">
      <c r="A9" s="295"/>
      <c r="B9" s="293"/>
      <c r="C9" s="293">
        <v>17</v>
      </c>
      <c r="D9" s="293" t="s">
        <v>20</v>
      </c>
      <c r="E9" s="32" t="s">
        <v>16</v>
      </c>
      <c r="F9" s="31">
        <f>AVERAGE(F7:F8)</f>
        <v>85.5</v>
      </c>
      <c r="G9" s="31">
        <f t="shared" ref="G9:Q9" si="1">AVERAGE(G7:G8)</f>
        <v>93</v>
      </c>
      <c r="H9" s="31">
        <f t="shared" si="1"/>
        <v>89</v>
      </c>
      <c r="I9" s="31">
        <f t="shared" si="1"/>
        <v>89</v>
      </c>
      <c r="J9" s="31">
        <f t="shared" si="1"/>
        <v>91.5</v>
      </c>
      <c r="K9" s="31">
        <f t="shared" si="1"/>
        <v>99.5</v>
      </c>
      <c r="L9" s="31">
        <f t="shared" si="1"/>
        <v>89.5</v>
      </c>
      <c r="M9" s="31">
        <f t="shared" si="1"/>
        <v>100</v>
      </c>
      <c r="N9" s="31">
        <f t="shared" si="1"/>
        <v>96</v>
      </c>
      <c r="O9" s="31">
        <f t="shared" si="1"/>
        <v>100</v>
      </c>
      <c r="P9" s="31">
        <f t="shared" si="1"/>
        <v>933</v>
      </c>
      <c r="Q9" s="31">
        <f t="shared" si="1"/>
        <v>93.3</v>
      </c>
      <c r="R9" s="31">
        <f>'11A (N S) Avr'!$I$5</f>
        <v>3</v>
      </c>
      <c r="S9" s="31">
        <f>AVERAGE(S7:S8)</f>
        <v>0</v>
      </c>
      <c r="T9" s="55">
        <f>AVERAGE(T7:T8)</f>
        <v>0</v>
      </c>
      <c r="U9" s="102"/>
    </row>
    <row r="10" spans="1:23" ht="20.100000000000001" customHeight="1" x14ac:dyDescent="0.3">
      <c r="A10" s="295">
        <v>3</v>
      </c>
      <c r="B10" s="293"/>
      <c r="C10" s="293">
        <v>17</v>
      </c>
      <c r="D10" s="293" t="s">
        <v>20</v>
      </c>
      <c r="E10" s="32" t="s">
        <v>21</v>
      </c>
      <c r="F10" s="31">
        <f>'11A (N S) Sem1 '!E6</f>
        <v>69</v>
      </c>
      <c r="G10" s="31">
        <f>'11A (N S) Sem1 '!F6</f>
        <v>69</v>
      </c>
      <c r="H10" s="31">
        <f>'11A (N S) Sem1 '!G6</f>
        <v>51</v>
      </c>
      <c r="I10" s="31">
        <f>'11A (N S) Sem1 '!H6</f>
        <v>59</v>
      </c>
      <c r="J10" s="31">
        <f>'11A (N S) Sem1 '!I6</f>
        <v>56</v>
      </c>
      <c r="K10" s="31">
        <f>'11A (N S) Sem1 '!J6</f>
        <v>61</v>
      </c>
      <c r="L10" s="31">
        <f>'11A (N S) Sem1 '!K6</f>
        <v>63</v>
      </c>
      <c r="M10" s="31">
        <f>'11A (N S) Sem1 '!L6</f>
        <v>77</v>
      </c>
      <c r="N10" s="31">
        <f>'11A (N S) Sem1 '!M6</f>
        <v>95</v>
      </c>
      <c r="O10" s="48">
        <f>'11A (N S) Sem1 '!N6</f>
        <v>85</v>
      </c>
      <c r="P10" s="31">
        <f>'11A (N S) Sem1 '!O6</f>
        <v>685</v>
      </c>
      <c r="Q10" s="30">
        <f>'11A (N S) Sem1 '!P6</f>
        <v>68.5</v>
      </c>
      <c r="R10" s="30">
        <f>'11A (N S) Sem1 '!Q6</f>
        <v>24</v>
      </c>
      <c r="S10" s="31">
        <f>'11A (N S) Sem1 '!R6</f>
        <v>0</v>
      </c>
      <c r="T10" s="55">
        <f>'11A (N S) Sem1 '!S6</f>
        <v>0</v>
      </c>
      <c r="U10" s="102"/>
    </row>
    <row r="11" spans="1:23" ht="20.100000000000001" customHeight="1" x14ac:dyDescent="0.3">
      <c r="A11" s="295"/>
      <c r="B11" s="293"/>
      <c r="C11" s="293">
        <v>17</v>
      </c>
      <c r="D11" s="293" t="s">
        <v>20</v>
      </c>
      <c r="E11" s="32" t="s">
        <v>22</v>
      </c>
      <c r="F11" s="31">
        <f>'11A (N S) Sem2'!E6</f>
        <v>80</v>
      </c>
      <c r="G11" s="31">
        <f>'11A (N S) Sem2'!F6</f>
        <v>73</v>
      </c>
      <c r="H11" s="31">
        <f>'11A (N S) Sem2'!G6</f>
        <v>57</v>
      </c>
      <c r="I11" s="31">
        <f>'11A (N S) Sem2'!H6</f>
        <v>68</v>
      </c>
      <c r="J11" s="31">
        <f>'11A (N S) Sem2'!I6</f>
        <v>52</v>
      </c>
      <c r="K11" s="31">
        <f>'11A (N S) Sem2'!J6</f>
        <v>79</v>
      </c>
      <c r="L11" s="31">
        <f>'11A (N S) Sem2'!K6</f>
        <v>84</v>
      </c>
      <c r="M11" s="31">
        <f>'11A (N S) Sem2'!L6</f>
        <v>40</v>
      </c>
      <c r="N11" s="31">
        <f>'11A (N S) Sem2'!M6</f>
        <v>96</v>
      </c>
      <c r="O11" s="48">
        <f>'11A (N S) Sem2'!N6</f>
        <v>96</v>
      </c>
      <c r="P11" s="31">
        <f>'11A (N S) Sem2'!O6</f>
        <v>725</v>
      </c>
      <c r="Q11" s="30">
        <f>'11A (N S) Sem2'!P6</f>
        <v>72.5</v>
      </c>
      <c r="R11" s="30">
        <f>'11A (N S) Sem2'!Q6</f>
        <v>23</v>
      </c>
      <c r="S11" s="31">
        <f>'11A (N S) Sem2'!R6</f>
        <v>0</v>
      </c>
      <c r="T11" s="55">
        <f>'11A (N S) Sem2'!S6</f>
        <v>0</v>
      </c>
      <c r="U11" s="102"/>
    </row>
    <row r="12" spans="1:23" ht="20.100000000000001" customHeight="1" x14ac:dyDescent="0.3">
      <c r="A12" s="295"/>
      <c r="B12" s="293"/>
      <c r="C12" s="293">
        <v>17</v>
      </c>
      <c r="D12" s="293" t="s">
        <v>20</v>
      </c>
      <c r="E12" s="32" t="s">
        <v>16</v>
      </c>
      <c r="F12" s="31">
        <f>AVERAGE(F10:F11)</f>
        <v>74.5</v>
      </c>
      <c r="G12" s="31">
        <f t="shared" ref="G12:Q12" si="2">AVERAGE(G10:G11)</f>
        <v>71</v>
      </c>
      <c r="H12" s="31">
        <f t="shared" si="2"/>
        <v>54</v>
      </c>
      <c r="I12" s="31">
        <f t="shared" si="2"/>
        <v>63.5</v>
      </c>
      <c r="J12" s="31">
        <f t="shared" si="2"/>
        <v>54</v>
      </c>
      <c r="K12" s="31">
        <f t="shared" si="2"/>
        <v>70</v>
      </c>
      <c r="L12" s="31">
        <f t="shared" si="2"/>
        <v>73.5</v>
      </c>
      <c r="M12" s="31">
        <f t="shared" si="2"/>
        <v>58.5</v>
      </c>
      <c r="N12" s="31">
        <f t="shared" si="2"/>
        <v>95.5</v>
      </c>
      <c r="O12" s="31">
        <f t="shared" si="2"/>
        <v>90.5</v>
      </c>
      <c r="P12" s="31">
        <f t="shared" si="2"/>
        <v>705</v>
      </c>
      <c r="Q12" s="31">
        <f t="shared" si="2"/>
        <v>70.5</v>
      </c>
      <c r="R12" s="31">
        <f>'11A (N S) Avr'!$I$6</f>
        <v>24</v>
      </c>
      <c r="S12" s="31">
        <f>AVERAGE(S10:S11)</f>
        <v>0</v>
      </c>
      <c r="T12" s="55">
        <f>AVERAGE(T10:T11)</f>
        <v>0</v>
      </c>
      <c r="U12" s="102"/>
    </row>
    <row r="13" spans="1:23" ht="20.100000000000001" customHeight="1" x14ac:dyDescent="0.3">
      <c r="A13" s="295">
        <v>4</v>
      </c>
      <c r="B13" s="295"/>
      <c r="C13" s="295">
        <v>15</v>
      </c>
      <c r="D13" s="295" t="s">
        <v>20</v>
      </c>
      <c r="E13" s="32" t="s">
        <v>21</v>
      </c>
      <c r="F13" s="31">
        <f>'11A (N S) Sem1 '!E7</f>
        <v>68</v>
      </c>
      <c r="G13" s="31">
        <f>'11A (N S) Sem1 '!F7</f>
        <v>89</v>
      </c>
      <c r="H13" s="31">
        <f>'11A (N S) Sem1 '!G7</f>
        <v>56</v>
      </c>
      <c r="I13" s="31">
        <f>'11A (N S) Sem1 '!H7</f>
        <v>72</v>
      </c>
      <c r="J13" s="31">
        <f>'11A (N S) Sem1 '!I7</f>
        <v>72</v>
      </c>
      <c r="K13" s="31">
        <f>'11A (N S) Sem1 '!J7</f>
        <v>90</v>
      </c>
      <c r="L13" s="31">
        <f>'11A (N S) Sem1 '!K7</f>
        <v>76</v>
      </c>
      <c r="M13" s="31">
        <f>'11A (N S) Sem1 '!L7</f>
        <v>61</v>
      </c>
      <c r="N13" s="31">
        <f>'11A (N S) Sem1 '!M7</f>
        <v>92</v>
      </c>
      <c r="O13" s="48">
        <f>'11A (N S) Sem1 '!N7</f>
        <v>93</v>
      </c>
      <c r="P13" s="31">
        <f>'11A (N S) Sem1 '!O7</f>
        <v>769</v>
      </c>
      <c r="Q13" s="30">
        <f>'11A (N S) Sem1 '!P7</f>
        <v>76.900000000000006</v>
      </c>
      <c r="R13" s="30">
        <f>'11A (N S) Sem1 '!Q7</f>
        <v>22</v>
      </c>
      <c r="S13" s="31">
        <f>'11A (N S) Sem1 '!R7</f>
        <v>0</v>
      </c>
      <c r="T13" s="55">
        <f>'11A (N S) Sem1 '!S7</f>
        <v>0</v>
      </c>
      <c r="U13" s="102"/>
    </row>
    <row r="14" spans="1:23" ht="20.100000000000001" customHeight="1" x14ac:dyDescent="0.3">
      <c r="A14" s="295"/>
      <c r="B14" s="295"/>
      <c r="C14" s="295">
        <v>15</v>
      </c>
      <c r="D14" s="295" t="s">
        <v>20</v>
      </c>
      <c r="E14" s="32" t="s">
        <v>22</v>
      </c>
      <c r="F14" s="31">
        <f>'11A (N S) Sem2'!E7</f>
        <v>70</v>
      </c>
      <c r="G14" s="31">
        <f>'11A (N S) Sem2'!F7</f>
        <v>93</v>
      </c>
      <c r="H14" s="31">
        <f>'11A (N S) Sem2'!G7</f>
        <v>70</v>
      </c>
      <c r="I14" s="31">
        <f>'11A (N S) Sem2'!H7</f>
        <v>67</v>
      </c>
      <c r="J14" s="31">
        <f>'11A (N S) Sem2'!I7</f>
        <v>70</v>
      </c>
      <c r="K14" s="31">
        <f>'11A (N S) Sem2'!J7</f>
        <v>90</v>
      </c>
      <c r="L14" s="31">
        <f>'11A (N S) Sem2'!K7</f>
        <v>88</v>
      </c>
      <c r="M14" s="31">
        <f>'11A (N S) Sem2'!L7</f>
        <v>40</v>
      </c>
      <c r="N14" s="31">
        <f>'11A (N S) Sem2'!M7</f>
        <v>90</v>
      </c>
      <c r="O14" s="48">
        <f>'11A (N S) Sem2'!N7</f>
        <v>92</v>
      </c>
      <c r="P14" s="31">
        <f>'11A (N S) Sem2'!O7</f>
        <v>770</v>
      </c>
      <c r="Q14" s="30">
        <f>'11A (N S) Sem2'!P7</f>
        <v>77</v>
      </c>
      <c r="R14" s="30">
        <f>'11A (N S) Sem2'!Q7</f>
        <v>22</v>
      </c>
      <c r="S14" s="31">
        <f>'11A (N S) Sem2'!R7</f>
        <v>0</v>
      </c>
      <c r="T14" s="55">
        <f>'11A (N S) Sem2'!S7</f>
        <v>0</v>
      </c>
      <c r="U14" s="102"/>
    </row>
    <row r="15" spans="1:23" ht="20.100000000000001" customHeight="1" x14ac:dyDescent="0.3">
      <c r="A15" s="295"/>
      <c r="B15" s="295"/>
      <c r="C15" s="295">
        <v>15</v>
      </c>
      <c r="D15" s="295" t="s">
        <v>20</v>
      </c>
      <c r="E15" s="32" t="s">
        <v>16</v>
      </c>
      <c r="F15" s="31">
        <f>AVERAGE(F13:F14)</f>
        <v>69</v>
      </c>
      <c r="G15" s="31">
        <f t="shared" ref="G15:Q15" si="3">AVERAGE(G13:G14)</f>
        <v>91</v>
      </c>
      <c r="H15" s="31">
        <f t="shared" si="3"/>
        <v>63</v>
      </c>
      <c r="I15" s="31">
        <f t="shared" si="3"/>
        <v>69.5</v>
      </c>
      <c r="J15" s="31">
        <f t="shared" si="3"/>
        <v>71</v>
      </c>
      <c r="K15" s="31">
        <f t="shared" si="3"/>
        <v>90</v>
      </c>
      <c r="L15" s="31">
        <f t="shared" si="3"/>
        <v>82</v>
      </c>
      <c r="M15" s="31">
        <f t="shared" si="3"/>
        <v>50.5</v>
      </c>
      <c r="N15" s="31">
        <f t="shared" si="3"/>
        <v>91</v>
      </c>
      <c r="O15" s="31">
        <f t="shared" si="3"/>
        <v>92.5</v>
      </c>
      <c r="P15" s="31">
        <f t="shared" si="3"/>
        <v>769.5</v>
      </c>
      <c r="Q15" s="31">
        <f t="shared" si="3"/>
        <v>76.95</v>
      </c>
      <c r="R15" s="31">
        <f>'11A (N S) Avr'!$I$7</f>
        <v>22</v>
      </c>
      <c r="S15" s="31">
        <f>AVERAGE(S13:S14)</f>
        <v>0</v>
      </c>
      <c r="T15" s="55">
        <f>AVERAGE(T13:T14)</f>
        <v>0</v>
      </c>
      <c r="U15" s="102"/>
    </row>
    <row r="16" spans="1:23" ht="20.100000000000001" customHeight="1" x14ac:dyDescent="0.3">
      <c r="A16" s="295">
        <v>5</v>
      </c>
      <c r="B16" s="293"/>
      <c r="C16" s="293">
        <v>16</v>
      </c>
      <c r="D16" s="293" t="s">
        <v>23</v>
      </c>
      <c r="E16" s="32" t="s">
        <v>21</v>
      </c>
      <c r="F16" s="31">
        <f>'11A (N S) Sem1 '!E8</f>
        <v>89</v>
      </c>
      <c r="G16" s="31">
        <f>'11A (N S) Sem1 '!F8</f>
        <v>91</v>
      </c>
      <c r="H16" s="31">
        <f>'11A (N S) Sem1 '!G8</f>
        <v>69</v>
      </c>
      <c r="I16" s="31">
        <f>'11A (N S) Sem1 '!H8</f>
        <v>79</v>
      </c>
      <c r="J16" s="31">
        <f>'11A (N S) Sem1 '!I8</f>
        <v>81</v>
      </c>
      <c r="K16" s="31">
        <f>'11A (N S) Sem1 '!J8</f>
        <v>97</v>
      </c>
      <c r="L16" s="31">
        <f>'11A (N S) Sem1 '!K8</f>
        <v>85</v>
      </c>
      <c r="M16" s="31">
        <f>'11A (N S) Sem1 '!L8</f>
        <v>91</v>
      </c>
      <c r="N16" s="31">
        <f>'11A (N S) Sem1 '!M8</f>
        <v>92</v>
      </c>
      <c r="O16" s="48">
        <f>'11A (N S) Sem1 '!N8</f>
        <v>88</v>
      </c>
      <c r="P16" s="31">
        <f>'11A (N S) Sem1 '!O8</f>
        <v>862</v>
      </c>
      <c r="Q16" s="30">
        <f>'11A (N S) Sem1 '!P8</f>
        <v>86.2</v>
      </c>
      <c r="R16" s="30">
        <f>'11A (N S) Sem1 '!Q8</f>
        <v>8</v>
      </c>
      <c r="S16" s="31">
        <f>'11A (N S) Sem1 '!R8</f>
        <v>0</v>
      </c>
      <c r="T16" s="55">
        <f>'11A (N S) Sem1 '!S8</f>
        <v>0</v>
      </c>
      <c r="U16" s="104"/>
      <c r="V16" s="9"/>
      <c r="W16" s="9"/>
    </row>
    <row r="17" spans="1:23" ht="20.100000000000001" customHeight="1" x14ac:dyDescent="0.3">
      <c r="A17" s="295"/>
      <c r="B17" s="293"/>
      <c r="C17" s="293">
        <v>16</v>
      </c>
      <c r="D17" s="293" t="s">
        <v>23</v>
      </c>
      <c r="E17" s="32" t="s">
        <v>22</v>
      </c>
      <c r="F17" s="31">
        <f>'11A (N S) Sem2'!E8</f>
        <v>92</v>
      </c>
      <c r="G17" s="31">
        <f>'11A (N S) Sem2'!F8</f>
        <v>94</v>
      </c>
      <c r="H17" s="31">
        <f>'11A (N S) Sem2'!G8</f>
        <v>74</v>
      </c>
      <c r="I17" s="31">
        <f>'11A (N S) Sem2'!H8</f>
        <v>87</v>
      </c>
      <c r="J17" s="31">
        <f>'11A (N S) Sem2'!I8</f>
        <v>80</v>
      </c>
      <c r="K17" s="31">
        <f>'11A (N S) Sem2'!J8</f>
        <v>93</v>
      </c>
      <c r="L17" s="31">
        <f>'11A (N S) Sem2'!K8</f>
        <v>95</v>
      </c>
      <c r="M17" s="31">
        <f>'11A (N S) Sem2'!L8</f>
        <v>75</v>
      </c>
      <c r="N17" s="31">
        <f>'11A (N S) Sem2'!M8</f>
        <v>91</v>
      </c>
      <c r="O17" s="48">
        <f>'11A (N S) Sem2'!N8</f>
        <v>99</v>
      </c>
      <c r="P17" s="31">
        <f>'11A (N S) Sem2'!O8</f>
        <v>880</v>
      </c>
      <c r="Q17" s="30">
        <f>'11A (N S) Sem2'!P8</f>
        <v>88</v>
      </c>
      <c r="R17" s="30">
        <f>'11A (N S) Sem2'!Q8</f>
        <v>10</v>
      </c>
      <c r="S17" s="31">
        <f>'11A (N S) Sem2'!R8</f>
        <v>0</v>
      </c>
      <c r="T17" s="55">
        <f>'11A (N S) Sem2'!S8</f>
        <v>0</v>
      </c>
      <c r="U17" s="104"/>
      <c r="V17" s="9"/>
      <c r="W17" s="9"/>
    </row>
    <row r="18" spans="1:23" ht="20.100000000000001" customHeight="1" x14ac:dyDescent="0.3">
      <c r="A18" s="295"/>
      <c r="B18" s="293"/>
      <c r="C18" s="293">
        <v>16</v>
      </c>
      <c r="D18" s="293" t="s">
        <v>23</v>
      </c>
      <c r="E18" s="32" t="s">
        <v>16</v>
      </c>
      <c r="F18" s="31">
        <f>AVERAGE(F16:F17)</f>
        <v>90.5</v>
      </c>
      <c r="G18" s="31">
        <f t="shared" ref="G18:Q18" si="4">AVERAGE(G16:G17)</f>
        <v>92.5</v>
      </c>
      <c r="H18" s="31">
        <f t="shared" si="4"/>
        <v>71.5</v>
      </c>
      <c r="I18" s="31">
        <f t="shared" si="4"/>
        <v>83</v>
      </c>
      <c r="J18" s="31">
        <f t="shared" si="4"/>
        <v>80.5</v>
      </c>
      <c r="K18" s="31">
        <f t="shared" si="4"/>
        <v>95</v>
      </c>
      <c r="L18" s="31">
        <f t="shared" si="4"/>
        <v>90</v>
      </c>
      <c r="M18" s="31">
        <f t="shared" si="4"/>
        <v>83</v>
      </c>
      <c r="N18" s="31">
        <f t="shared" si="4"/>
        <v>91.5</v>
      </c>
      <c r="O18" s="31">
        <f t="shared" si="4"/>
        <v>93.5</v>
      </c>
      <c r="P18" s="31">
        <f t="shared" si="4"/>
        <v>871</v>
      </c>
      <c r="Q18" s="31">
        <f t="shared" si="4"/>
        <v>87.1</v>
      </c>
      <c r="R18" s="31">
        <f>'11A (N S) Avr'!$I$8</f>
        <v>9</v>
      </c>
      <c r="S18" s="31">
        <f>AVERAGE(S16:S17)</f>
        <v>0</v>
      </c>
      <c r="T18" s="55">
        <f>AVERAGE(T16:T17)</f>
        <v>0</v>
      </c>
      <c r="U18" s="104"/>
      <c r="V18" s="9"/>
      <c r="W18" s="9"/>
    </row>
    <row r="19" spans="1:23" ht="20.100000000000001" customHeight="1" x14ac:dyDescent="0.3">
      <c r="A19" s="295">
        <v>6</v>
      </c>
      <c r="B19" s="293"/>
      <c r="C19" s="293">
        <v>16</v>
      </c>
      <c r="D19" s="293" t="s">
        <v>23</v>
      </c>
      <c r="E19" s="32" t="s">
        <v>21</v>
      </c>
      <c r="F19" s="31">
        <f>'11A (N S) Sem1 '!E9</f>
        <v>89</v>
      </c>
      <c r="G19" s="31">
        <f>'11A (N S) Sem1 '!F9</f>
        <v>90</v>
      </c>
      <c r="H19" s="31">
        <f>'11A (N S) Sem1 '!G9</f>
        <v>68</v>
      </c>
      <c r="I19" s="31">
        <f>'11A (N S) Sem1 '!H9</f>
        <v>83</v>
      </c>
      <c r="J19" s="31">
        <f>'11A (N S) Sem1 '!I9</f>
        <v>83</v>
      </c>
      <c r="K19" s="31">
        <f>'11A (N S) Sem1 '!J9</f>
        <v>93</v>
      </c>
      <c r="L19" s="31">
        <f>'11A (N S) Sem1 '!K9</f>
        <v>77</v>
      </c>
      <c r="M19" s="31">
        <f>'11A (N S) Sem1 '!L9</f>
        <v>84</v>
      </c>
      <c r="N19" s="31">
        <f>'11A (N S) Sem1 '!M9</f>
        <v>92</v>
      </c>
      <c r="O19" s="48">
        <f>'11A (N S) Sem1 '!N9</f>
        <v>95</v>
      </c>
      <c r="P19" s="31">
        <f>'11A (N S) Sem1 '!O9</f>
        <v>854</v>
      </c>
      <c r="Q19" s="30">
        <f>'11A (N S) Sem1 '!P9</f>
        <v>85.4</v>
      </c>
      <c r="R19" s="30">
        <f>'11A (N S) Sem1 '!Q9</f>
        <v>9</v>
      </c>
      <c r="S19" s="31">
        <f>'11A (N S) Sem1 '!R9</f>
        <v>0</v>
      </c>
      <c r="T19" s="55">
        <f>'11A (N S) Sem1 '!S9</f>
        <v>0</v>
      </c>
      <c r="U19" s="104"/>
      <c r="V19" s="9"/>
      <c r="W19" s="9"/>
    </row>
    <row r="20" spans="1:23" ht="20.100000000000001" customHeight="1" x14ac:dyDescent="0.3">
      <c r="A20" s="295"/>
      <c r="B20" s="293"/>
      <c r="C20" s="293">
        <v>16</v>
      </c>
      <c r="D20" s="293" t="s">
        <v>23</v>
      </c>
      <c r="E20" s="32" t="s">
        <v>22</v>
      </c>
      <c r="F20" s="31">
        <f>'11A (N S) Sem2'!E9</f>
        <v>92</v>
      </c>
      <c r="G20" s="31">
        <f>'11A (N S) Sem2'!F9</f>
        <v>91</v>
      </c>
      <c r="H20" s="31">
        <f>'11A (N S) Sem2'!G9</f>
        <v>72</v>
      </c>
      <c r="I20" s="31">
        <f>'11A (N S) Sem2'!H9</f>
        <v>88</v>
      </c>
      <c r="J20" s="31">
        <f>'11A (N S) Sem2'!I9</f>
        <v>81</v>
      </c>
      <c r="K20" s="31">
        <f>'11A (N S) Sem2'!J9</f>
        <v>86</v>
      </c>
      <c r="L20" s="31">
        <f>'11A (N S) Sem2'!K9</f>
        <v>90</v>
      </c>
      <c r="M20" s="31">
        <f>'11A (N S) Sem2'!L9</f>
        <v>61</v>
      </c>
      <c r="N20" s="31">
        <f>'11A (N S) Sem2'!M9</f>
        <v>95</v>
      </c>
      <c r="O20" s="48">
        <f>'11A (N S) Sem2'!N9</f>
        <v>97</v>
      </c>
      <c r="P20" s="31">
        <f>'11A (N S) Sem2'!O9</f>
        <v>853</v>
      </c>
      <c r="Q20" s="30">
        <f>'11A (N S) Sem2'!P9</f>
        <v>85.3</v>
      </c>
      <c r="R20" s="30">
        <f>'11A (N S) Sem2'!Q9</f>
        <v>14</v>
      </c>
      <c r="S20" s="31">
        <f>'11A (N S) Sem2'!R9</f>
        <v>0</v>
      </c>
      <c r="T20" s="55">
        <f>'11A (N S) Sem2'!S9</f>
        <v>0</v>
      </c>
      <c r="U20" s="104"/>
      <c r="V20" s="9"/>
      <c r="W20" s="9"/>
    </row>
    <row r="21" spans="1:23" ht="20.100000000000001" customHeight="1" x14ac:dyDescent="0.3">
      <c r="A21" s="295"/>
      <c r="B21" s="293"/>
      <c r="C21" s="293">
        <v>16</v>
      </c>
      <c r="D21" s="293" t="s">
        <v>23</v>
      </c>
      <c r="E21" s="32" t="s">
        <v>16</v>
      </c>
      <c r="F21" s="31">
        <f>AVERAGE(F19:F20)</f>
        <v>90.5</v>
      </c>
      <c r="G21" s="31">
        <f t="shared" ref="G21:Q21" si="5">AVERAGE(G19:G20)</f>
        <v>90.5</v>
      </c>
      <c r="H21" s="31">
        <f t="shared" si="5"/>
        <v>70</v>
      </c>
      <c r="I21" s="31">
        <f t="shared" si="5"/>
        <v>85.5</v>
      </c>
      <c r="J21" s="31">
        <f t="shared" si="5"/>
        <v>82</v>
      </c>
      <c r="K21" s="31">
        <f t="shared" si="5"/>
        <v>89.5</v>
      </c>
      <c r="L21" s="31">
        <f t="shared" si="5"/>
        <v>83.5</v>
      </c>
      <c r="M21" s="31">
        <f t="shared" si="5"/>
        <v>72.5</v>
      </c>
      <c r="N21" s="31">
        <f t="shared" si="5"/>
        <v>93.5</v>
      </c>
      <c r="O21" s="31">
        <f t="shared" si="5"/>
        <v>96</v>
      </c>
      <c r="P21" s="31">
        <f t="shared" si="5"/>
        <v>853.5</v>
      </c>
      <c r="Q21" s="31">
        <f t="shared" si="5"/>
        <v>85.35</v>
      </c>
      <c r="R21" s="31">
        <f>'11A (N S) Avr'!$I$9</f>
        <v>12</v>
      </c>
      <c r="S21" s="31">
        <f>AVERAGE(S19:S20)</f>
        <v>0</v>
      </c>
      <c r="T21" s="55">
        <f>AVERAGE(T19:T20)</f>
        <v>0</v>
      </c>
      <c r="U21" s="104"/>
      <c r="V21" s="9"/>
      <c r="W21" s="9"/>
    </row>
    <row r="22" spans="1:23" ht="20.100000000000001" customHeight="1" x14ac:dyDescent="0.3">
      <c r="A22" s="295">
        <v>7</v>
      </c>
      <c r="B22" s="293"/>
      <c r="C22" s="293">
        <v>17</v>
      </c>
      <c r="D22" s="293" t="s">
        <v>20</v>
      </c>
      <c r="E22" s="32" t="s">
        <v>21</v>
      </c>
      <c r="F22" s="31">
        <f>'11A (N S) Sem1 '!E10</f>
        <v>86</v>
      </c>
      <c r="G22" s="31">
        <f>'11A (N S) Sem1 '!F10</f>
        <v>80</v>
      </c>
      <c r="H22" s="31">
        <f>'11A (N S) Sem1 '!G10</f>
        <v>81</v>
      </c>
      <c r="I22" s="31">
        <f>'11A (N S) Sem1 '!H10</f>
        <v>76</v>
      </c>
      <c r="J22" s="31">
        <f>'11A (N S) Sem1 '!I10</f>
        <v>74</v>
      </c>
      <c r="K22" s="31">
        <f>'11A (N S) Sem1 '!J10</f>
        <v>90</v>
      </c>
      <c r="L22" s="31">
        <f>'11A (N S) Sem1 '!K10</f>
        <v>72</v>
      </c>
      <c r="M22" s="31">
        <f>'11A (N S) Sem1 '!L10</f>
        <v>88</v>
      </c>
      <c r="N22" s="31">
        <f>'11A (N S) Sem1 '!M10</f>
        <v>96</v>
      </c>
      <c r="O22" s="48">
        <f>'11A (N S) Sem1 '!N10</f>
        <v>99</v>
      </c>
      <c r="P22" s="31">
        <f>'11A (N S) Sem1 '!O10</f>
        <v>842</v>
      </c>
      <c r="Q22" s="30">
        <f>'11A (N S) Sem1 '!P10</f>
        <v>84.2</v>
      </c>
      <c r="R22" s="30">
        <f>'11A (N S) Sem1 '!Q10</f>
        <v>12</v>
      </c>
      <c r="S22" s="31">
        <f>'11A (N S) Sem1 '!R10</f>
        <v>0</v>
      </c>
      <c r="T22" s="55">
        <f>'11A (N S) Sem1 '!S10</f>
        <v>0</v>
      </c>
      <c r="U22" s="104"/>
      <c r="V22" s="9"/>
      <c r="W22" s="9"/>
    </row>
    <row r="23" spans="1:23" ht="20.100000000000001" customHeight="1" x14ac:dyDescent="0.3">
      <c r="A23" s="295"/>
      <c r="B23" s="293"/>
      <c r="C23" s="293">
        <v>17</v>
      </c>
      <c r="D23" s="293" t="s">
        <v>20</v>
      </c>
      <c r="E23" s="32" t="s">
        <v>22</v>
      </c>
      <c r="F23" s="31">
        <f>'11A (N S) Sem2'!E10</f>
        <v>94</v>
      </c>
      <c r="G23" s="31">
        <f>'11A (N S) Sem2'!F10</f>
        <v>83</v>
      </c>
      <c r="H23" s="31">
        <f>'11A (N S) Sem2'!G10</f>
        <v>81</v>
      </c>
      <c r="I23" s="31">
        <f>'11A (N S) Sem2'!H10</f>
        <v>88</v>
      </c>
      <c r="J23" s="31">
        <f>'11A (N S) Sem2'!I10</f>
        <v>93</v>
      </c>
      <c r="K23" s="31">
        <f>'11A (N S) Sem2'!J10</f>
        <v>95</v>
      </c>
      <c r="L23" s="31">
        <f>'11A (N S) Sem2'!K10</f>
        <v>95</v>
      </c>
      <c r="M23" s="31">
        <f>'11A (N S) Sem2'!L10</f>
        <v>84</v>
      </c>
      <c r="N23" s="31">
        <f>'11A (N S) Sem2'!M10</f>
        <v>92</v>
      </c>
      <c r="O23" s="48">
        <f>'11A (N S) Sem2'!N10</f>
        <v>97</v>
      </c>
      <c r="P23" s="31">
        <f>'11A (N S) Sem2'!O10</f>
        <v>902</v>
      </c>
      <c r="Q23" s="30">
        <f>'11A (N S) Sem2'!P10</f>
        <v>90.2</v>
      </c>
      <c r="R23" s="30">
        <f>'11A (N S) Sem2'!Q10</f>
        <v>7</v>
      </c>
      <c r="S23" s="31">
        <f>'11A (N S) Sem2'!R10</f>
        <v>0</v>
      </c>
      <c r="T23" s="55">
        <f>'11A (N S) Sem2'!S10</f>
        <v>0</v>
      </c>
      <c r="U23" s="104"/>
      <c r="V23" s="9"/>
      <c r="W23" s="9"/>
    </row>
    <row r="24" spans="1:23" ht="20.100000000000001" customHeight="1" x14ac:dyDescent="0.3">
      <c r="A24" s="295"/>
      <c r="B24" s="293"/>
      <c r="C24" s="293">
        <v>17</v>
      </c>
      <c r="D24" s="293" t="s">
        <v>20</v>
      </c>
      <c r="E24" s="32" t="s">
        <v>16</v>
      </c>
      <c r="F24" s="31">
        <f>AVERAGE(F22:F23)</f>
        <v>90</v>
      </c>
      <c r="G24" s="31">
        <f t="shared" ref="G24:Q24" si="6">AVERAGE(G22:G23)</f>
        <v>81.5</v>
      </c>
      <c r="H24" s="31">
        <f t="shared" si="6"/>
        <v>81</v>
      </c>
      <c r="I24" s="31">
        <f t="shared" si="6"/>
        <v>82</v>
      </c>
      <c r="J24" s="31">
        <f t="shared" si="6"/>
        <v>83.5</v>
      </c>
      <c r="K24" s="31">
        <f t="shared" si="6"/>
        <v>92.5</v>
      </c>
      <c r="L24" s="31">
        <f t="shared" si="6"/>
        <v>83.5</v>
      </c>
      <c r="M24" s="31">
        <f t="shared" si="6"/>
        <v>86</v>
      </c>
      <c r="N24" s="31">
        <f t="shared" si="6"/>
        <v>94</v>
      </c>
      <c r="O24" s="31">
        <f t="shared" si="6"/>
        <v>98</v>
      </c>
      <c r="P24" s="31">
        <f t="shared" si="6"/>
        <v>872</v>
      </c>
      <c r="Q24" s="31">
        <f t="shared" si="6"/>
        <v>87.2</v>
      </c>
      <c r="R24" s="31">
        <f>'11A (N S) Avr'!$I$10</f>
        <v>8</v>
      </c>
      <c r="S24" s="31">
        <f>AVERAGE(S22:S23)</f>
        <v>0</v>
      </c>
      <c r="T24" s="55">
        <f>AVERAGE(T22:T23)</f>
        <v>0</v>
      </c>
      <c r="U24" s="104"/>
      <c r="V24" s="9"/>
      <c r="W24" s="9"/>
    </row>
    <row r="25" spans="1:23" ht="20.100000000000001" customHeight="1" x14ac:dyDescent="0.3">
      <c r="A25" s="295">
        <v>8</v>
      </c>
      <c r="B25" s="293"/>
      <c r="C25" s="293">
        <v>16</v>
      </c>
      <c r="D25" s="293" t="s">
        <v>23</v>
      </c>
      <c r="E25" s="32" t="s">
        <v>21</v>
      </c>
      <c r="F25" s="31">
        <f>'11A (N S) Sem1 '!E11</f>
        <v>89</v>
      </c>
      <c r="G25" s="31">
        <f>'11A (N S) Sem1 '!F11</f>
        <v>86</v>
      </c>
      <c r="H25" s="31">
        <f>'11A (N S) Sem1 '!G11</f>
        <v>93</v>
      </c>
      <c r="I25" s="31">
        <f>'11A (N S) Sem1 '!H11</f>
        <v>91</v>
      </c>
      <c r="J25" s="31">
        <f>'11A (N S) Sem1 '!I11</f>
        <v>92</v>
      </c>
      <c r="K25" s="31">
        <f>'11A (N S) Sem1 '!J11</f>
        <v>98</v>
      </c>
      <c r="L25" s="31">
        <f>'11A (N S) Sem1 '!K11</f>
        <v>80</v>
      </c>
      <c r="M25" s="31">
        <f>'11A (N S) Sem1 '!L11</f>
        <v>90</v>
      </c>
      <c r="N25" s="31">
        <f>'11A (N S) Sem1 '!M11</f>
        <v>98</v>
      </c>
      <c r="O25" s="48">
        <f>'11A (N S) Sem1 '!N11</f>
        <v>92</v>
      </c>
      <c r="P25" s="31">
        <f>'11A (N S) Sem1 '!O11</f>
        <v>909</v>
      </c>
      <c r="Q25" s="30">
        <f>'11A (N S) Sem1 '!P11</f>
        <v>90.9</v>
      </c>
      <c r="R25" s="30">
        <f>'11A (N S) Sem1 '!Q11</f>
        <v>6</v>
      </c>
      <c r="S25" s="31">
        <f>'11A (N S) Sem1 '!R11</f>
        <v>0</v>
      </c>
      <c r="T25" s="55">
        <f>'11A (N S) Sem1 '!S11</f>
        <v>0</v>
      </c>
      <c r="U25" s="104"/>
      <c r="V25" s="9"/>
      <c r="W25" s="9"/>
    </row>
    <row r="26" spans="1:23" ht="20.100000000000001" customHeight="1" x14ac:dyDescent="0.3">
      <c r="A26" s="295"/>
      <c r="B26" s="293"/>
      <c r="C26" s="293">
        <v>16</v>
      </c>
      <c r="D26" s="293" t="s">
        <v>23</v>
      </c>
      <c r="E26" s="32" t="s">
        <v>22</v>
      </c>
      <c r="F26" s="31">
        <f>'11A (N S) Sem2'!E11</f>
        <v>90</v>
      </c>
      <c r="G26" s="31">
        <f>'11A (N S) Sem2'!F11</f>
        <v>82</v>
      </c>
      <c r="H26" s="31">
        <f>'11A (N S) Sem2'!G11</f>
        <v>91</v>
      </c>
      <c r="I26" s="31">
        <f>'11A (N S) Sem2'!H11</f>
        <v>93</v>
      </c>
      <c r="J26" s="31">
        <f>'11A (N S) Sem2'!I11</f>
        <v>86</v>
      </c>
      <c r="K26" s="31">
        <f>'11A (N S) Sem2'!J11</f>
        <v>93</v>
      </c>
      <c r="L26" s="31">
        <f>'11A (N S) Sem2'!K11</f>
        <v>92</v>
      </c>
      <c r="M26" s="31">
        <f>'11A (N S) Sem2'!L11</f>
        <v>73</v>
      </c>
      <c r="N26" s="31">
        <f>'11A (N S) Sem2'!M11</f>
        <v>95</v>
      </c>
      <c r="O26" s="48">
        <f>'11A (N S) Sem2'!N11</f>
        <v>96</v>
      </c>
      <c r="P26" s="31">
        <f>'11A (N S) Sem2'!O11</f>
        <v>891</v>
      </c>
      <c r="Q26" s="30">
        <f>'11A (N S) Sem2'!P11</f>
        <v>89.1</v>
      </c>
      <c r="R26" s="30">
        <f>'11A (N S) Sem2'!Q11</f>
        <v>9</v>
      </c>
      <c r="S26" s="31">
        <f>'11A (N S) Sem2'!R11</f>
        <v>0</v>
      </c>
      <c r="T26" s="55">
        <f>'11A (N S) Sem2'!S11</f>
        <v>0</v>
      </c>
      <c r="U26" s="104"/>
      <c r="V26" s="9"/>
      <c r="W26" s="9"/>
    </row>
    <row r="27" spans="1:23" ht="20.100000000000001" customHeight="1" x14ac:dyDescent="0.3">
      <c r="A27" s="295"/>
      <c r="B27" s="293"/>
      <c r="C27" s="293">
        <v>16</v>
      </c>
      <c r="D27" s="293" t="s">
        <v>23</v>
      </c>
      <c r="E27" s="32" t="s">
        <v>16</v>
      </c>
      <c r="F27" s="31">
        <f>AVERAGE(F25:F26)</f>
        <v>89.5</v>
      </c>
      <c r="G27" s="31">
        <f t="shared" ref="G27:Q27" si="7">AVERAGE(G25:G26)</f>
        <v>84</v>
      </c>
      <c r="H27" s="31">
        <f t="shared" si="7"/>
        <v>92</v>
      </c>
      <c r="I27" s="31">
        <f t="shared" si="7"/>
        <v>92</v>
      </c>
      <c r="J27" s="31">
        <f t="shared" si="7"/>
        <v>89</v>
      </c>
      <c r="K27" s="31">
        <f t="shared" si="7"/>
        <v>95.5</v>
      </c>
      <c r="L27" s="31">
        <f t="shared" si="7"/>
        <v>86</v>
      </c>
      <c r="M27" s="31">
        <f t="shared" si="7"/>
        <v>81.5</v>
      </c>
      <c r="N27" s="31">
        <f t="shared" si="7"/>
        <v>96.5</v>
      </c>
      <c r="O27" s="31">
        <f t="shared" si="7"/>
        <v>94</v>
      </c>
      <c r="P27" s="31">
        <f t="shared" si="7"/>
        <v>900</v>
      </c>
      <c r="Q27" s="31">
        <f t="shared" si="7"/>
        <v>90</v>
      </c>
      <c r="R27" s="31">
        <f>'11A (N S) Avr'!$I$11</f>
        <v>6</v>
      </c>
      <c r="S27" s="31">
        <f>AVERAGE(S25:S26)</f>
        <v>0</v>
      </c>
      <c r="T27" s="55">
        <f>AVERAGE(T25:T26)</f>
        <v>0</v>
      </c>
      <c r="U27" s="104"/>
      <c r="V27" s="9"/>
      <c r="W27" s="9"/>
    </row>
    <row r="28" spans="1:23" ht="20.100000000000001" customHeight="1" x14ac:dyDescent="0.3">
      <c r="A28" s="295">
        <v>9</v>
      </c>
      <c r="B28" s="293"/>
      <c r="C28" s="293">
        <v>16</v>
      </c>
      <c r="D28" s="293" t="s">
        <v>20</v>
      </c>
      <c r="E28" s="32" t="s">
        <v>21</v>
      </c>
      <c r="F28" s="31">
        <f>'11A (N S) Sem1 '!E12</f>
        <v>82</v>
      </c>
      <c r="G28" s="31">
        <f>'11A (N S) Sem1 '!F12</f>
        <v>74</v>
      </c>
      <c r="H28" s="31">
        <f>'11A (N S) Sem1 '!G12</f>
        <v>83</v>
      </c>
      <c r="I28" s="31">
        <f>'11A (N S) Sem1 '!H12</f>
        <v>83</v>
      </c>
      <c r="J28" s="31">
        <f>'11A (N S) Sem1 '!I12</f>
        <v>66</v>
      </c>
      <c r="K28" s="31">
        <f>'11A (N S) Sem1 '!J12</f>
        <v>79</v>
      </c>
      <c r="L28" s="31">
        <f>'11A (N S) Sem1 '!K12</f>
        <v>69</v>
      </c>
      <c r="M28" s="31">
        <f>'11A (N S) Sem1 '!L12</f>
        <v>94</v>
      </c>
      <c r="N28" s="31">
        <f>'11A (N S) Sem1 '!M12</f>
        <v>91</v>
      </c>
      <c r="O28" s="48">
        <f>'11A (N S) Sem1 '!N12</f>
        <v>93</v>
      </c>
      <c r="P28" s="31">
        <f>'11A (N S) Sem1 '!O12</f>
        <v>814</v>
      </c>
      <c r="Q28" s="30">
        <f>'11A (N S) Sem1 '!P12</f>
        <v>81.400000000000006</v>
      </c>
      <c r="R28" s="30">
        <f>'11A (N S) Sem1 '!Q12</f>
        <v>15</v>
      </c>
      <c r="S28" s="31">
        <f>'11A (N S) Sem1 '!R12</f>
        <v>0</v>
      </c>
      <c r="T28" s="55">
        <f>'11A (N S) Sem1 '!S12</f>
        <v>0</v>
      </c>
      <c r="U28" s="104"/>
      <c r="V28" s="9"/>
      <c r="W28" s="9"/>
    </row>
    <row r="29" spans="1:23" ht="20.100000000000001" customHeight="1" x14ac:dyDescent="0.3">
      <c r="A29" s="295"/>
      <c r="B29" s="293"/>
      <c r="C29" s="293">
        <v>16</v>
      </c>
      <c r="D29" s="293" t="s">
        <v>20</v>
      </c>
      <c r="E29" s="32" t="s">
        <v>22</v>
      </c>
      <c r="F29" s="31">
        <f>'11A (N S) Sem2'!E12</f>
        <v>94</v>
      </c>
      <c r="G29" s="31">
        <f>'11A (N S) Sem2'!F12</f>
        <v>83</v>
      </c>
      <c r="H29" s="31">
        <f>'11A (N S) Sem2'!G12</f>
        <v>85</v>
      </c>
      <c r="I29" s="31">
        <f>'11A (N S) Sem2'!H12</f>
        <v>77</v>
      </c>
      <c r="J29" s="31">
        <f>'11A (N S) Sem2'!I12</f>
        <v>61</v>
      </c>
      <c r="K29" s="31">
        <f>'11A (N S) Sem2'!J12</f>
        <v>76</v>
      </c>
      <c r="L29" s="31">
        <f>'11A (N S) Sem2'!K12</f>
        <v>88</v>
      </c>
      <c r="M29" s="31">
        <f>'11A (N S) Sem2'!L12</f>
        <v>91</v>
      </c>
      <c r="N29" s="31">
        <f>'11A (N S) Sem2'!M12</f>
        <v>95</v>
      </c>
      <c r="O29" s="48">
        <f>'11A (N S) Sem2'!N12</f>
        <v>96</v>
      </c>
      <c r="P29" s="31">
        <f>'11A (N S) Sem2'!O12</f>
        <v>846</v>
      </c>
      <c r="Q29" s="30">
        <f>'11A (N S) Sem2'!P12</f>
        <v>84.6</v>
      </c>
      <c r="R29" s="30">
        <f>'11A (N S) Sem2'!Q12</f>
        <v>16</v>
      </c>
      <c r="S29" s="31">
        <f>'11A (N S) Sem2'!R12</f>
        <v>0</v>
      </c>
      <c r="T29" s="55">
        <f>'11A (N S) Sem2'!S12</f>
        <v>0</v>
      </c>
      <c r="U29" s="104"/>
      <c r="V29" s="9"/>
      <c r="W29" s="9"/>
    </row>
    <row r="30" spans="1:23" ht="20.100000000000001" customHeight="1" x14ac:dyDescent="0.3">
      <c r="A30" s="295"/>
      <c r="B30" s="293"/>
      <c r="C30" s="293">
        <v>16</v>
      </c>
      <c r="D30" s="293" t="s">
        <v>20</v>
      </c>
      <c r="E30" s="32" t="s">
        <v>16</v>
      </c>
      <c r="F30" s="31">
        <f>AVERAGE(F28:F29)</f>
        <v>88</v>
      </c>
      <c r="G30" s="31">
        <f t="shared" ref="G30:Q30" si="8">AVERAGE(G28:G29)</f>
        <v>78.5</v>
      </c>
      <c r="H30" s="31">
        <f t="shared" si="8"/>
        <v>84</v>
      </c>
      <c r="I30" s="31">
        <f t="shared" si="8"/>
        <v>80</v>
      </c>
      <c r="J30" s="31">
        <f t="shared" si="8"/>
        <v>63.5</v>
      </c>
      <c r="K30" s="31">
        <f t="shared" si="8"/>
        <v>77.5</v>
      </c>
      <c r="L30" s="31">
        <f t="shared" si="8"/>
        <v>78.5</v>
      </c>
      <c r="M30" s="31">
        <f t="shared" si="8"/>
        <v>92.5</v>
      </c>
      <c r="N30" s="31">
        <f t="shared" si="8"/>
        <v>93</v>
      </c>
      <c r="O30" s="31">
        <f t="shared" si="8"/>
        <v>94.5</v>
      </c>
      <c r="P30" s="31">
        <f t="shared" si="8"/>
        <v>830</v>
      </c>
      <c r="Q30" s="31">
        <f t="shared" si="8"/>
        <v>83</v>
      </c>
      <c r="R30" s="31">
        <f>'11A (N S) Avr'!$I$12</f>
        <v>16</v>
      </c>
      <c r="S30" s="31">
        <f>AVERAGE(S28:S29)</f>
        <v>0</v>
      </c>
      <c r="T30" s="55">
        <f>AVERAGE(T28:T29)</f>
        <v>0</v>
      </c>
      <c r="U30" s="104"/>
      <c r="V30" s="9"/>
      <c r="W30" s="9"/>
    </row>
    <row r="31" spans="1:23" ht="20.100000000000001" customHeight="1" x14ac:dyDescent="0.3">
      <c r="A31" s="295">
        <v>10</v>
      </c>
      <c r="B31" s="293"/>
      <c r="C31" s="293">
        <v>16</v>
      </c>
      <c r="D31" s="293" t="s">
        <v>23</v>
      </c>
      <c r="E31" s="32" t="s">
        <v>21</v>
      </c>
      <c r="F31" s="31">
        <f>'11A (N S) Sem1 '!E13</f>
        <v>84</v>
      </c>
      <c r="G31" s="31">
        <f>'11A (N S) Sem1 '!F13</f>
        <v>71</v>
      </c>
      <c r="H31" s="31">
        <f>'11A (N S) Sem1 '!G13</f>
        <v>68</v>
      </c>
      <c r="I31" s="31">
        <f>'11A (N S) Sem1 '!H13</f>
        <v>77</v>
      </c>
      <c r="J31" s="31">
        <f>'11A (N S) Sem1 '!I13</f>
        <v>65</v>
      </c>
      <c r="K31" s="31">
        <f>'11A (N S) Sem1 '!J13</f>
        <v>83</v>
      </c>
      <c r="L31" s="31">
        <f>'11A (N S) Sem1 '!K13</f>
        <v>59</v>
      </c>
      <c r="M31" s="31">
        <f>'11A (N S) Sem1 '!L13</f>
        <v>90</v>
      </c>
      <c r="N31" s="31">
        <f>'11A (N S) Sem1 '!M13</f>
        <v>90</v>
      </c>
      <c r="O31" s="48">
        <f>'11A (N S) Sem1 '!N13</f>
        <v>96</v>
      </c>
      <c r="P31" s="31">
        <f>'11A (N S) Sem1 '!O13</f>
        <v>783</v>
      </c>
      <c r="Q31" s="30">
        <f>'11A (N S) Sem1 '!P13</f>
        <v>78.3</v>
      </c>
      <c r="R31" s="30">
        <f>'11A (N S) Sem1 '!Q13</f>
        <v>19</v>
      </c>
      <c r="S31" s="31">
        <f>'11A (N S) Sem1 '!R13</f>
        <v>0</v>
      </c>
      <c r="T31" s="55">
        <f>'11A (N S) Sem1 '!S13</f>
        <v>0</v>
      </c>
      <c r="U31" s="104"/>
      <c r="V31" s="9"/>
      <c r="W31" s="9"/>
    </row>
    <row r="32" spans="1:23" ht="20.100000000000001" customHeight="1" x14ac:dyDescent="0.3">
      <c r="A32" s="295"/>
      <c r="B32" s="293"/>
      <c r="C32" s="293">
        <v>16</v>
      </c>
      <c r="D32" s="293" t="s">
        <v>23</v>
      </c>
      <c r="E32" s="32" t="s">
        <v>22</v>
      </c>
      <c r="F32" s="31">
        <f>'11A (N S) Sem2'!E13</f>
        <v>87</v>
      </c>
      <c r="G32" s="31">
        <f>'11A (N S) Sem2'!F13</f>
        <v>73</v>
      </c>
      <c r="H32" s="31">
        <f>'11A (N S) Sem2'!G13</f>
        <v>60</v>
      </c>
      <c r="I32" s="31">
        <f>'11A (N S) Sem2'!H13</f>
        <v>72</v>
      </c>
      <c r="J32" s="31">
        <f>'11A (N S) Sem2'!I13</f>
        <v>64</v>
      </c>
      <c r="K32" s="31">
        <f>'11A (N S) Sem2'!J13</f>
        <v>85</v>
      </c>
      <c r="L32" s="31">
        <f>'11A (N S) Sem2'!K13</f>
        <v>82</v>
      </c>
      <c r="M32" s="31">
        <f>'11A (N S) Sem2'!L13</f>
        <v>100</v>
      </c>
      <c r="N32" s="31">
        <f>'11A (N S) Sem2'!M13</f>
        <v>87</v>
      </c>
      <c r="O32" s="48">
        <f>'11A (N S) Sem2'!N13</f>
        <v>96</v>
      </c>
      <c r="P32" s="31">
        <f>'11A (N S) Sem2'!O13</f>
        <v>806</v>
      </c>
      <c r="Q32" s="30">
        <f>'11A (N S) Sem2'!P13</f>
        <v>80.599999999999994</v>
      </c>
      <c r="R32" s="30">
        <f>'11A (N S) Sem2'!Q13</f>
        <v>19</v>
      </c>
      <c r="S32" s="31">
        <f>'11A (N S) Sem2'!R13</f>
        <v>0</v>
      </c>
      <c r="T32" s="55">
        <f>'11A (N S) Sem2'!S13</f>
        <v>0</v>
      </c>
      <c r="U32" s="104"/>
      <c r="V32" s="9"/>
      <c r="W32" s="9"/>
    </row>
    <row r="33" spans="1:23" ht="20.100000000000001" customHeight="1" x14ac:dyDescent="0.3">
      <c r="A33" s="295"/>
      <c r="B33" s="293"/>
      <c r="C33" s="293">
        <v>16</v>
      </c>
      <c r="D33" s="293" t="s">
        <v>23</v>
      </c>
      <c r="E33" s="32" t="s">
        <v>16</v>
      </c>
      <c r="F33" s="31">
        <f>AVERAGE(F31:F32)</f>
        <v>85.5</v>
      </c>
      <c r="G33" s="31">
        <f t="shared" ref="G33:Q33" si="9">AVERAGE(G31:G32)</f>
        <v>72</v>
      </c>
      <c r="H33" s="31">
        <f t="shared" si="9"/>
        <v>64</v>
      </c>
      <c r="I33" s="31">
        <f t="shared" si="9"/>
        <v>74.5</v>
      </c>
      <c r="J33" s="31">
        <f t="shared" si="9"/>
        <v>64.5</v>
      </c>
      <c r="K33" s="31">
        <f t="shared" si="9"/>
        <v>84</v>
      </c>
      <c r="L33" s="31">
        <f t="shared" si="9"/>
        <v>70.5</v>
      </c>
      <c r="M33" s="31">
        <f t="shared" si="9"/>
        <v>95</v>
      </c>
      <c r="N33" s="31">
        <f t="shared" si="9"/>
        <v>88.5</v>
      </c>
      <c r="O33" s="31">
        <f t="shared" si="9"/>
        <v>96</v>
      </c>
      <c r="P33" s="31">
        <f t="shared" si="9"/>
        <v>794.5</v>
      </c>
      <c r="Q33" s="31">
        <f t="shared" si="9"/>
        <v>79.449999999999989</v>
      </c>
      <c r="R33" s="31">
        <f>'11A (N S) Avr'!$I$13</f>
        <v>20</v>
      </c>
      <c r="S33" s="31">
        <f>AVERAGE(S31:S32)</f>
        <v>0</v>
      </c>
      <c r="T33" s="55">
        <f>AVERAGE(T31:T32)</f>
        <v>0</v>
      </c>
      <c r="U33" s="104"/>
      <c r="V33" s="9"/>
      <c r="W33" s="9"/>
    </row>
    <row r="34" spans="1:23" ht="20.100000000000001" customHeight="1" x14ac:dyDescent="0.3">
      <c r="A34" s="295">
        <v>11</v>
      </c>
      <c r="B34" s="293"/>
      <c r="C34" s="293">
        <v>16</v>
      </c>
      <c r="D34" s="293" t="s">
        <v>20</v>
      </c>
      <c r="E34" s="32" t="s">
        <v>21</v>
      </c>
      <c r="F34" s="31">
        <f>'11A (N S) Sem1 '!E14</f>
        <v>85</v>
      </c>
      <c r="G34" s="31">
        <f>'11A (N S) Sem1 '!F14</f>
        <v>86</v>
      </c>
      <c r="H34" s="31">
        <f>'11A (N S) Sem1 '!G14</f>
        <v>100</v>
      </c>
      <c r="I34" s="31">
        <f>'11A (N S) Sem1 '!H14</f>
        <v>91</v>
      </c>
      <c r="J34" s="31">
        <f>'11A (N S) Sem1 '!I14</f>
        <v>94</v>
      </c>
      <c r="K34" s="31">
        <f>'11A (N S) Sem1 '!J14</f>
        <v>100</v>
      </c>
      <c r="L34" s="31">
        <f>'11A (N S) Sem1 '!K14</f>
        <v>83</v>
      </c>
      <c r="M34" s="31">
        <f>'11A (N S) Sem1 '!L14</f>
        <v>100</v>
      </c>
      <c r="N34" s="31">
        <f>'11A (N S) Sem1 '!M14</f>
        <v>89</v>
      </c>
      <c r="O34" s="48">
        <f>'11A (N S) Sem1 '!N14</f>
        <v>90</v>
      </c>
      <c r="P34" s="31">
        <f>'11A (N S) Sem1 '!O14</f>
        <v>918</v>
      </c>
      <c r="Q34" s="30">
        <f>'11A (N S) Sem1 '!P14</f>
        <v>91.8</v>
      </c>
      <c r="R34" s="30">
        <f>'11A (N S) Sem1 '!Q14</f>
        <v>3</v>
      </c>
      <c r="S34" s="31">
        <f>'11A (N S) Sem1 '!R14</f>
        <v>0</v>
      </c>
      <c r="T34" s="55">
        <f>'11A (N S) Sem1 '!S14</f>
        <v>0</v>
      </c>
      <c r="U34" s="104"/>
      <c r="V34" s="9"/>
      <c r="W34" s="9"/>
    </row>
    <row r="35" spans="1:23" ht="20.100000000000001" customHeight="1" x14ac:dyDescent="0.3">
      <c r="A35" s="295"/>
      <c r="B35" s="293"/>
      <c r="C35" s="293">
        <v>16</v>
      </c>
      <c r="D35" s="293" t="s">
        <v>20</v>
      </c>
      <c r="E35" s="32" t="s">
        <v>22</v>
      </c>
      <c r="F35" s="31">
        <f>'11A (N S) Sem2'!E14</f>
        <v>80</v>
      </c>
      <c r="G35" s="31">
        <f>'11A (N S) Sem2'!F14</f>
        <v>91</v>
      </c>
      <c r="H35" s="31">
        <f>'11A (N S) Sem2'!G14</f>
        <v>97</v>
      </c>
      <c r="I35" s="31">
        <f>'11A (N S) Sem2'!H14</f>
        <v>97</v>
      </c>
      <c r="J35" s="31">
        <f>'11A (N S) Sem2'!I14</f>
        <v>94</v>
      </c>
      <c r="K35" s="31">
        <f>'11A (N S) Sem2'!J14</f>
        <v>93</v>
      </c>
      <c r="L35" s="31">
        <f>'11A (N S) Sem2'!K14</f>
        <v>90</v>
      </c>
      <c r="M35" s="31">
        <f>'11A (N S) Sem2'!L14</f>
        <v>100</v>
      </c>
      <c r="N35" s="31">
        <f>'11A (N S) Sem2'!M14</f>
        <v>89</v>
      </c>
      <c r="O35" s="48">
        <f>'11A (N S) Sem2'!N14</f>
        <v>92</v>
      </c>
      <c r="P35" s="31">
        <f>'11A (N S) Sem2'!O14</f>
        <v>923</v>
      </c>
      <c r="Q35" s="30">
        <f>'11A (N S) Sem2'!P14</f>
        <v>92.3</v>
      </c>
      <c r="R35" s="30">
        <f>'11A (N S) Sem2'!Q14</f>
        <v>5</v>
      </c>
      <c r="S35" s="31">
        <f>'11A (N S) Sem2'!R14</f>
        <v>0</v>
      </c>
      <c r="T35" s="55">
        <f>'11A (N S) Sem2'!S14</f>
        <v>0</v>
      </c>
      <c r="U35" s="104"/>
      <c r="V35" s="9"/>
      <c r="W35" s="9"/>
    </row>
    <row r="36" spans="1:23" ht="20.100000000000001" customHeight="1" x14ac:dyDescent="0.3">
      <c r="A36" s="295"/>
      <c r="B36" s="293"/>
      <c r="C36" s="293">
        <v>16</v>
      </c>
      <c r="D36" s="293" t="s">
        <v>20</v>
      </c>
      <c r="E36" s="32" t="s">
        <v>16</v>
      </c>
      <c r="F36" s="31">
        <f>AVERAGE(F34:F35)</f>
        <v>82.5</v>
      </c>
      <c r="G36" s="31">
        <f t="shared" ref="G36:Q36" si="10">AVERAGE(G34:G35)</f>
        <v>88.5</v>
      </c>
      <c r="H36" s="31">
        <f t="shared" si="10"/>
        <v>98.5</v>
      </c>
      <c r="I36" s="31">
        <f t="shared" si="10"/>
        <v>94</v>
      </c>
      <c r="J36" s="31">
        <f t="shared" si="10"/>
        <v>94</v>
      </c>
      <c r="K36" s="31">
        <f t="shared" si="10"/>
        <v>96.5</v>
      </c>
      <c r="L36" s="31">
        <f t="shared" si="10"/>
        <v>86.5</v>
      </c>
      <c r="M36" s="31">
        <f t="shared" si="10"/>
        <v>100</v>
      </c>
      <c r="N36" s="31">
        <f t="shared" si="10"/>
        <v>89</v>
      </c>
      <c r="O36" s="31">
        <f t="shared" si="10"/>
        <v>91</v>
      </c>
      <c r="P36" s="31">
        <f t="shared" si="10"/>
        <v>920.5</v>
      </c>
      <c r="Q36" s="31">
        <f t="shared" si="10"/>
        <v>92.05</v>
      </c>
      <c r="R36" s="31">
        <f>'11A (N S) Avr'!$I$14</f>
        <v>4</v>
      </c>
      <c r="S36" s="31">
        <f>AVERAGE(S34:S35)</f>
        <v>0</v>
      </c>
      <c r="T36" s="55">
        <f>AVERAGE(T34:T35)</f>
        <v>0</v>
      </c>
      <c r="U36" s="104"/>
      <c r="V36" s="9"/>
      <c r="W36" s="9"/>
    </row>
    <row r="37" spans="1:23" ht="20.100000000000001" customHeight="1" x14ac:dyDescent="0.3">
      <c r="A37" s="295">
        <v>12</v>
      </c>
      <c r="B37" s="293"/>
      <c r="C37" s="293">
        <v>17</v>
      </c>
      <c r="D37" s="293" t="s">
        <v>23</v>
      </c>
      <c r="E37" s="32" t="s">
        <v>21</v>
      </c>
      <c r="F37" s="31">
        <f>'11A (N S) Sem1 '!E15</f>
        <v>90</v>
      </c>
      <c r="G37" s="31">
        <f>'11A (N S) Sem1 '!F15</f>
        <v>86</v>
      </c>
      <c r="H37" s="31">
        <f>'11A (N S) Sem1 '!G15</f>
        <v>74</v>
      </c>
      <c r="I37" s="31">
        <f>'11A (N S) Sem1 '!H15</f>
        <v>84</v>
      </c>
      <c r="J37" s="31">
        <f>'11A (N S) Sem1 '!I15</f>
        <v>81</v>
      </c>
      <c r="K37" s="31">
        <f>'11A (N S) Sem1 '!J15</f>
        <v>98</v>
      </c>
      <c r="L37" s="31">
        <f>'11A (N S) Sem1 '!K15</f>
        <v>85</v>
      </c>
      <c r="M37" s="31">
        <f>'11A (N S) Sem1 '!L15</f>
        <v>87</v>
      </c>
      <c r="N37" s="31">
        <f>'11A (N S) Sem1 '!M15</f>
        <v>92</v>
      </c>
      <c r="O37" s="48">
        <f>'11A (N S) Sem1 '!N15</f>
        <v>94</v>
      </c>
      <c r="P37" s="31">
        <f>'11A (N S) Sem1 '!O15</f>
        <v>871</v>
      </c>
      <c r="Q37" s="30">
        <f>'11A (N S) Sem1 '!P15</f>
        <v>87.1</v>
      </c>
      <c r="R37" s="30">
        <f>'11A (N S) Sem1 '!Q15</f>
        <v>7</v>
      </c>
      <c r="S37" s="31">
        <f>'11A (N S) Sem1 '!R15</f>
        <v>0</v>
      </c>
      <c r="T37" s="55">
        <f>'11A (N S) Sem1 '!S15</f>
        <v>0</v>
      </c>
      <c r="U37" s="104"/>
      <c r="V37" s="9"/>
      <c r="W37" s="9"/>
    </row>
    <row r="38" spans="1:23" ht="20.100000000000001" customHeight="1" x14ac:dyDescent="0.3">
      <c r="A38" s="295"/>
      <c r="B38" s="293"/>
      <c r="C38" s="293">
        <v>17</v>
      </c>
      <c r="D38" s="293" t="s">
        <v>23</v>
      </c>
      <c r="E38" s="32" t="s">
        <v>22</v>
      </c>
      <c r="F38" s="31">
        <f>'11A (N S) Sem2'!E15</f>
        <v>100</v>
      </c>
      <c r="G38" s="31">
        <f>'11A (N S) Sem2'!F15</f>
        <v>95</v>
      </c>
      <c r="H38" s="31">
        <f>'11A (N S) Sem2'!G15</f>
        <v>81</v>
      </c>
      <c r="I38" s="31">
        <f>'11A (N S) Sem2'!H15</f>
        <v>90</v>
      </c>
      <c r="J38" s="31">
        <f>'11A (N S) Sem2'!I15</f>
        <v>82</v>
      </c>
      <c r="K38" s="31">
        <f>'11A (N S) Sem2'!J15</f>
        <v>97</v>
      </c>
      <c r="L38" s="31">
        <f>'11A (N S) Sem2'!K15</f>
        <v>96</v>
      </c>
      <c r="M38" s="31">
        <f>'11A (N S) Sem2'!L15</f>
        <v>90</v>
      </c>
      <c r="N38" s="31">
        <f>'11A (N S) Sem2'!M15</f>
        <v>92</v>
      </c>
      <c r="O38" s="48">
        <f>'11A (N S) Sem2'!N15</f>
        <v>91</v>
      </c>
      <c r="P38" s="31">
        <f>'11A (N S) Sem2'!O15</f>
        <v>914</v>
      </c>
      <c r="Q38" s="30">
        <f>'11A (N S) Sem2'!P15</f>
        <v>91.4</v>
      </c>
      <c r="R38" s="30">
        <f>'11A (N S) Sem2'!Q15</f>
        <v>6</v>
      </c>
      <c r="S38" s="31">
        <f>'11A (N S) Sem2'!R15</f>
        <v>0</v>
      </c>
      <c r="T38" s="55">
        <f>'11A (N S) Sem2'!S15</f>
        <v>0</v>
      </c>
      <c r="U38" s="104"/>
      <c r="V38" s="9"/>
      <c r="W38" s="9"/>
    </row>
    <row r="39" spans="1:23" ht="20.100000000000001" customHeight="1" x14ac:dyDescent="0.3">
      <c r="A39" s="295"/>
      <c r="B39" s="293"/>
      <c r="C39" s="293">
        <v>17</v>
      </c>
      <c r="D39" s="293" t="s">
        <v>23</v>
      </c>
      <c r="E39" s="32" t="s">
        <v>16</v>
      </c>
      <c r="F39" s="31">
        <f>AVERAGE(F37:F38)</f>
        <v>95</v>
      </c>
      <c r="G39" s="31">
        <f t="shared" ref="G39:Q39" si="11">AVERAGE(G37:G38)</f>
        <v>90.5</v>
      </c>
      <c r="H39" s="31">
        <f t="shared" si="11"/>
        <v>77.5</v>
      </c>
      <c r="I39" s="31">
        <f t="shared" si="11"/>
        <v>87</v>
      </c>
      <c r="J39" s="31">
        <f t="shared" si="11"/>
        <v>81.5</v>
      </c>
      <c r="K39" s="31">
        <f t="shared" si="11"/>
        <v>97.5</v>
      </c>
      <c r="L39" s="31">
        <f t="shared" si="11"/>
        <v>90.5</v>
      </c>
      <c r="M39" s="31">
        <f t="shared" si="11"/>
        <v>88.5</v>
      </c>
      <c r="N39" s="31">
        <f t="shared" si="11"/>
        <v>92</v>
      </c>
      <c r="O39" s="31">
        <f t="shared" si="11"/>
        <v>92.5</v>
      </c>
      <c r="P39" s="31">
        <f t="shared" si="11"/>
        <v>892.5</v>
      </c>
      <c r="Q39" s="31">
        <f t="shared" si="11"/>
        <v>89.25</v>
      </c>
      <c r="R39" s="31">
        <f>'11A (N S) Avr'!$I$15</f>
        <v>7</v>
      </c>
      <c r="S39" s="31">
        <f>AVERAGE(S37:S38)</f>
        <v>0</v>
      </c>
      <c r="T39" s="55">
        <f>AVERAGE(T37:T38)</f>
        <v>0</v>
      </c>
      <c r="U39" s="104"/>
      <c r="V39" s="9"/>
      <c r="W39" s="9"/>
    </row>
    <row r="40" spans="1:23" ht="20.100000000000001" customHeight="1" x14ac:dyDescent="0.3">
      <c r="A40" s="295">
        <v>13</v>
      </c>
      <c r="B40" s="293"/>
      <c r="C40" s="293">
        <v>16</v>
      </c>
      <c r="D40" s="293" t="s">
        <v>20</v>
      </c>
      <c r="E40" s="32" t="s">
        <v>21</v>
      </c>
      <c r="F40" s="31">
        <f>'11A (N S) Sem1 '!E16</f>
        <v>79</v>
      </c>
      <c r="G40" s="31">
        <f>'11A (N S) Sem1 '!F16</f>
        <v>85</v>
      </c>
      <c r="H40" s="31">
        <f>'11A (N S) Sem1 '!G16</f>
        <v>76</v>
      </c>
      <c r="I40" s="31">
        <f>'11A (N S) Sem1 '!H16</f>
        <v>81</v>
      </c>
      <c r="J40" s="31">
        <f>'11A (N S) Sem1 '!I16</f>
        <v>79</v>
      </c>
      <c r="K40" s="31">
        <f>'11A (N S) Sem1 '!J16</f>
        <v>96</v>
      </c>
      <c r="L40" s="31">
        <f>'11A (N S) Sem1 '!K16</f>
        <v>82</v>
      </c>
      <c r="M40" s="31">
        <f>'11A (N S) Sem1 '!L16</f>
        <v>75</v>
      </c>
      <c r="N40" s="31">
        <f>'11A (N S) Sem1 '!M16</f>
        <v>93</v>
      </c>
      <c r="O40" s="48">
        <f>'11A (N S) Sem1 '!N16</f>
        <v>98</v>
      </c>
      <c r="P40" s="31">
        <f>'11A (N S) Sem1 '!O16</f>
        <v>844</v>
      </c>
      <c r="Q40" s="30">
        <f>'11A (N S) Sem1 '!P16</f>
        <v>84.4</v>
      </c>
      <c r="R40" s="30">
        <f>'11A (N S) Sem1 '!Q16</f>
        <v>11</v>
      </c>
      <c r="S40" s="31">
        <f>'11A (N S) Sem1 '!R16</f>
        <v>0</v>
      </c>
      <c r="T40" s="55">
        <f>'11A (N S) Sem1 '!S16</f>
        <v>0</v>
      </c>
      <c r="U40" s="104"/>
      <c r="V40" s="9"/>
      <c r="W40" s="9"/>
    </row>
    <row r="41" spans="1:23" ht="20.100000000000001" customHeight="1" x14ac:dyDescent="0.3">
      <c r="A41" s="295"/>
      <c r="B41" s="293"/>
      <c r="C41" s="293">
        <v>16</v>
      </c>
      <c r="D41" s="293" t="s">
        <v>20</v>
      </c>
      <c r="E41" s="32" t="s">
        <v>22</v>
      </c>
      <c r="F41" s="31">
        <f>'11A (N S) Sem2'!E16</f>
        <v>91</v>
      </c>
      <c r="G41" s="31">
        <f>'11A (N S) Sem2'!F16</f>
        <v>90</v>
      </c>
      <c r="H41" s="31">
        <f>'11A (N S) Sem2'!G16</f>
        <v>88</v>
      </c>
      <c r="I41" s="31">
        <f>'11A (N S) Sem2'!H16</f>
        <v>69</v>
      </c>
      <c r="J41" s="31">
        <f>'11A (N S) Sem2'!I16</f>
        <v>83</v>
      </c>
      <c r="K41" s="31">
        <f>'11A (N S) Sem2'!J16</f>
        <v>91</v>
      </c>
      <c r="L41" s="31">
        <f>'11A (N S) Sem2'!K16</f>
        <v>94</v>
      </c>
      <c r="M41" s="31">
        <f>'11A (N S) Sem2'!L16</f>
        <v>76</v>
      </c>
      <c r="N41" s="31">
        <f>'11A (N S) Sem2'!M16</f>
        <v>95</v>
      </c>
      <c r="O41" s="48">
        <f>'11A (N S) Sem2'!N16</f>
        <v>87</v>
      </c>
      <c r="P41" s="31">
        <f>'11A (N S) Sem2'!O16</f>
        <v>864</v>
      </c>
      <c r="Q41" s="30">
        <f>'11A (N S) Sem2'!P16</f>
        <v>86.4</v>
      </c>
      <c r="R41" s="30">
        <f>'11A (N S) Sem2'!Q16</f>
        <v>13</v>
      </c>
      <c r="S41" s="31">
        <f>'11A (N S) Sem2'!R16</f>
        <v>0</v>
      </c>
      <c r="T41" s="55">
        <f>'11A (N S) Sem2'!S16</f>
        <v>0</v>
      </c>
      <c r="U41" s="104"/>
      <c r="V41" s="9"/>
      <c r="W41" s="9"/>
    </row>
    <row r="42" spans="1:23" ht="20.100000000000001" customHeight="1" x14ac:dyDescent="0.3">
      <c r="A42" s="295"/>
      <c r="B42" s="293"/>
      <c r="C42" s="293">
        <v>16</v>
      </c>
      <c r="D42" s="293" t="s">
        <v>20</v>
      </c>
      <c r="E42" s="32" t="s">
        <v>16</v>
      </c>
      <c r="F42" s="31">
        <f>AVERAGE(F40:F41)</f>
        <v>85</v>
      </c>
      <c r="G42" s="31">
        <f t="shared" ref="G42:Q42" si="12">AVERAGE(G40:G41)</f>
        <v>87.5</v>
      </c>
      <c r="H42" s="31">
        <f t="shared" si="12"/>
        <v>82</v>
      </c>
      <c r="I42" s="31">
        <f t="shared" si="12"/>
        <v>75</v>
      </c>
      <c r="J42" s="31">
        <f t="shared" si="12"/>
        <v>81</v>
      </c>
      <c r="K42" s="31">
        <f t="shared" si="12"/>
        <v>93.5</v>
      </c>
      <c r="L42" s="31">
        <f t="shared" si="12"/>
        <v>88</v>
      </c>
      <c r="M42" s="31">
        <f t="shared" si="12"/>
        <v>75.5</v>
      </c>
      <c r="N42" s="31">
        <f t="shared" si="12"/>
        <v>94</v>
      </c>
      <c r="O42" s="31">
        <f t="shared" si="12"/>
        <v>92.5</v>
      </c>
      <c r="P42" s="31">
        <f t="shared" si="12"/>
        <v>854</v>
      </c>
      <c r="Q42" s="31">
        <f t="shared" si="12"/>
        <v>85.4</v>
      </c>
      <c r="R42" s="31">
        <f>'11A (N S) Avr'!$I$16</f>
        <v>11</v>
      </c>
      <c r="S42" s="31">
        <f>AVERAGE(S40:S41)</f>
        <v>0</v>
      </c>
      <c r="T42" s="55">
        <f>AVERAGE(T40:T41)</f>
        <v>0</v>
      </c>
      <c r="U42" s="104"/>
      <c r="V42" s="9"/>
      <c r="W42" s="9"/>
    </row>
    <row r="43" spans="1:23" ht="20.100000000000001" customHeight="1" x14ac:dyDescent="0.3">
      <c r="A43" s="295">
        <v>14</v>
      </c>
      <c r="B43" s="293"/>
      <c r="C43" s="293">
        <v>16</v>
      </c>
      <c r="D43" s="293" t="s">
        <v>23</v>
      </c>
      <c r="E43" s="32" t="s">
        <v>21</v>
      </c>
      <c r="F43" s="31">
        <f>'11A (N S) Sem1 '!E17</f>
        <v>73</v>
      </c>
      <c r="G43" s="31">
        <f>'11A (N S) Sem1 '!F17</f>
        <v>70</v>
      </c>
      <c r="H43" s="31">
        <f>'11A (N S) Sem1 '!G17</f>
        <v>61</v>
      </c>
      <c r="I43" s="31">
        <f>'11A (N S) Sem1 '!H17</f>
        <v>62</v>
      </c>
      <c r="J43" s="31">
        <f>'11A (N S) Sem1 '!I17</f>
        <v>56</v>
      </c>
      <c r="K43" s="31">
        <f>'11A (N S) Sem1 '!J17</f>
        <v>78</v>
      </c>
      <c r="L43" s="31">
        <f>'11A (N S) Sem1 '!K17</f>
        <v>71</v>
      </c>
      <c r="M43" s="31">
        <f>'11A (N S) Sem1 '!L17</f>
        <v>76</v>
      </c>
      <c r="N43" s="31">
        <f>'11A (N S) Sem1 '!M17</f>
        <v>88</v>
      </c>
      <c r="O43" s="48">
        <f>'11A (N S) Sem1 '!N17</f>
        <v>91</v>
      </c>
      <c r="P43" s="31">
        <f>'11A (N S) Sem1 '!O17</f>
        <v>726</v>
      </c>
      <c r="Q43" s="30">
        <f>'11A (N S) Sem1 '!P17</f>
        <v>72.599999999999994</v>
      </c>
      <c r="R43" s="30">
        <f>'11A (N S) Sem1 '!Q17</f>
        <v>23</v>
      </c>
      <c r="S43" s="31">
        <f>'11A (N S) Sem1 '!R17</f>
        <v>0</v>
      </c>
      <c r="T43" s="55">
        <f>'11A (N S) Sem1 '!S17</f>
        <v>0</v>
      </c>
      <c r="U43" s="104"/>
      <c r="V43" s="9"/>
      <c r="W43" s="9"/>
    </row>
    <row r="44" spans="1:23" ht="20.100000000000001" customHeight="1" x14ac:dyDescent="0.3">
      <c r="A44" s="295"/>
      <c r="B44" s="293"/>
      <c r="C44" s="293">
        <v>16</v>
      </c>
      <c r="D44" s="293" t="s">
        <v>23</v>
      </c>
      <c r="E44" s="32" t="s">
        <v>22</v>
      </c>
      <c r="F44" s="31">
        <f>'11A (N S) Sem2'!E17</f>
        <v>88</v>
      </c>
      <c r="G44" s="31">
        <f>'11A (N S) Sem2'!F17</f>
        <v>73</v>
      </c>
      <c r="H44" s="31">
        <f>'11A (N S) Sem2'!G17</f>
        <v>51</v>
      </c>
      <c r="I44" s="31">
        <f>'11A (N S) Sem2'!H17</f>
        <v>63</v>
      </c>
      <c r="J44" s="31">
        <f>'11A (N S) Sem2'!I17</f>
        <v>47</v>
      </c>
      <c r="K44" s="31">
        <f>'11A (N S) Sem2'!J17</f>
        <v>80</v>
      </c>
      <c r="L44" s="31">
        <f>'11A (N S) Sem2'!K17</f>
        <v>74</v>
      </c>
      <c r="M44" s="31">
        <f>'11A (N S) Sem2'!L17</f>
        <v>69</v>
      </c>
      <c r="N44" s="31">
        <f>'11A (N S) Sem2'!M17</f>
        <v>83</v>
      </c>
      <c r="O44" s="48">
        <f>'11A (N S) Sem2'!N17</f>
        <v>94</v>
      </c>
      <c r="P44" s="31">
        <f>'11A (N S) Sem2'!O17</f>
        <v>722</v>
      </c>
      <c r="Q44" s="30">
        <f>'11A (N S) Sem2'!P17</f>
        <v>72.2</v>
      </c>
      <c r="R44" s="30">
        <f>'11A (N S) Sem2'!Q17</f>
        <v>24</v>
      </c>
      <c r="S44" s="31">
        <f>'11A (N S) Sem2'!R17</f>
        <v>0</v>
      </c>
      <c r="T44" s="55">
        <f>'11A (N S) Sem2'!S17</f>
        <v>0</v>
      </c>
      <c r="U44" s="104"/>
      <c r="V44" s="9"/>
      <c r="W44" s="9"/>
    </row>
    <row r="45" spans="1:23" ht="20.100000000000001" customHeight="1" x14ac:dyDescent="0.3">
      <c r="A45" s="295"/>
      <c r="B45" s="293"/>
      <c r="C45" s="293">
        <v>16</v>
      </c>
      <c r="D45" s="293" t="s">
        <v>23</v>
      </c>
      <c r="E45" s="32" t="s">
        <v>16</v>
      </c>
      <c r="F45" s="31">
        <f>AVERAGE(F43:F44)</f>
        <v>80.5</v>
      </c>
      <c r="G45" s="31">
        <f t="shared" ref="G45:Q45" si="13">AVERAGE(G43:G44)</f>
        <v>71.5</v>
      </c>
      <c r="H45" s="31">
        <f t="shared" si="13"/>
        <v>56</v>
      </c>
      <c r="I45" s="31">
        <f t="shared" si="13"/>
        <v>62.5</v>
      </c>
      <c r="J45" s="31">
        <f t="shared" si="13"/>
        <v>51.5</v>
      </c>
      <c r="K45" s="31">
        <f t="shared" si="13"/>
        <v>79</v>
      </c>
      <c r="L45" s="31">
        <f t="shared" si="13"/>
        <v>72.5</v>
      </c>
      <c r="M45" s="31">
        <f t="shared" si="13"/>
        <v>72.5</v>
      </c>
      <c r="N45" s="31">
        <f t="shared" si="13"/>
        <v>85.5</v>
      </c>
      <c r="O45" s="31">
        <f t="shared" si="13"/>
        <v>92.5</v>
      </c>
      <c r="P45" s="31">
        <f t="shared" si="13"/>
        <v>724</v>
      </c>
      <c r="Q45" s="31">
        <f t="shared" si="13"/>
        <v>72.400000000000006</v>
      </c>
      <c r="R45" s="31">
        <f>'11A (N S) Avr'!$I$17</f>
        <v>23</v>
      </c>
      <c r="S45" s="31">
        <f>AVERAGE(S43:S44)</f>
        <v>0</v>
      </c>
      <c r="T45" s="55">
        <f>AVERAGE(T43:T44)</f>
        <v>0</v>
      </c>
      <c r="U45" s="104"/>
      <c r="V45" s="9"/>
      <c r="W45" s="9"/>
    </row>
    <row r="46" spans="1:23" ht="20.100000000000001" customHeight="1" x14ac:dyDescent="0.3">
      <c r="A46" s="295">
        <v>15</v>
      </c>
      <c r="B46" s="293"/>
      <c r="C46" s="293">
        <v>15</v>
      </c>
      <c r="D46" s="293" t="s">
        <v>23</v>
      </c>
      <c r="E46" s="32" t="s">
        <v>21</v>
      </c>
      <c r="F46" s="31">
        <f>'11A (N S) Sem1 '!E18</f>
        <v>90</v>
      </c>
      <c r="G46" s="31">
        <f>'11A (N S) Sem1 '!F18</f>
        <v>80</v>
      </c>
      <c r="H46" s="31">
        <f>'11A (N S) Sem1 '!G18</f>
        <v>67</v>
      </c>
      <c r="I46" s="31">
        <f>'11A (N S) Sem1 '!H18</f>
        <v>76</v>
      </c>
      <c r="J46" s="31">
        <f>'11A (N S) Sem1 '!I18</f>
        <v>74</v>
      </c>
      <c r="K46" s="31">
        <f>'11A (N S) Sem1 '!J18</f>
        <v>88</v>
      </c>
      <c r="L46" s="31">
        <f>'11A (N S) Sem1 '!K18</f>
        <v>70</v>
      </c>
      <c r="M46" s="31">
        <f>'11A (N S) Sem1 '!L18</f>
        <v>87</v>
      </c>
      <c r="N46" s="31">
        <f>'11A (N S) Sem1 '!M18</f>
        <v>95</v>
      </c>
      <c r="O46" s="48">
        <f>'11A (N S) Sem1 '!N18</f>
        <v>97</v>
      </c>
      <c r="P46" s="31">
        <f>'11A (N S) Sem1 '!O18</f>
        <v>824</v>
      </c>
      <c r="Q46" s="30">
        <f>'11A (N S) Sem1 '!P18</f>
        <v>82.4</v>
      </c>
      <c r="R46" s="30">
        <f>'11A (N S) Sem1 '!Q18</f>
        <v>14</v>
      </c>
      <c r="S46" s="31">
        <f>'11A (N S) Sem1 '!R18</f>
        <v>0</v>
      </c>
      <c r="T46" s="55">
        <f>'11A (N S) Sem1 '!S18</f>
        <v>0</v>
      </c>
      <c r="U46" s="104"/>
      <c r="V46" s="9"/>
      <c r="W46" s="9"/>
    </row>
    <row r="47" spans="1:23" ht="20.100000000000001" customHeight="1" x14ac:dyDescent="0.3">
      <c r="A47" s="295"/>
      <c r="B47" s="293"/>
      <c r="C47" s="293">
        <v>15</v>
      </c>
      <c r="D47" s="293" t="s">
        <v>23</v>
      </c>
      <c r="E47" s="32" t="s">
        <v>22</v>
      </c>
      <c r="F47" s="31">
        <f>'11A (N S) Sem2'!E18</f>
        <v>94</v>
      </c>
      <c r="G47" s="31">
        <f>'11A (N S) Sem2'!F18</f>
        <v>79</v>
      </c>
      <c r="H47" s="31">
        <f>'11A (N S) Sem2'!G18</f>
        <v>74</v>
      </c>
      <c r="I47" s="31">
        <f>'11A (N S) Sem2'!H18</f>
        <v>85</v>
      </c>
      <c r="J47" s="31">
        <f>'11A (N S) Sem2'!I18</f>
        <v>80</v>
      </c>
      <c r="K47" s="31">
        <f>'11A (N S) Sem2'!J18</f>
        <v>91</v>
      </c>
      <c r="L47" s="31">
        <f>'11A (N S) Sem2'!K18</f>
        <v>92</v>
      </c>
      <c r="M47" s="31">
        <f>'11A (N S) Sem2'!L18</f>
        <v>95</v>
      </c>
      <c r="N47" s="31">
        <f>'11A (N S) Sem2'!M18</f>
        <v>94</v>
      </c>
      <c r="O47" s="48">
        <f>'11A (N S) Sem2'!N18</f>
        <v>94</v>
      </c>
      <c r="P47" s="31">
        <f>'11A (N S) Sem2'!O18</f>
        <v>878</v>
      </c>
      <c r="Q47" s="30">
        <f>'11A (N S) Sem2'!P18</f>
        <v>87.8</v>
      </c>
      <c r="R47" s="30">
        <f>'11A (N S) Sem2'!Q18</f>
        <v>11</v>
      </c>
      <c r="S47" s="31">
        <f>'11A (N S) Sem2'!R18</f>
        <v>0</v>
      </c>
      <c r="T47" s="55">
        <f>'11A (N S) Sem2'!S18</f>
        <v>0</v>
      </c>
      <c r="U47" s="104"/>
      <c r="V47" s="9"/>
      <c r="W47" s="9"/>
    </row>
    <row r="48" spans="1:23" ht="20.100000000000001" customHeight="1" x14ac:dyDescent="0.3">
      <c r="A48" s="295"/>
      <c r="B48" s="293"/>
      <c r="C48" s="293">
        <v>15</v>
      </c>
      <c r="D48" s="293" t="s">
        <v>23</v>
      </c>
      <c r="E48" s="32" t="s">
        <v>16</v>
      </c>
      <c r="F48" s="31">
        <f>AVERAGE(F46:F47)</f>
        <v>92</v>
      </c>
      <c r="G48" s="31">
        <f t="shared" ref="G48:Q48" si="14">AVERAGE(G46:G47)</f>
        <v>79.5</v>
      </c>
      <c r="H48" s="31">
        <f t="shared" si="14"/>
        <v>70.5</v>
      </c>
      <c r="I48" s="31">
        <f t="shared" si="14"/>
        <v>80.5</v>
      </c>
      <c r="J48" s="31">
        <f t="shared" si="14"/>
        <v>77</v>
      </c>
      <c r="K48" s="31">
        <f t="shared" si="14"/>
        <v>89.5</v>
      </c>
      <c r="L48" s="31">
        <f t="shared" si="14"/>
        <v>81</v>
      </c>
      <c r="M48" s="31">
        <f t="shared" si="14"/>
        <v>91</v>
      </c>
      <c r="N48" s="31">
        <f t="shared" si="14"/>
        <v>94.5</v>
      </c>
      <c r="O48" s="31">
        <f t="shared" si="14"/>
        <v>95.5</v>
      </c>
      <c r="P48" s="31">
        <f t="shared" si="14"/>
        <v>851</v>
      </c>
      <c r="Q48" s="31">
        <f t="shared" si="14"/>
        <v>85.1</v>
      </c>
      <c r="R48" s="31">
        <f>'11A (N S) Avr'!$I$18</f>
        <v>13</v>
      </c>
      <c r="S48" s="31">
        <f>AVERAGE(S46:S47)</f>
        <v>0</v>
      </c>
      <c r="T48" s="55">
        <f>AVERAGE(T46:T47)</f>
        <v>0</v>
      </c>
      <c r="U48" s="104"/>
      <c r="V48" s="9"/>
      <c r="W48" s="9"/>
    </row>
    <row r="49" spans="1:23" ht="20.100000000000001" customHeight="1" x14ac:dyDescent="0.3">
      <c r="A49" s="295">
        <v>16</v>
      </c>
      <c r="B49" s="293"/>
      <c r="C49" s="293">
        <v>16</v>
      </c>
      <c r="D49" s="293" t="s">
        <v>20</v>
      </c>
      <c r="E49" s="32" t="s">
        <v>21</v>
      </c>
      <c r="F49" s="31">
        <f>'11A (N S) Sem1 '!E19</f>
        <v>64</v>
      </c>
      <c r="G49" s="31">
        <f>'11A (N S) Sem1 '!F19</f>
        <v>72</v>
      </c>
      <c r="H49" s="31">
        <f>'11A (N S) Sem1 '!G19</f>
        <v>42</v>
      </c>
      <c r="I49" s="31">
        <f>'11A (N S) Sem1 '!H19</f>
        <v>55</v>
      </c>
      <c r="J49" s="31">
        <f>'11A (N S) Sem1 '!I19</f>
        <v>53</v>
      </c>
      <c r="K49" s="31">
        <f>'11A (N S) Sem1 '!J19</f>
        <v>81</v>
      </c>
      <c r="L49" s="31">
        <f>'11A (N S) Sem1 '!K19</f>
        <v>63</v>
      </c>
      <c r="M49" s="31">
        <f>'11A (N S) Sem1 '!L19</f>
        <v>79</v>
      </c>
      <c r="N49" s="31">
        <f>'11A (N S) Sem1 '!M19</f>
        <v>80</v>
      </c>
      <c r="O49" s="48">
        <f>'11A (N S) Sem1 '!N19</f>
        <v>95</v>
      </c>
      <c r="P49" s="31">
        <f>'11A (N S) Sem1 '!O19</f>
        <v>684</v>
      </c>
      <c r="Q49" s="30">
        <f>'11A (N S) Sem1 '!P19</f>
        <v>68.400000000000006</v>
      </c>
      <c r="R49" s="30">
        <f>'11A (N S) Sem1 '!Q19</f>
        <v>25</v>
      </c>
      <c r="S49" s="31">
        <f>'11A (N S) Sem1 '!R19</f>
        <v>0</v>
      </c>
      <c r="T49" s="55">
        <f>'11A (N S) Sem1 '!S19</f>
        <v>0</v>
      </c>
      <c r="U49" s="104"/>
      <c r="V49" s="9"/>
      <c r="W49" s="9"/>
    </row>
    <row r="50" spans="1:23" ht="20.100000000000001" customHeight="1" x14ac:dyDescent="0.3">
      <c r="A50" s="295"/>
      <c r="B50" s="293"/>
      <c r="C50" s="293">
        <v>16</v>
      </c>
      <c r="D50" s="293" t="s">
        <v>20</v>
      </c>
      <c r="E50" s="32" t="s">
        <v>22</v>
      </c>
      <c r="F50" s="31">
        <f>'11A (N S) Sem2'!E19</f>
        <v>79</v>
      </c>
      <c r="G50" s="31">
        <f>'11A (N S) Sem2'!F19</f>
        <v>72</v>
      </c>
      <c r="H50" s="31">
        <f>'11A (N S) Sem2'!G19</f>
        <v>48</v>
      </c>
      <c r="I50" s="31">
        <f>'11A (N S) Sem2'!H19</f>
        <v>58</v>
      </c>
      <c r="J50" s="31">
        <f>'11A (N S) Sem2'!I19</f>
        <v>56</v>
      </c>
      <c r="K50" s="31">
        <f>'11A (N S) Sem2'!J19</f>
        <v>85</v>
      </c>
      <c r="L50" s="31">
        <f>'11A (N S) Sem2'!K19</f>
        <v>78</v>
      </c>
      <c r="M50" s="31">
        <f>'11A (N S) Sem2'!L19</f>
        <v>62</v>
      </c>
      <c r="N50" s="31">
        <f>'11A (N S) Sem2'!M19</f>
        <v>87</v>
      </c>
      <c r="O50" s="48">
        <f>'11A (N S) Sem2'!N19</f>
        <v>96</v>
      </c>
      <c r="P50" s="31">
        <f>'11A (N S) Sem2'!O19</f>
        <v>721</v>
      </c>
      <c r="Q50" s="30">
        <f>'11A (N S) Sem2'!P19</f>
        <v>72.099999999999994</v>
      </c>
      <c r="R50" s="30">
        <f>'11A (N S) Sem2'!Q19</f>
        <v>25</v>
      </c>
      <c r="S50" s="31">
        <f>'11A (N S) Sem2'!R19</f>
        <v>0</v>
      </c>
      <c r="T50" s="55">
        <f>'11A (N S) Sem2'!S19</f>
        <v>0</v>
      </c>
      <c r="U50" s="104"/>
      <c r="V50" s="9"/>
      <c r="W50" s="9"/>
    </row>
    <row r="51" spans="1:23" ht="20.100000000000001" customHeight="1" x14ac:dyDescent="0.3">
      <c r="A51" s="295"/>
      <c r="B51" s="293"/>
      <c r="C51" s="293">
        <v>16</v>
      </c>
      <c r="D51" s="293" t="s">
        <v>20</v>
      </c>
      <c r="E51" s="32" t="s">
        <v>16</v>
      </c>
      <c r="F51" s="31">
        <f>AVERAGE(F49:F50)</f>
        <v>71.5</v>
      </c>
      <c r="G51" s="31">
        <f t="shared" ref="G51:Q51" si="15">AVERAGE(G49:G50)</f>
        <v>72</v>
      </c>
      <c r="H51" s="31">
        <f t="shared" si="15"/>
        <v>45</v>
      </c>
      <c r="I51" s="31">
        <f t="shared" si="15"/>
        <v>56.5</v>
      </c>
      <c r="J51" s="31">
        <f t="shared" si="15"/>
        <v>54.5</v>
      </c>
      <c r="K51" s="31">
        <f t="shared" si="15"/>
        <v>83</v>
      </c>
      <c r="L51" s="31">
        <f t="shared" si="15"/>
        <v>70.5</v>
      </c>
      <c r="M51" s="31">
        <f t="shared" si="15"/>
        <v>70.5</v>
      </c>
      <c r="N51" s="31">
        <f t="shared" si="15"/>
        <v>83.5</v>
      </c>
      <c r="O51" s="31">
        <f t="shared" si="15"/>
        <v>95.5</v>
      </c>
      <c r="P51" s="31">
        <f t="shared" si="15"/>
        <v>702.5</v>
      </c>
      <c r="Q51" s="31">
        <f t="shared" si="15"/>
        <v>70.25</v>
      </c>
      <c r="R51" s="31">
        <f>'11A (N S) Avr'!$I$19</f>
        <v>25</v>
      </c>
      <c r="S51" s="31">
        <f>AVERAGE(S49:S50)</f>
        <v>0</v>
      </c>
      <c r="T51" s="55">
        <f>AVERAGE(T49:T50)</f>
        <v>0</v>
      </c>
      <c r="U51" s="104"/>
      <c r="V51" s="9"/>
      <c r="W51" s="9"/>
    </row>
    <row r="52" spans="1:23" ht="20.100000000000001" customHeight="1" x14ac:dyDescent="0.3">
      <c r="A52" s="295">
        <v>17</v>
      </c>
      <c r="B52" s="293"/>
      <c r="C52" s="293">
        <v>15</v>
      </c>
      <c r="D52" s="293" t="s">
        <v>23</v>
      </c>
      <c r="E52" s="32" t="s">
        <v>21</v>
      </c>
      <c r="F52" s="31">
        <f>'11A (N S) Sem1 '!E20</f>
        <v>90</v>
      </c>
      <c r="G52" s="31">
        <f>'11A (N S) Sem1 '!F20</f>
        <v>64</v>
      </c>
      <c r="H52" s="31">
        <f>'11A (N S) Sem1 '!G20</f>
        <v>55</v>
      </c>
      <c r="I52" s="31">
        <f>'11A (N S) Sem1 '!H20</f>
        <v>74</v>
      </c>
      <c r="J52" s="31">
        <f>'11A (N S) Sem1 '!I20</f>
        <v>62</v>
      </c>
      <c r="K52" s="31">
        <f>'11A (N S) Sem1 '!J20</f>
        <v>83</v>
      </c>
      <c r="L52" s="31">
        <f>'11A (N S) Sem1 '!K20</f>
        <v>68</v>
      </c>
      <c r="M52" s="31">
        <f>'11A (N S) Sem1 '!L20</f>
        <v>90</v>
      </c>
      <c r="N52" s="31">
        <f>'11A (N S) Sem1 '!M20</f>
        <v>90</v>
      </c>
      <c r="O52" s="48">
        <f>'11A (N S) Sem1 '!N20</f>
        <v>97</v>
      </c>
      <c r="P52" s="31">
        <f>'11A (N S) Sem1 '!O20</f>
        <v>773</v>
      </c>
      <c r="Q52" s="30">
        <f>'11A (N S) Sem1 '!P20</f>
        <v>77.3</v>
      </c>
      <c r="R52" s="30">
        <f>'11A (N S) Sem1 '!Q20</f>
        <v>21</v>
      </c>
      <c r="S52" s="31">
        <f>'11A (N S) Sem1 '!R20</f>
        <v>0</v>
      </c>
      <c r="T52" s="55">
        <f>'11A (N S) Sem1 '!S20</f>
        <v>0</v>
      </c>
      <c r="U52" s="104"/>
      <c r="V52" s="9"/>
      <c r="W52" s="9"/>
    </row>
    <row r="53" spans="1:23" ht="20.100000000000001" customHeight="1" x14ac:dyDescent="0.3">
      <c r="A53" s="295"/>
      <c r="B53" s="293"/>
      <c r="C53" s="293">
        <v>15</v>
      </c>
      <c r="D53" s="293" t="s">
        <v>23</v>
      </c>
      <c r="E53" s="32" t="s">
        <v>22</v>
      </c>
      <c r="F53" s="31">
        <f>'11A (N S) Sem2'!E20</f>
        <v>90</v>
      </c>
      <c r="G53" s="31">
        <f>'11A (N S) Sem2'!F20</f>
        <v>59</v>
      </c>
      <c r="H53" s="31">
        <f>'11A (N S) Sem2'!G20</f>
        <v>72</v>
      </c>
      <c r="I53" s="31">
        <f>'11A (N S) Sem2'!H20</f>
        <v>88</v>
      </c>
      <c r="J53" s="31">
        <f>'11A (N S) Sem2'!I20</f>
        <v>75</v>
      </c>
      <c r="K53" s="31">
        <f>'11A (N S) Sem2'!J20</f>
        <v>90</v>
      </c>
      <c r="L53" s="31">
        <f>'11A (N S) Sem2'!K20</f>
        <v>81</v>
      </c>
      <c r="M53" s="31">
        <f>'11A (N S) Sem2'!L20</f>
        <v>93</v>
      </c>
      <c r="N53" s="31">
        <f>'11A (N S) Sem2'!M20</f>
        <v>89</v>
      </c>
      <c r="O53" s="48">
        <f>'11A (N S) Sem2'!N20</f>
        <v>96</v>
      </c>
      <c r="P53" s="31">
        <f>'11A (N S) Sem2'!O20</f>
        <v>833</v>
      </c>
      <c r="Q53" s="30">
        <f>'11A (N S) Sem2'!P20</f>
        <v>83.3</v>
      </c>
      <c r="R53" s="30">
        <f>'11A (N S) Sem2'!Q20</f>
        <v>17</v>
      </c>
      <c r="S53" s="31">
        <f>'11A (N S) Sem2'!R20</f>
        <v>0</v>
      </c>
      <c r="T53" s="55">
        <f>'11A (N S) Sem2'!S20</f>
        <v>0</v>
      </c>
      <c r="U53" s="104"/>
      <c r="V53" s="9"/>
      <c r="W53" s="9"/>
    </row>
    <row r="54" spans="1:23" ht="20.100000000000001" customHeight="1" x14ac:dyDescent="0.3">
      <c r="A54" s="295"/>
      <c r="B54" s="293"/>
      <c r="C54" s="293">
        <v>15</v>
      </c>
      <c r="D54" s="293" t="s">
        <v>23</v>
      </c>
      <c r="E54" s="32" t="s">
        <v>16</v>
      </c>
      <c r="F54" s="31">
        <f>AVERAGE(F52:F53)</f>
        <v>90</v>
      </c>
      <c r="G54" s="31">
        <f t="shared" ref="G54:Q54" si="16">AVERAGE(G52:G53)</f>
        <v>61.5</v>
      </c>
      <c r="H54" s="31">
        <f t="shared" si="16"/>
        <v>63.5</v>
      </c>
      <c r="I54" s="31">
        <f t="shared" si="16"/>
        <v>81</v>
      </c>
      <c r="J54" s="31">
        <f t="shared" si="16"/>
        <v>68.5</v>
      </c>
      <c r="K54" s="31">
        <f t="shared" si="16"/>
        <v>86.5</v>
      </c>
      <c r="L54" s="31">
        <f t="shared" si="16"/>
        <v>74.5</v>
      </c>
      <c r="M54" s="31">
        <f t="shared" si="16"/>
        <v>91.5</v>
      </c>
      <c r="N54" s="31">
        <f t="shared" si="16"/>
        <v>89.5</v>
      </c>
      <c r="O54" s="31">
        <f t="shared" si="16"/>
        <v>96.5</v>
      </c>
      <c r="P54" s="31">
        <f t="shared" si="16"/>
        <v>803</v>
      </c>
      <c r="Q54" s="31">
        <f t="shared" si="16"/>
        <v>80.3</v>
      </c>
      <c r="R54" s="31">
        <f>'11A (N S) Avr'!$I$20</f>
        <v>18</v>
      </c>
      <c r="S54" s="31">
        <f>AVERAGE(S52:S53)</f>
        <v>0</v>
      </c>
      <c r="T54" s="55">
        <f>AVERAGE(T52:T53)</f>
        <v>0</v>
      </c>
      <c r="U54" s="104"/>
      <c r="V54" s="9"/>
      <c r="W54" s="9"/>
    </row>
    <row r="55" spans="1:23" ht="20.100000000000001" customHeight="1" x14ac:dyDescent="0.3">
      <c r="A55" s="295">
        <v>18</v>
      </c>
      <c r="B55" s="293"/>
      <c r="C55" s="293">
        <v>16</v>
      </c>
      <c r="D55" s="293" t="s">
        <v>20</v>
      </c>
      <c r="E55" s="32" t="s">
        <v>21</v>
      </c>
      <c r="F55" s="31">
        <f>'11A (N S) Sem1 '!E21</f>
        <v>78</v>
      </c>
      <c r="G55" s="31">
        <f>'11A (N S) Sem1 '!F21</f>
        <v>57</v>
      </c>
      <c r="H55" s="31">
        <f>'11A (N S) Sem1 '!G21</f>
        <v>55</v>
      </c>
      <c r="I55" s="31">
        <f>'11A (N S) Sem1 '!H21</f>
        <v>57</v>
      </c>
      <c r="J55" s="31">
        <f>'11A (N S) Sem1 '!I21</f>
        <v>48</v>
      </c>
      <c r="K55" s="31">
        <f>'11A (N S) Sem1 '!J21</f>
        <v>66</v>
      </c>
      <c r="L55" s="31">
        <f>'11A (N S) Sem1 '!K21</f>
        <v>65</v>
      </c>
      <c r="M55" s="31">
        <f>'11A (N S) Sem1 '!L21</f>
        <v>82</v>
      </c>
      <c r="N55" s="31">
        <f>'11A (N S) Sem1 '!M21</f>
        <v>85</v>
      </c>
      <c r="O55" s="48">
        <f>'11A (N S) Sem1 '!N21</f>
        <v>82</v>
      </c>
      <c r="P55" s="31">
        <f>'11A (N S) Sem1 '!O21</f>
        <v>675</v>
      </c>
      <c r="Q55" s="30">
        <f>'11A (N S) Sem1 '!P21</f>
        <v>67.5</v>
      </c>
      <c r="R55" s="30">
        <f>'11A (N S) Sem1 '!Q21</f>
        <v>26</v>
      </c>
      <c r="S55" s="31">
        <f>'11A (N S) Sem1 '!R21</f>
        <v>0</v>
      </c>
      <c r="T55" s="55">
        <f>'11A (N S) Sem1 '!S21</f>
        <v>0</v>
      </c>
      <c r="U55" s="102"/>
    </row>
    <row r="56" spans="1:23" ht="20.100000000000001" customHeight="1" x14ac:dyDescent="0.3">
      <c r="A56" s="295"/>
      <c r="B56" s="293"/>
      <c r="C56" s="293">
        <v>16</v>
      </c>
      <c r="D56" s="293" t="s">
        <v>20</v>
      </c>
      <c r="E56" s="32" t="s">
        <v>22</v>
      </c>
      <c r="F56" s="31">
        <f>'11A (N S) Sem2'!E21</f>
        <v>86</v>
      </c>
      <c r="G56" s="31">
        <f>'11A (N S) Sem2'!F21</f>
        <v>66</v>
      </c>
      <c r="H56" s="31">
        <f>'11A (N S) Sem2'!G21</f>
        <v>60</v>
      </c>
      <c r="I56" s="31">
        <f>'11A (N S) Sem2'!H21</f>
        <v>69</v>
      </c>
      <c r="J56" s="31">
        <f>'11A (N S) Sem2'!I21</f>
        <v>53</v>
      </c>
      <c r="K56" s="31">
        <f>'11A (N S) Sem2'!J21</f>
        <v>72</v>
      </c>
      <c r="L56" s="31">
        <f>'11A (N S) Sem2'!K21</f>
        <v>73</v>
      </c>
      <c r="M56" s="31">
        <f>'11A (N S) Sem2'!L21</f>
        <v>59</v>
      </c>
      <c r="N56" s="31">
        <f>'11A (N S) Sem2'!M21</f>
        <v>82</v>
      </c>
      <c r="O56" s="48">
        <f>'11A (N S) Sem2'!N21</f>
        <v>88</v>
      </c>
      <c r="P56" s="31">
        <f>'11A (N S) Sem2'!O21</f>
        <v>708</v>
      </c>
      <c r="Q56" s="30">
        <f>'11A (N S) Sem2'!P21</f>
        <v>70.8</v>
      </c>
      <c r="R56" s="30">
        <f>'11A (N S) Sem2'!Q21</f>
        <v>27</v>
      </c>
      <c r="S56" s="31">
        <f>'11A (N S) Sem2'!R21</f>
        <v>0</v>
      </c>
      <c r="T56" s="55">
        <f>'11A (N S) Sem2'!S21</f>
        <v>0</v>
      </c>
      <c r="U56" s="102"/>
    </row>
    <row r="57" spans="1:23" ht="20.100000000000001" customHeight="1" x14ac:dyDescent="0.3">
      <c r="A57" s="295"/>
      <c r="B57" s="293"/>
      <c r="C57" s="293">
        <v>16</v>
      </c>
      <c r="D57" s="293" t="s">
        <v>20</v>
      </c>
      <c r="E57" s="32" t="s">
        <v>16</v>
      </c>
      <c r="F57" s="31">
        <f>AVERAGE(F55:F56)</f>
        <v>82</v>
      </c>
      <c r="G57" s="31">
        <f t="shared" ref="G57:Q57" si="17">AVERAGE(G55:G56)</f>
        <v>61.5</v>
      </c>
      <c r="H57" s="31">
        <f t="shared" si="17"/>
        <v>57.5</v>
      </c>
      <c r="I57" s="31">
        <f t="shared" si="17"/>
        <v>63</v>
      </c>
      <c r="J57" s="31">
        <f t="shared" si="17"/>
        <v>50.5</v>
      </c>
      <c r="K57" s="31">
        <f t="shared" si="17"/>
        <v>69</v>
      </c>
      <c r="L57" s="31">
        <f t="shared" si="17"/>
        <v>69</v>
      </c>
      <c r="M57" s="31">
        <f t="shared" si="17"/>
        <v>70.5</v>
      </c>
      <c r="N57" s="31">
        <f t="shared" si="17"/>
        <v>83.5</v>
      </c>
      <c r="O57" s="31">
        <f t="shared" si="17"/>
        <v>85</v>
      </c>
      <c r="P57" s="31">
        <f t="shared" si="17"/>
        <v>691.5</v>
      </c>
      <c r="Q57" s="31">
        <f t="shared" si="17"/>
        <v>69.150000000000006</v>
      </c>
      <c r="R57" s="31">
        <f>'11A (N S) Avr'!$I$21</f>
        <v>27</v>
      </c>
      <c r="S57" s="31">
        <f>AVERAGE(S55:S56)</f>
        <v>0</v>
      </c>
      <c r="T57" s="55">
        <f>AVERAGE(T55:T56)</f>
        <v>0</v>
      </c>
      <c r="U57" s="102"/>
    </row>
    <row r="58" spans="1:23" ht="20.100000000000001" customHeight="1" x14ac:dyDescent="0.3">
      <c r="A58" s="295">
        <v>19</v>
      </c>
      <c r="B58" s="293"/>
      <c r="C58" s="293">
        <v>16</v>
      </c>
      <c r="D58" s="293" t="s">
        <v>20</v>
      </c>
      <c r="E58" s="32" t="s">
        <v>21</v>
      </c>
      <c r="F58" s="31">
        <f>'11A (N S) Sem1 '!E22</f>
        <v>77</v>
      </c>
      <c r="G58" s="31">
        <f>'11A (N S) Sem1 '!F22</f>
        <v>89</v>
      </c>
      <c r="H58" s="31">
        <f>'11A (N S) Sem1 '!G22</f>
        <v>53</v>
      </c>
      <c r="I58" s="31">
        <f>'11A (N S) Sem1 '!H22</f>
        <v>62</v>
      </c>
      <c r="J58" s="31">
        <f>'11A (N S) Sem1 '!I22</f>
        <v>71</v>
      </c>
      <c r="K58" s="31">
        <f>'11A (N S) Sem1 '!J22</f>
        <v>85</v>
      </c>
      <c r="L58" s="31">
        <f>'11A (N S) Sem1 '!K22</f>
        <v>84</v>
      </c>
      <c r="M58" s="31">
        <f>'11A (N S) Sem1 '!L22</f>
        <v>66</v>
      </c>
      <c r="N58" s="31">
        <f>'11A (N S) Sem1 '!M22</f>
        <v>93</v>
      </c>
      <c r="O58" s="48">
        <f>'11A (N S) Sem1 '!N22</f>
        <v>95</v>
      </c>
      <c r="P58" s="31">
        <f>'11A (N S) Sem1 '!O22</f>
        <v>775</v>
      </c>
      <c r="Q58" s="30">
        <f>'11A (N S) Sem1 '!P22</f>
        <v>77.5</v>
      </c>
      <c r="R58" s="30">
        <f>'11A (N S) Sem1 '!Q22</f>
        <v>20</v>
      </c>
      <c r="S58" s="31">
        <f>'11A (N S) Sem1 '!R22</f>
        <v>0</v>
      </c>
      <c r="T58" s="55">
        <f>'11A (N S) Sem1 '!S22</f>
        <v>0</v>
      </c>
      <c r="U58" s="102"/>
    </row>
    <row r="59" spans="1:23" ht="20.100000000000001" customHeight="1" x14ac:dyDescent="0.3">
      <c r="A59" s="295"/>
      <c r="B59" s="293"/>
      <c r="C59" s="293">
        <v>16</v>
      </c>
      <c r="D59" s="293" t="s">
        <v>20</v>
      </c>
      <c r="E59" s="32" t="s">
        <v>22</v>
      </c>
      <c r="F59" s="31">
        <f>'11A (N S) Sem2'!E22</f>
        <v>89</v>
      </c>
      <c r="G59" s="31">
        <f>'11A (N S) Sem2'!F22</f>
        <v>95</v>
      </c>
      <c r="H59" s="31">
        <f>'11A (N S) Sem2'!G22</f>
        <v>57</v>
      </c>
      <c r="I59" s="31">
        <f>'11A (N S) Sem2'!H22</f>
        <v>77</v>
      </c>
      <c r="J59" s="31">
        <f>'11A (N S) Sem2'!I22</f>
        <v>66</v>
      </c>
      <c r="K59" s="31">
        <f>'11A (N S) Sem2'!J22</f>
        <v>88</v>
      </c>
      <c r="L59" s="31">
        <f>'11A (N S) Sem2'!K22</f>
        <v>94</v>
      </c>
      <c r="M59" s="31">
        <f>'11A (N S) Sem2'!L22</f>
        <v>49</v>
      </c>
      <c r="N59" s="31">
        <f>'11A (N S) Sem2'!M22</f>
        <v>91</v>
      </c>
      <c r="O59" s="48">
        <f>'11A (N S) Sem2'!N22</f>
        <v>98</v>
      </c>
      <c r="P59" s="31">
        <f>'11A (N S) Sem2'!O22</f>
        <v>804</v>
      </c>
      <c r="Q59" s="30">
        <f>'11A (N S) Sem2'!P22</f>
        <v>80.400000000000006</v>
      </c>
      <c r="R59" s="30">
        <f>'11A (N S) Sem2'!Q22</f>
        <v>20</v>
      </c>
      <c r="S59" s="31">
        <f>'11A (N S) Sem2'!R22</f>
        <v>0</v>
      </c>
      <c r="T59" s="55">
        <f>'11A (N S) Sem2'!S22</f>
        <v>0</v>
      </c>
      <c r="U59" s="102"/>
    </row>
    <row r="60" spans="1:23" ht="20.100000000000001" customHeight="1" x14ac:dyDescent="0.3">
      <c r="A60" s="295"/>
      <c r="B60" s="293"/>
      <c r="C60" s="293">
        <v>16</v>
      </c>
      <c r="D60" s="293" t="s">
        <v>20</v>
      </c>
      <c r="E60" s="32" t="s">
        <v>16</v>
      </c>
      <c r="F60" s="31">
        <f>AVERAGE(F58:F59)</f>
        <v>83</v>
      </c>
      <c r="G60" s="31">
        <f t="shared" ref="G60:Q60" si="18">AVERAGE(G58:G59)</f>
        <v>92</v>
      </c>
      <c r="H60" s="31">
        <f t="shared" si="18"/>
        <v>55</v>
      </c>
      <c r="I60" s="31">
        <f t="shared" si="18"/>
        <v>69.5</v>
      </c>
      <c r="J60" s="31">
        <f t="shared" si="18"/>
        <v>68.5</v>
      </c>
      <c r="K60" s="31">
        <f t="shared" si="18"/>
        <v>86.5</v>
      </c>
      <c r="L60" s="31">
        <f t="shared" si="18"/>
        <v>89</v>
      </c>
      <c r="M60" s="31">
        <f t="shared" si="18"/>
        <v>57.5</v>
      </c>
      <c r="N60" s="31">
        <f t="shared" si="18"/>
        <v>92</v>
      </c>
      <c r="O60" s="31">
        <f t="shared" si="18"/>
        <v>96.5</v>
      </c>
      <c r="P60" s="31">
        <f t="shared" si="18"/>
        <v>789.5</v>
      </c>
      <c r="Q60" s="31">
        <f t="shared" si="18"/>
        <v>78.95</v>
      </c>
      <c r="R60" s="31">
        <f>'11A (N S) Avr'!$I$22</f>
        <v>21</v>
      </c>
      <c r="S60" s="31">
        <f>AVERAGE(S58:S59)</f>
        <v>0</v>
      </c>
      <c r="T60" s="55">
        <f>AVERAGE(T58:T59)</f>
        <v>0</v>
      </c>
      <c r="U60" s="102"/>
    </row>
    <row r="61" spans="1:23" ht="20.100000000000001" customHeight="1" x14ac:dyDescent="0.3">
      <c r="A61" s="295">
        <v>20</v>
      </c>
      <c r="B61" s="293"/>
      <c r="C61" s="293">
        <v>16</v>
      </c>
      <c r="D61" s="293" t="s">
        <v>20</v>
      </c>
      <c r="E61" s="32" t="s">
        <v>21</v>
      </c>
      <c r="F61" s="31">
        <f>'11A (N S) Sem1 '!E23</f>
        <v>83</v>
      </c>
      <c r="G61" s="31">
        <f>'11A (N S) Sem1 '!F23</f>
        <v>83</v>
      </c>
      <c r="H61" s="31">
        <f>'11A (N S) Sem1 '!G23</f>
        <v>67</v>
      </c>
      <c r="I61" s="31">
        <f>'11A (N S) Sem1 '!H23</f>
        <v>75</v>
      </c>
      <c r="J61" s="31">
        <f>'11A (N S) Sem1 '!I23</f>
        <v>64</v>
      </c>
      <c r="K61" s="31">
        <f>'11A (N S) Sem1 '!J23</f>
        <v>88</v>
      </c>
      <c r="L61" s="31">
        <f>'11A (N S) Sem1 '!K23</f>
        <v>81</v>
      </c>
      <c r="M61" s="31">
        <f>'11A (N S) Sem1 '!L23</f>
        <v>64</v>
      </c>
      <c r="N61" s="31">
        <f>'11A (N S) Sem1 '!M23</f>
        <v>94</v>
      </c>
      <c r="O61" s="48">
        <f>'11A (N S) Sem1 '!N23</f>
        <v>95</v>
      </c>
      <c r="P61" s="31">
        <f>'11A (N S) Sem1 '!O23</f>
        <v>794</v>
      </c>
      <c r="Q61" s="30">
        <f>'11A (N S) Sem1 '!P23</f>
        <v>79.400000000000006</v>
      </c>
      <c r="R61" s="30">
        <f>'11A (N S) Sem1 '!Q23</f>
        <v>18</v>
      </c>
      <c r="S61" s="31">
        <f>'11A (N S) Sem1 '!R23</f>
        <v>0</v>
      </c>
      <c r="T61" s="55">
        <f>'11A (N S) Sem1 '!S23</f>
        <v>0</v>
      </c>
      <c r="U61" s="102"/>
    </row>
    <row r="62" spans="1:23" ht="20.100000000000001" customHeight="1" x14ac:dyDescent="0.3">
      <c r="A62" s="295"/>
      <c r="B62" s="293"/>
      <c r="C62" s="293">
        <v>16</v>
      </c>
      <c r="D62" s="293" t="s">
        <v>20</v>
      </c>
      <c r="E62" s="32" t="s">
        <v>22</v>
      </c>
      <c r="F62" s="31">
        <f>'11A (N S) Sem2'!E23</f>
        <v>83</v>
      </c>
      <c r="G62" s="31">
        <f>'11A (N S) Sem2'!F23</f>
        <v>82</v>
      </c>
      <c r="H62" s="31">
        <f>'11A (N S) Sem2'!G23</f>
        <v>64</v>
      </c>
      <c r="I62" s="31">
        <f>'11A (N S) Sem2'!H23</f>
        <v>86</v>
      </c>
      <c r="J62" s="31">
        <f>'11A (N S) Sem2'!I23</f>
        <v>71</v>
      </c>
      <c r="K62" s="31">
        <f>'11A (N S) Sem2'!J23</f>
        <v>78</v>
      </c>
      <c r="L62" s="31">
        <f>'11A (N S) Sem2'!K23</f>
        <v>90</v>
      </c>
      <c r="M62" s="31">
        <f>'11A (N S) Sem2'!L23</f>
        <v>49</v>
      </c>
      <c r="N62" s="31">
        <f>'11A (N S) Sem2'!M23</f>
        <v>98</v>
      </c>
      <c r="O62" s="48">
        <f>'11A (N S) Sem2'!N23</f>
        <v>94</v>
      </c>
      <c r="P62" s="31">
        <f>'11A (N S) Sem2'!O23</f>
        <v>795</v>
      </c>
      <c r="Q62" s="30">
        <f>'11A (N S) Sem2'!P23</f>
        <v>79.5</v>
      </c>
      <c r="R62" s="30">
        <f>'11A (N S) Sem2'!Q23</f>
        <v>21</v>
      </c>
      <c r="S62" s="31">
        <f>'11A (N S) Sem2'!R23</f>
        <v>0</v>
      </c>
      <c r="T62" s="55">
        <f>'11A (N S) Sem2'!S23</f>
        <v>0</v>
      </c>
      <c r="U62" s="102"/>
    </row>
    <row r="63" spans="1:23" ht="20.100000000000001" customHeight="1" x14ac:dyDescent="0.3">
      <c r="A63" s="295"/>
      <c r="B63" s="293"/>
      <c r="C63" s="293">
        <v>16</v>
      </c>
      <c r="D63" s="293" t="s">
        <v>20</v>
      </c>
      <c r="E63" s="32" t="s">
        <v>16</v>
      </c>
      <c r="F63" s="31">
        <f>AVERAGE(F61:F62)</f>
        <v>83</v>
      </c>
      <c r="G63" s="31">
        <f t="shared" ref="G63:Q63" si="19">AVERAGE(G61:G62)</f>
        <v>82.5</v>
      </c>
      <c r="H63" s="31">
        <f t="shared" si="19"/>
        <v>65.5</v>
      </c>
      <c r="I63" s="31">
        <f t="shared" si="19"/>
        <v>80.5</v>
      </c>
      <c r="J63" s="31">
        <f t="shared" si="19"/>
        <v>67.5</v>
      </c>
      <c r="K63" s="31">
        <f t="shared" si="19"/>
        <v>83</v>
      </c>
      <c r="L63" s="31">
        <f t="shared" si="19"/>
        <v>85.5</v>
      </c>
      <c r="M63" s="31">
        <f t="shared" si="19"/>
        <v>56.5</v>
      </c>
      <c r="N63" s="31">
        <f t="shared" si="19"/>
        <v>96</v>
      </c>
      <c r="O63" s="31">
        <f t="shared" si="19"/>
        <v>94.5</v>
      </c>
      <c r="P63" s="31">
        <f t="shared" si="19"/>
        <v>794.5</v>
      </c>
      <c r="Q63" s="31">
        <f t="shared" si="19"/>
        <v>79.45</v>
      </c>
      <c r="R63" s="31">
        <f>'11A (N S) Avr'!$I$23</f>
        <v>19</v>
      </c>
      <c r="S63" s="31">
        <f>AVERAGE(S61:S62)</f>
        <v>0</v>
      </c>
      <c r="T63" s="55">
        <f>AVERAGE(T61:T62)</f>
        <v>0</v>
      </c>
      <c r="U63" s="102"/>
    </row>
    <row r="64" spans="1:23" ht="20.100000000000001" customHeight="1" x14ac:dyDescent="0.3">
      <c r="A64" s="295">
        <v>21</v>
      </c>
      <c r="B64" s="293"/>
      <c r="C64" s="293">
        <v>16</v>
      </c>
      <c r="D64" s="293" t="s">
        <v>20</v>
      </c>
      <c r="E64" s="32" t="s">
        <v>21</v>
      </c>
      <c r="F64" s="31">
        <f>'11A (N S) Sem1 '!E24</f>
        <v>77</v>
      </c>
      <c r="G64" s="31">
        <f>'11A (N S) Sem1 '!F24</f>
        <v>90</v>
      </c>
      <c r="H64" s="31">
        <f>'11A (N S) Sem1 '!G24</f>
        <v>75</v>
      </c>
      <c r="I64" s="31">
        <f>'11A (N S) Sem1 '!H24</f>
        <v>77</v>
      </c>
      <c r="J64" s="31">
        <f>'11A (N S) Sem1 '!I24</f>
        <v>82</v>
      </c>
      <c r="K64" s="31">
        <f>'11A (N S) Sem1 '!J24</f>
        <v>96</v>
      </c>
      <c r="L64" s="31">
        <f>'11A (N S) Sem1 '!K24</f>
        <v>73</v>
      </c>
      <c r="M64" s="31">
        <f>'11A (N S) Sem1 '!L24</f>
        <v>84</v>
      </c>
      <c r="N64" s="31">
        <f>'11A (N S) Sem1 '!M24</f>
        <v>96</v>
      </c>
      <c r="O64" s="48">
        <f>'11A (N S) Sem1 '!N24</f>
        <v>98</v>
      </c>
      <c r="P64" s="31">
        <f>'11A (N S) Sem1 '!O24</f>
        <v>848</v>
      </c>
      <c r="Q64" s="30">
        <f>'11A (N S) Sem1 '!P24</f>
        <v>84.8</v>
      </c>
      <c r="R64" s="30">
        <f>'11A (N S) Sem1 '!Q24</f>
        <v>10</v>
      </c>
      <c r="S64" s="31">
        <f>'11A (N S) Sem1 '!R24</f>
        <v>0</v>
      </c>
      <c r="T64" s="55">
        <f>'11A (N S) Sem1 '!S24</f>
        <v>0</v>
      </c>
      <c r="U64" s="102"/>
    </row>
    <row r="65" spans="1:21" ht="20.100000000000001" customHeight="1" x14ac:dyDescent="0.3">
      <c r="A65" s="295"/>
      <c r="B65" s="293"/>
      <c r="C65" s="293">
        <v>16</v>
      </c>
      <c r="D65" s="293" t="s">
        <v>20</v>
      </c>
      <c r="E65" s="32" t="s">
        <v>22</v>
      </c>
      <c r="F65" s="31">
        <f>'11A (N S) Sem2'!E24</f>
        <v>84</v>
      </c>
      <c r="G65" s="31">
        <f>'11A (N S) Sem2'!F24</f>
        <v>90</v>
      </c>
      <c r="H65" s="31">
        <f>'11A (N S) Sem2'!G24</f>
        <v>77</v>
      </c>
      <c r="I65" s="31">
        <f>'11A (N S) Sem2'!H24</f>
        <v>83</v>
      </c>
      <c r="J65" s="31">
        <f>'11A (N S) Sem2'!I24</f>
        <v>80</v>
      </c>
      <c r="K65" s="31">
        <f>'11A (N S) Sem2'!J24</f>
        <v>90</v>
      </c>
      <c r="L65" s="31">
        <f>'11A (N S) Sem2'!K24</f>
        <v>92</v>
      </c>
      <c r="M65" s="31">
        <f>'11A (N S) Sem2'!L24</f>
        <v>62</v>
      </c>
      <c r="N65" s="31">
        <f>'11A (N S) Sem2'!M24</f>
        <v>90</v>
      </c>
      <c r="O65" s="48">
        <f>'11A (N S) Sem2'!N24</f>
        <v>100</v>
      </c>
      <c r="P65" s="31">
        <f>'11A (N S) Sem2'!O24</f>
        <v>848</v>
      </c>
      <c r="Q65" s="30">
        <f>'11A (N S) Sem2'!P24</f>
        <v>84.8</v>
      </c>
      <c r="R65" s="30">
        <f>'11A (N S) Sem2'!Q24</f>
        <v>15</v>
      </c>
      <c r="S65" s="31">
        <f>'11A (N S) Sem2'!R24</f>
        <v>0</v>
      </c>
      <c r="T65" s="55">
        <f>'11A (N S) Sem2'!S24</f>
        <v>0</v>
      </c>
      <c r="U65" s="102"/>
    </row>
    <row r="66" spans="1:21" ht="20.100000000000001" customHeight="1" x14ac:dyDescent="0.3">
      <c r="A66" s="295"/>
      <c r="B66" s="293"/>
      <c r="C66" s="293">
        <v>16</v>
      </c>
      <c r="D66" s="293" t="s">
        <v>20</v>
      </c>
      <c r="E66" s="32" t="s">
        <v>16</v>
      </c>
      <c r="F66" s="31">
        <f>AVERAGE(F64:F65)</f>
        <v>80.5</v>
      </c>
      <c r="G66" s="31">
        <f t="shared" ref="G66:Q66" si="20">AVERAGE(G64:G65)</f>
        <v>90</v>
      </c>
      <c r="H66" s="31">
        <f t="shared" si="20"/>
        <v>76</v>
      </c>
      <c r="I66" s="31">
        <f t="shared" si="20"/>
        <v>80</v>
      </c>
      <c r="J66" s="31">
        <f t="shared" si="20"/>
        <v>81</v>
      </c>
      <c r="K66" s="31">
        <f t="shared" si="20"/>
        <v>93</v>
      </c>
      <c r="L66" s="31">
        <f t="shared" si="20"/>
        <v>82.5</v>
      </c>
      <c r="M66" s="31">
        <f t="shared" si="20"/>
        <v>73</v>
      </c>
      <c r="N66" s="31">
        <f t="shared" si="20"/>
        <v>93</v>
      </c>
      <c r="O66" s="31">
        <f t="shared" si="20"/>
        <v>99</v>
      </c>
      <c r="P66" s="31">
        <f t="shared" si="20"/>
        <v>848</v>
      </c>
      <c r="Q66" s="31">
        <f t="shared" si="20"/>
        <v>84.8</v>
      </c>
      <c r="R66" s="31">
        <f>'11A (N S) Avr'!$I$24</f>
        <v>14</v>
      </c>
      <c r="S66" s="31">
        <f>AVERAGE(S64:S65)</f>
        <v>0</v>
      </c>
      <c r="T66" s="55">
        <f>AVERAGE(T64:T65)</f>
        <v>0</v>
      </c>
      <c r="U66" s="102"/>
    </row>
    <row r="67" spans="1:21" ht="20.100000000000001" customHeight="1" x14ac:dyDescent="0.3">
      <c r="A67" s="295">
        <v>22</v>
      </c>
      <c r="B67" s="293"/>
      <c r="C67" s="293">
        <v>16</v>
      </c>
      <c r="D67" s="293" t="s">
        <v>23</v>
      </c>
      <c r="E67" s="32" t="s">
        <v>21</v>
      </c>
      <c r="F67" s="31">
        <f>'11A (N S) Sem1 '!E25</f>
        <v>84</v>
      </c>
      <c r="G67" s="31">
        <f>'11A (N S) Sem1 '!F25</f>
        <v>86</v>
      </c>
      <c r="H67" s="31">
        <f>'11A (N S) Sem1 '!G25</f>
        <v>71</v>
      </c>
      <c r="I67" s="31">
        <f>'11A (N S) Sem1 '!H25</f>
        <v>79</v>
      </c>
      <c r="J67" s="31">
        <f>'11A (N S) Sem1 '!I25</f>
        <v>73</v>
      </c>
      <c r="K67" s="31">
        <f>'11A (N S) Sem1 '!J25</f>
        <v>91</v>
      </c>
      <c r="L67" s="31">
        <f>'11A (N S) Sem1 '!K25</f>
        <v>83</v>
      </c>
      <c r="M67" s="31">
        <f>'11A (N S) Sem1 '!L25</f>
        <v>77</v>
      </c>
      <c r="N67" s="31">
        <f>'11A (N S) Sem1 '!M25</f>
        <v>90</v>
      </c>
      <c r="O67" s="48">
        <f>'11A (N S) Sem1 '!N25</f>
        <v>100</v>
      </c>
      <c r="P67" s="31">
        <f>'11A (N S) Sem1 '!O25</f>
        <v>834</v>
      </c>
      <c r="Q67" s="30">
        <f>'11A (N S) Sem1 '!P25</f>
        <v>83.4</v>
      </c>
      <c r="R67" s="30">
        <f>'11A (N S) Sem1 '!Q25</f>
        <v>13</v>
      </c>
      <c r="S67" s="31">
        <f>'11A (N S) Sem1 '!R25</f>
        <v>0</v>
      </c>
      <c r="T67" s="55">
        <f>'11A (N S) Sem1 '!S25</f>
        <v>0</v>
      </c>
      <c r="U67" s="102"/>
    </row>
    <row r="68" spans="1:21" ht="20.100000000000001" customHeight="1" x14ac:dyDescent="0.3">
      <c r="A68" s="295"/>
      <c r="B68" s="293"/>
      <c r="C68" s="293">
        <v>16</v>
      </c>
      <c r="D68" s="293" t="s">
        <v>23</v>
      </c>
      <c r="E68" s="32" t="s">
        <v>22</v>
      </c>
      <c r="F68" s="31">
        <f>'11A (N S) Sem2'!E25</f>
        <v>98</v>
      </c>
      <c r="G68" s="31">
        <f>'11A (N S) Sem2'!F25</f>
        <v>94</v>
      </c>
      <c r="H68" s="31">
        <f>'11A (N S) Sem2'!G25</f>
        <v>80</v>
      </c>
      <c r="I68" s="31">
        <f>'11A (N S) Sem2'!H25</f>
        <v>85</v>
      </c>
      <c r="J68" s="31">
        <f>'11A (N S) Sem2'!I25</f>
        <v>74</v>
      </c>
      <c r="K68" s="31">
        <f>'11A (N S) Sem2'!J25</f>
        <v>94</v>
      </c>
      <c r="L68" s="31">
        <f>'11A (N S) Sem2'!K25</f>
        <v>94</v>
      </c>
      <c r="M68" s="31">
        <f>'11A (N S) Sem2'!L25</f>
        <v>97</v>
      </c>
      <c r="N68" s="31">
        <f>'11A (N S) Sem2'!M25</f>
        <v>88</v>
      </c>
      <c r="O68" s="48">
        <f>'11A (N S) Sem2'!N25</f>
        <v>94</v>
      </c>
      <c r="P68" s="31">
        <f>'11A (N S) Sem2'!O25</f>
        <v>898</v>
      </c>
      <c r="Q68" s="30">
        <f>'11A (N S) Sem2'!P25</f>
        <v>89.8</v>
      </c>
      <c r="R68" s="30">
        <f>'11A (N S) Sem2'!Q25</f>
        <v>8</v>
      </c>
      <c r="S68" s="31">
        <f>'11A (N S) Sem2'!R25</f>
        <v>0</v>
      </c>
      <c r="T68" s="55">
        <f>'11A (N S) Sem2'!S25</f>
        <v>0</v>
      </c>
      <c r="U68" s="102"/>
    </row>
    <row r="69" spans="1:21" ht="20.100000000000001" customHeight="1" x14ac:dyDescent="0.3">
      <c r="A69" s="295"/>
      <c r="B69" s="293"/>
      <c r="C69" s="293">
        <v>16</v>
      </c>
      <c r="D69" s="293" t="s">
        <v>23</v>
      </c>
      <c r="E69" s="32" t="s">
        <v>16</v>
      </c>
      <c r="F69" s="31">
        <f>AVERAGE(F67:F68)</f>
        <v>91</v>
      </c>
      <c r="G69" s="31">
        <f t="shared" ref="G69:Q69" si="21">AVERAGE(G67:G68)</f>
        <v>90</v>
      </c>
      <c r="H69" s="31">
        <f t="shared" si="21"/>
        <v>75.5</v>
      </c>
      <c r="I69" s="31">
        <f t="shared" si="21"/>
        <v>82</v>
      </c>
      <c r="J69" s="31">
        <f t="shared" si="21"/>
        <v>73.5</v>
      </c>
      <c r="K69" s="31">
        <f t="shared" si="21"/>
        <v>92.5</v>
      </c>
      <c r="L69" s="31">
        <f t="shared" si="21"/>
        <v>88.5</v>
      </c>
      <c r="M69" s="31">
        <f t="shared" si="21"/>
        <v>87</v>
      </c>
      <c r="N69" s="31">
        <f t="shared" si="21"/>
        <v>89</v>
      </c>
      <c r="O69" s="31">
        <f t="shared" si="21"/>
        <v>97</v>
      </c>
      <c r="P69" s="31">
        <f t="shared" si="21"/>
        <v>866</v>
      </c>
      <c r="Q69" s="31">
        <f t="shared" si="21"/>
        <v>86.6</v>
      </c>
      <c r="R69" s="31">
        <f>'11A (N S) Avr'!$I$25</f>
        <v>10</v>
      </c>
      <c r="S69" s="31">
        <f>AVERAGE(S67:S68)</f>
        <v>0</v>
      </c>
      <c r="T69" s="55">
        <f>AVERAGE(T67:T68)</f>
        <v>0</v>
      </c>
      <c r="U69" s="102"/>
    </row>
    <row r="70" spans="1:21" ht="20.100000000000001" customHeight="1" x14ac:dyDescent="0.3">
      <c r="A70" s="295">
        <v>23</v>
      </c>
      <c r="B70" s="293"/>
      <c r="C70" s="293">
        <v>15</v>
      </c>
      <c r="D70" s="293" t="s">
        <v>23</v>
      </c>
      <c r="E70" s="32" t="s">
        <v>21</v>
      </c>
      <c r="F70" s="31">
        <f>'11A (N S) Sem1 '!E26</f>
        <v>75</v>
      </c>
      <c r="G70" s="31">
        <f>'11A (N S) Sem1 '!F26</f>
        <v>77</v>
      </c>
      <c r="H70" s="31">
        <f>'11A (N S) Sem1 '!G26</f>
        <v>63</v>
      </c>
      <c r="I70" s="31">
        <f>'11A (N S) Sem1 '!H26</f>
        <v>77</v>
      </c>
      <c r="J70" s="31">
        <f>'11A (N S) Sem1 '!I26</f>
        <v>65</v>
      </c>
      <c r="K70" s="31">
        <f>'11A (N S) Sem1 '!J26</f>
        <v>91</v>
      </c>
      <c r="L70" s="31">
        <f>'11A (N S) Sem1 '!K26</f>
        <v>68</v>
      </c>
      <c r="M70" s="31">
        <f>'11A (N S) Sem1 '!L26</f>
        <v>90</v>
      </c>
      <c r="N70" s="31">
        <f>'11A (N S) Sem1 '!M26</f>
        <v>95</v>
      </c>
      <c r="O70" s="48">
        <f>'11A (N S) Sem1 '!N26</f>
        <v>100</v>
      </c>
      <c r="P70" s="31">
        <f>'11A (N S) Sem1 '!O26</f>
        <v>801</v>
      </c>
      <c r="Q70" s="30">
        <f>'11A (N S) Sem1 '!P26</f>
        <v>80.099999999999994</v>
      </c>
      <c r="R70" s="30">
        <f>'11A (N S) Sem1 '!Q26</f>
        <v>17</v>
      </c>
      <c r="S70" s="31">
        <f>'11A (N S) Sem1 '!R26</f>
        <v>0</v>
      </c>
      <c r="T70" s="55">
        <f>'11A (N S) Sem1 '!S26</f>
        <v>0</v>
      </c>
      <c r="U70" s="102"/>
    </row>
    <row r="71" spans="1:21" ht="20.100000000000001" customHeight="1" x14ac:dyDescent="0.3">
      <c r="A71" s="295"/>
      <c r="B71" s="293"/>
      <c r="C71" s="293">
        <v>15</v>
      </c>
      <c r="D71" s="293" t="s">
        <v>23</v>
      </c>
      <c r="E71" s="32" t="s">
        <v>22</v>
      </c>
      <c r="F71" s="31">
        <f>'11A (N S) Sem2'!E26</f>
        <v>85</v>
      </c>
      <c r="G71" s="31">
        <f>'11A (N S) Sem2'!F26</f>
        <v>74</v>
      </c>
      <c r="H71" s="31">
        <f>'11A (N S) Sem2'!G26</f>
        <v>62</v>
      </c>
      <c r="I71" s="31">
        <f>'11A (N S) Sem2'!H26</f>
        <v>78</v>
      </c>
      <c r="J71" s="31">
        <f>'11A (N S) Sem2'!I26</f>
        <v>68</v>
      </c>
      <c r="K71" s="31">
        <f>'11A (N S) Sem2'!J26</f>
        <v>87</v>
      </c>
      <c r="L71" s="31">
        <f>'11A (N S) Sem2'!K26</f>
        <v>85</v>
      </c>
      <c r="M71" s="31">
        <f>'11A (N S) Sem2'!L26</f>
        <v>99</v>
      </c>
      <c r="N71" s="31">
        <f>'11A (N S) Sem2'!M26</f>
        <v>89</v>
      </c>
      <c r="O71" s="48">
        <f>'11A (N S) Sem2'!N26</f>
        <v>94</v>
      </c>
      <c r="P71" s="31">
        <f>'11A (N S) Sem2'!O26</f>
        <v>821</v>
      </c>
      <c r="Q71" s="30">
        <f>'11A (N S) Sem2'!P26</f>
        <v>82.1</v>
      </c>
      <c r="R71" s="30">
        <f>'11A (N S) Sem2'!Q26</f>
        <v>18</v>
      </c>
      <c r="S71" s="31">
        <f>'11A (N S) Sem2'!R26</f>
        <v>0</v>
      </c>
      <c r="T71" s="55">
        <f>'11A (N S) Sem2'!S26</f>
        <v>0</v>
      </c>
      <c r="U71" s="102"/>
    </row>
    <row r="72" spans="1:21" ht="20.100000000000001" customHeight="1" x14ac:dyDescent="0.3">
      <c r="A72" s="295"/>
      <c r="B72" s="293"/>
      <c r="C72" s="293">
        <v>15</v>
      </c>
      <c r="D72" s="293" t="s">
        <v>23</v>
      </c>
      <c r="E72" s="32" t="s">
        <v>16</v>
      </c>
      <c r="F72" s="31">
        <f>AVERAGE(F70:F71)</f>
        <v>80</v>
      </c>
      <c r="G72" s="31">
        <f t="shared" ref="G72:Q72" si="22">AVERAGE(G70:G71)</f>
        <v>75.5</v>
      </c>
      <c r="H72" s="31">
        <f t="shared" si="22"/>
        <v>62.5</v>
      </c>
      <c r="I72" s="31">
        <f t="shared" si="22"/>
        <v>77.5</v>
      </c>
      <c r="J72" s="31">
        <f t="shared" si="22"/>
        <v>66.5</v>
      </c>
      <c r="K72" s="31">
        <f t="shared" si="22"/>
        <v>89</v>
      </c>
      <c r="L72" s="31">
        <f t="shared" si="22"/>
        <v>76.5</v>
      </c>
      <c r="M72" s="31">
        <f t="shared" si="22"/>
        <v>94.5</v>
      </c>
      <c r="N72" s="31">
        <f t="shared" si="22"/>
        <v>92</v>
      </c>
      <c r="O72" s="31">
        <f t="shared" si="22"/>
        <v>97</v>
      </c>
      <c r="P72" s="31">
        <f t="shared" si="22"/>
        <v>811</v>
      </c>
      <c r="Q72" s="31">
        <f t="shared" si="22"/>
        <v>81.099999999999994</v>
      </c>
      <c r="R72" s="31">
        <f>'11A (N S) Avr'!$I$26</f>
        <v>17</v>
      </c>
      <c r="S72" s="31">
        <f>AVERAGE(S70:S71)</f>
        <v>0</v>
      </c>
      <c r="T72" s="55">
        <f>AVERAGE(T70:T71)</f>
        <v>0</v>
      </c>
      <c r="U72" s="102"/>
    </row>
    <row r="73" spans="1:21" ht="20.100000000000001" customHeight="1" x14ac:dyDescent="0.3">
      <c r="A73" s="295">
        <v>24</v>
      </c>
      <c r="B73" s="293"/>
      <c r="C73" s="293">
        <v>16</v>
      </c>
      <c r="D73" s="293" t="s">
        <v>23</v>
      </c>
      <c r="E73" s="32" t="s">
        <v>21</v>
      </c>
      <c r="F73" s="31">
        <f>'11A (N S) Sem1 '!E27</f>
        <v>91</v>
      </c>
      <c r="G73" s="31">
        <f>'11A (N S) Sem1 '!F27</f>
        <v>97</v>
      </c>
      <c r="H73" s="31">
        <f>'11A (N S) Sem1 '!G27</f>
        <v>100</v>
      </c>
      <c r="I73" s="31">
        <f>'11A (N S) Sem1 '!H27</f>
        <v>100</v>
      </c>
      <c r="J73" s="31">
        <f>'11A (N S) Sem1 '!I27</f>
        <v>100</v>
      </c>
      <c r="K73" s="31">
        <f>'11A (N S) Sem1 '!J27</f>
        <v>100</v>
      </c>
      <c r="L73" s="31">
        <f>'11A (N S) Sem1 '!K27</f>
        <v>89</v>
      </c>
      <c r="M73" s="31">
        <f>'11A (N S) Sem1 '!L27</f>
        <v>100</v>
      </c>
      <c r="N73" s="31">
        <f>'11A (N S) Sem1 '!M27</f>
        <v>100</v>
      </c>
      <c r="O73" s="48">
        <f>'11A (N S) Sem1 '!N27</f>
        <v>98</v>
      </c>
      <c r="P73" s="31">
        <f>'11A (N S) Sem1 '!O27</f>
        <v>975</v>
      </c>
      <c r="Q73" s="30">
        <f>'11A (N S) Sem1 '!P27</f>
        <v>97.5</v>
      </c>
      <c r="R73" s="30">
        <f>'11A (N S) Sem1 '!Q27</f>
        <v>1</v>
      </c>
      <c r="S73" s="31">
        <f>'11A (N S) Sem1 '!R27</f>
        <v>0</v>
      </c>
      <c r="T73" s="55">
        <f>'11A (N S) Sem1 '!S27</f>
        <v>0</v>
      </c>
      <c r="U73" s="102"/>
    </row>
    <row r="74" spans="1:21" ht="20.100000000000001" customHeight="1" x14ac:dyDescent="0.3">
      <c r="A74" s="295"/>
      <c r="B74" s="293"/>
      <c r="C74" s="293">
        <v>16</v>
      </c>
      <c r="D74" s="293" t="s">
        <v>23</v>
      </c>
      <c r="E74" s="32" t="s">
        <v>22</v>
      </c>
      <c r="F74" s="31">
        <f>'11A (N S) Sem2'!E27</f>
        <v>92</v>
      </c>
      <c r="G74" s="31">
        <f>'11A (N S) Sem2'!F27</f>
        <v>99</v>
      </c>
      <c r="H74" s="31">
        <f>'11A (N S) Sem2'!G27</f>
        <v>100</v>
      </c>
      <c r="I74" s="31">
        <f>'11A (N S) Sem2'!H27</f>
        <v>100</v>
      </c>
      <c r="J74" s="31">
        <f>'11A (N S) Sem2'!I27</f>
        <v>100</v>
      </c>
      <c r="K74" s="31">
        <f>'11A (N S) Sem2'!J27</f>
        <v>100</v>
      </c>
      <c r="L74" s="31">
        <f>'11A (N S) Sem2'!K27</f>
        <v>99</v>
      </c>
      <c r="M74" s="31">
        <f>'11A (N S) Sem2'!L27</f>
        <v>100</v>
      </c>
      <c r="N74" s="31">
        <f>'11A (N S) Sem2'!M27</f>
        <v>96</v>
      </c>
      <c r="O74" s="48">
        <f>'11A (N S) Sem2'!N27</f>
        <v>100</v>
      </c>
      <c r="P74" s="31">
        <f>'11A (N S) Sem2'!O27</f>
        <v>986</v>
      </c>
      <c r="Q74" s="30">
        <f>'11A (N S) Sem2'!P27</f>
        <v>98.6</v>
      </c>
      <c r="R74" s="30">
        <f>'11A (N S) Sem2'!Q27</f>
        <v>1</v>
      </c>
      <c r="S74" s="31">
        <f>'11A (N S) Sem2'!R27</f>
        <v>0</v>
      </c>
      <c r="T74" s="55">
        <f>'11A (N S) Sem2'!S27</f>
        <v>0</v>
      </c>
      <c r="U74" s="102"/>
    </row>
    <row r="75" spans="1:21" ht="20.100000000000001" customHeight="1" x14ac:dyDescent="0.3">
      <c r="A75" s="295"/>
      <c r="B75" s="293"/>
      <c r="C75" s="293">
        <v>16</v>
      </c>
      <c r="D75" s="293" t="s">
        <v>23</v>
      </c>
      <c r="E75" s="32" t="s">
        <v>16</v>
      </c>
      <c r="F75" s="31">
        <f>AVERAGE(F73:F74)</f>
        <v>91.5</v>
      </c>
      <c r="G75" s="31">
        <f t="shared" ref="G75:Q75" si="23">AVERAGE(G73:G74)</f>
        <v>98</v>
      </c>
      <c r="H75" s="31">
        <f t="shared" si="23"/>
        <v>100</v>
      </c>
      <c r="I75" s="31">
        <f t="shared" si="23"/>
        <v>100</v>
      </c>
      <c r="J75" s="31">
        <f t="shared" si="23"/>
        <v>100</v>
      </c>
      <c r="K75" s="31">
        <f t="shared" si="23"/>
        <v>100</v>
      </c>
      <c r="L75" s="31">
        <f t="shared" si="23"/>
        <v>94</v>
      </c>
      <c r="M75" s="31">
        <f t="shared" si="23"/>
        <v>100</v>
      </c>
      <c r="N75" s="31">
        <f t="shared" si="23"/>
        <v>98</v>
      </c>
      <c r="O75" s="31">
        <f t="shared" si="23"/>
        <v>99</v>
      </c>
      <c r="P75" s="31">
        <f t="shared" si="23"/>
        <v>980.5</v>
      </c>
      <c r="Q75" s="31">
        <f t="shared" si="23"/>
        <v>98.05</v>
      </c>
      <c r="R75" s="31">
        <f>'11A (N S) Avr'!$I$27</f>
        <v>1</v>
      </c>
      <c r="S75" s="31">
        <f>AVERAGE(S73:S74)</f>
        <v>0</v>
      </c>
      <c r="T75" s="55">
        <f>AVERAGE(T73:T74)</f>
        <v>0</v>
      </c>
      <c r="U75" s="102"/>
    </row>
    <row r="76" spans="1:21" ht="20.100000000000001" customHeight="1" x14ac:dyDescent="0.3">
      <c r="A76" s="295">
        <v>25</v>
      </c>
      <c r="B76" s="293"/>
      <c r="C76" s="293">
        <v>16</v>
      </c>
      <c r="D76" s="293" t="s">
        <v>23</v>
      </c>
      <c r="E76" s="32" t="s">
        <v>21</v>
      </c>
      <c r="F76" s="31">
        <f>'11A (N S) Sem1 '!E28</f>
        <v>87</v>
      </c>
      <c r="G76" s="31">
        <f>'11A (N S) Sem1 '!F28</f>
        <v>97</v>
      </c>
      <c r="H76" s="31">
        <f>'11A (N S) Sem1 '!G28</f>
        <v>87</v>
      </c>
      <c r="I76" s="31">
        <f>'11A (N S) Sem1 '!H28</f>
        <v>95</v>
      </c>
      <c r="J76" s="31">
        <f>'11A (N S) Sem1 '!I28</f>
        <v>77</v>
      </c>
      <c r="K76" s="31">
        <f>'11A (N S) Sem1 '!J28</f>
        <v>100</v>
      </c>
      <c r="L76" s="31">
        <f>'11A (N S) Sem1 '!K28</f>
        <v>88</v>
      </c>
      <c r="M76" s="31">
        <f>'11A (N S) Sem1 '!L28</f>
        <v>91</v>
      </c>
      <c r="N76" s="31">
        <f>'11A (N S) Sem1 '!M28</f>
        <v>100</v>
      </c>
      <c r="O76" s="48">
        <f>'11A (N S) Sem1 '!N28</f>
        <v>100</v>
      </c>
      <c r="P76" s="31">
        <f>'11A (N S) Sem1 '!O28</f>
        <v>922</v>
      </c>
      <c r="Q76" s="30">
        <f>'11A (N S) Sem1 '!P28</f>
        <v>92.2</v>
      </c>
      <c r="R76" s="30">
        <f>'11A (N S) Sem1 '!Q28</f>
        <v>2</v>
      </c>
      <c r="S76" s="31">
        <f>'11A (N S) Sem1 '!R28</f>
        <v>0</v>
      </c>
      <c r="T76" s="55">
        <f>'11A (N S) Sem1 '!S28</f>
        <v>0</v>
      </c>
      <c r="U76" s="102"/>
    </row>
    <row r="77" spans="1:21" ht="20.100000000000001" customHeight="1" x14ac:dyDescent="0.3">
      <c r="A77" s="295"/>
      <c r="B77" s="293"/>
      <c r="C77" s="293">
        <v>16</v>
      </c>
      <c r="D77" s="293" t="s">
        <v>23</v>
      </c>
      <c r="E77" s="32" t="s">
        <v>22</v>
      </c>
      <c r="F77" s="31">
        <f>'11A (N S) Sem2'!E28</f>
        <v>95</v>
      </c>
      <c r="G77" s="31">
        <f>'11A (N S) Sem2'!F28</f>
        <v>99</v>
      </c>
      <c r="H77" s="31">
        <f>'11A (N S) Sem2'!G28</f>
        <v>89</v>
      </c>
      <c r="I77" s="31">
        <f>'11A (N S) Sem2'!H28</f>
        <v>100</v>
      </c>
      <c r="J77" s="31">
        <f>'11A (N S) Sem2'!I28</f>
        <v>96</v>
      </c>
      <c r="K77" s="31">
        <f>'11A (N S) Sem2'!J28</f>
        <v>100</v>
      </c>
      <c r="L77" s="31">
        <f>'11A (N S) Sem2'!K28</f>
        <v>99</v>
      </c>
      <c r="M77" s="31">
        <f>'11A (N S) Sem2'!L28</f>
        <v>100</v>
      </c>
      <c r="N77" s="31">
        <f>'11A (N S) Sem2'!M28</f>
        <v>98</v>
      </c>
      <c r="O77" s="48">
        <f>'11A (N S) Sem2'!N28</f>
        <v>97</v>
      </c>
      <c r="P77" s="31">
        <f>'11A (N S) Sem2'!O28</f>
        <v>973</v>
      </c>
      <c r="Q77" s="30">
        <f>'11A (N S) Sem2'!P28</f>
        <v>97.3</v>
      </c>
      <c r="R77" s="30">
        <f>'11A (N S) Sem2'!Q28</f>
        <v>2</v>
      </c>
      <c r="S77" s="31">
        <f>'11A (N S) Sem2'!R28</f>
        <v>0</v>
      </c>
      <c r="T77" s="55">
        <f>'11A (N S) Sem2'!S28</f>
        <v>0</v>
      </c>
      <c r="U77" s="102"/>
    </row>
    <row r="78" spans="1:21" ht="20.100000000000001" customHeight="1" x14ac:dyDescent="0.3">
      <c r="A78" s="295"/>
      <c r="B78" s="293"/>
      <c r="C78" s="293">
        <v>16</v>
      </c>
      <c r="D78" s="293" t="s">
        <v>23</v>
      </c>
      <c r="E78" s="32" t="s">
        <v>16</v>
      </c>
      <c r="F78" s="31">
        <f>AVERAGE(F76:F77)</f>
        <v>91</v>
      </c>
      <c r="G78" s="31">
        <f t="shared" ref="G78:Q78" si="24">AVERAGE(G76:G77)</f>
        <v>98</v>
      </c>
      <c r="H78" s="31">
        <f t="shared" si="24"/>
        <v>88</v>
      </c>
      <c r="I78" s="31">
        <f t="shared" si="24"/>
        <v>97.5</v>
      </c>
      <c r="J78" s="31">
        <f t="shared" si="24"/>
        <v>86.5</v>
      </c>
      <c r="K78" s="31">
        <f t="shared" si="24"/>
        <v>100</v>
      </c>
      <c r="L78" s="31">
        <f t="shared" si="24"/>
        <v>93.5</v>
      </c>
      <c r="M78" s="31">
        <f t="shared" si="24"/>
        <v>95.5</v>
      </c>
      <c r="N78" s="31">
        <f t="shared" si="24"/>
        <v>99</v>
      </c>
      <c r="O78" s="31">
        <f t="shared" si="24"/>
        <v>98.5</v>
      </c>
      <c r="P78" s="31">
        <f t="shared" si="24"/>
        <v>947.5</v>
      </c>
      <c r="Q78" s="31">
        <f t="shared" si="24"/>
        <v>94.75</v>
      </c>
      <c r="R78" s="31">
        <f>'11A (N S) Avr'!$I$28</f>
        <v>2</v>
      </c>
      <c r="S78" s="31">
        <f>AVERAGE(S76:S77)</f>
        <v>0</v>
      </c>
      <c r="T78" s="55">
        <f>AVERAGE(T76:T77)</f>
        <v>0</v>
      </c>
      <c r="U78" s="102"/>
    </row>
    <row r="79" spans="1:21" ht="20.100000000000001" customHeight="1" x14ac:dyDescent="0.3">
      <c r="A79" s="295">
        <v>26</v>
      </c>
      <c r="B79" s="293"/>
      <c r="C79" s="293">
        <v>16</v>
      </c>
      <c r="D79" s="293" t="s">
        <v>23</v>
      </c>
      <c r="E79" s="32" t="s">
        <v>21</v>
      </c>
      <c r="F79" s="31">
        <f>'11A (N S) Sem1 '!E29</f>
        <v>81</v>
      </c>
      <c r="G79" s="31">
        <f>'11A (N S) Sem1 '!F29</f>
        <v>77</v>
      </c>
      <c r="H79" s="31">
        <f>'11A (N S) Sem1 '!G29</f>
        <v>84</v>
      </c>
      <c r="I79" s="31">
        <f>'11A (N S) Sem1 '!H29</f>
        <v>71</v>
      </c>
      <c r="J79" s="31">
        <f>'11A (N S) Sem1 '!I29</f>
        <v>68</v>
      </c>
      <c r="K79" s="31">
        <f>'11A (N S) Sem1 '!J29</f>
        <v>73</v>
      </c>
      <c r="L79" s="31">
        <f>'11A (N S) Sem1 '!K29</f>
        <v>71</v>
      </c>
      <c r="M79" s="31">
        <f>'11A (N S) Sem1 '!L29</f>
        <v>100</v>
      </c>
      <c r="N79" s="31">
        <f>'11A (N S) Sem1 '!M29</f>
        <v>96</v>
      </c>
      <c r="O79" s="48">
        <f>'11A (N S) Sem1 '!N29</f>
        <v>93</v>
      </c>
      <c r="P79" s="31">
        <f>'11A (N S) Sem1 '!O29</f>
        <v>814</v>
      </c>
      <c r="Q79" s="30">
        <f>'11A (N S) Sem1 '!P29</f>
        <v>81.400000000000006</v>
      </c>
      <c r="R79" s="30">
        <f>'11A (N S) Sem1 '!Q29</f>
        <v>15</v>
      </c>
      <c r="S79" s="31">
        <f>'11A (N S) Sem1 '!R29</f>
        <v>0</v>
      </c>
      <c r="T79" s="55">
        <f>'11A (N S) Sem1 '!S29</f>
        <v>0</v>
      </c>
      <c r="U79" s="102"/>
    </row>
    <row r="80" spans="1:21" ht="20.100000000000001" customHeight="1" x14ac:dyDescent="0.3">
      <c r="A80" s="295"/>
      <c r="B80" s="293"/>
      <c r="C80" s="293">
        <v>16</v>
      </c>
      <c r="D80" s="293" t="s">
        <v>23</v>
      </c>
      <c r="E80" s="32" t="s">
        <v>22</v>
      </c>
      <c r="F80" s="31">
        <f>'11A (N S) Sem2'!E29</f>
        <v>94</v>
      </c>
      <c r="G80" s="31">
        <f>'11A (N S) Sem2'!F29</f>
        <v>71</v>
      </c>
      <c r="H80" s="31">
        <f>'11A (N S) Sem2'!G29</f>
        <v>82</v>
      </c>
      <c r="I80" s="31">
        <f>'11A (N S) Sem2'!H29</f>
        <v>84</v>
      </c>
      <c r="J80" s="31">
        <f>'11A (N S) Sem2'!I29</f>
        <v>80</v>
      </c>
      <c r="K80" s="31">
        <f>'11A (N S) Sem2'!J29</f>
        <v>90</v>
      </c>
      <c r="L80" s="31">
        <f>'11A (N S) Sem2'!K29</f>
        <v>84</v>
      </c>
      <c r="M80" s="31">
        <f>'11A (N S) Sem2'!L29</f>
        <v>98</v>
      </c>
      <c r="N80" s="31">
        <f>'11A (N S) Sem2'!M29</f>
        <v>94</v>
      </c>
      <c r="O80" s="48">
        <f>'11A (N S) Sem2'!N29</f>
        <v>96</v>
      </c>
      <c r="P80" s="31">
        <f>'11A (N S) Sem2'!O29</f>
        <v>873</v>
      </c>
      <c r="Q80" s="30">
        <f>'11A (N S) Sem2'!P29</f>
        <v>87.3</v>
      </c>
      <c r="R80" s="30">
        <f>'11A (N S) Sem2'!Q29</f>
        <v>12</v>
      </c>
      <c r="S80" s="31">
        <f>'11A (N S) Sem2'!R29</f>
        <v>0</v>
      </c>
      <c r="T80" s="55">
        <f>'11A (N S) Sem2'!S29</f>
        <v>0</v>
      </c>
      <c r="U80" s="102"/>
    </row>
    <row r="81" spans="1:21" ht="20.100000000000001" customHeight="1" x14ac:dyDescent="0.3">
      <c r="A81" s="295"/>
      <c r="B81" s="293"/>
      <c r="C81" s="293">
        <v>16</v>
      </c>
      <c r="D81" s="293" t="s">
        <v>23</v>
      </c>
      <c r="E81" s="32" t="s">
        <v>16</v>
      </c>
      <c r="F81" s="31">
        <f>AVERAGE(F79:F80)</f>
        <v>87.5</v>
      </c>
      <c r="G81" s="31">
        <f t="shared" ref="G81:Q81" si="25">AVERAGE(G79:G80)</f>
        <v>74</v>
      </c>
      <c r="H81" s="31">
        <f t="shared" si="25"/>
        <v>83</v>
      </c>
      <c r="I81" s="31">
        <f t="shared" si="25"/>
        <v>77.5</v>
      </c>
      <c r="J81" s="31">
        <f t="shared" si="25"/>
        <v>74</v>
      </c>
      <c r="K81" s="31">
        <f t="shared" si="25"/>
        <v>81.5</v>
      </c>
      <c r="L81" s="31">
        <f t="shared" si="25"/>
        <v>77.5</v>
      </c>
      <c r="M81" s="31">
        <f t="shared" si="25"/>
        <v>99</v>
      </c>
      <c r="N81" s="31">
        <f t="shared" si="25"/>
        <v>95</v>
      </c>
      <c r="O81" s="31">
        <f t="shared" si="25"/>
        <v>94.5</v>
      </c>
      <c r="P81" s="31">
        <f t="shared" si="25"/>
        <v>843.5</v>
      </c>
      <c r="Q81" s="31">
        <f t="shared" si="25"/>
        <v>84.35</v>
      </c>
      <c r="R81" s="31">
        <f>'11A (N S) Avr'!$I$29</f>
        <v>15</v>
      </c>
      <c r="S81" s="31">
        <f>AVERAGE(S79:S80)</f>
        <v>0</v>
      </c>
      <c r="T81" s="55">
        <f>AVERAGE(T79:T80)</f>
        <v>0</v>
      </c>
      <c r="U81" s="102"/>
    </row>
    <row r="82" spans="1:21" ht="20.100000000000001" customHeight="1" x14ac:dyDescent="0.3">
      <c r="A82" s="295">
        <v>27</v>
      </c>
      <c r="B82" s="293"/>
      <c r="C82" s="293">
        <v>16</v>
      </c>
      <c r="D82" s="293" t="s">
        <v>23</v>
      </c>
      <c r="E82" s="32" t="s">
        <v>21</v>
      </c>
      <c r="F82" s="31">
        <f>'11A (N S) Sem1 '!E30</f>
        <v>76</v>
      </c>
      <c r="G82" s="31">
        <f>'11A (N S) Sem1 '!F30</f>
        <v>55</v>
      </c>
      <c r="H82" s="31">
        <f>'11A (N S) Sem1 '!G30</f>
        <v>38</v>
      </c>
      <c r="I82" s="31">
        <f>'11A (N S) Sem1 '!H30</f>
        <v>54</v>
      </c>
      <c r="J82" s="31">
        <f>'11A (N S) Sem1 '!I30</f>
        <v>44</v>
      </c>
      <c r="K82" s="31">
        <f>'11A (N S) Sem1 '!J30</f>
        <v>71</v>
      </c>
      <c r="L82" s="31">
        <f>'11A (N S) Sem1 '!K30</f>
        <v>63</v>
      </c>
      <c r="M82" s="31">
        <f>'11A (N S) Sem1 '!L30</f>
        <v>71</v>
      </c>
      <c r="N82" s="31">
        <f>'11A (N S) Sem1 '!M30</f>
        <v>86</v>
      </c>
      <c r="O82" s="48">
        <f>'11A (N S) Sem1 '!N30</f>
        <v>85</v>
      </c>
      <c r="P82" s="31">
        <f>'11A (N S) Sem1 '!O30</f>
        <v>643</v>
      </c>
      <c r="Q82" s="30">
        <f>'11A (N S) Sem1 '!P30</f>
        <v>64.3</v>
      </c>
      <c r="R82" s="30">
        <f>'11A (N S) Sem1 '!Q30</f>
        <v>28</v>
      </c>
      <c r="S82" s="31">
        <f>'11A (N S) Sem1 '!R30</f>
        <v>0</v>
      </c>
      <c r="T82" s="55">
        <f>'11A (N S) Sem1 '!S30</f>
        <v>0</v>
      </c>
      <c r="U82" s="102"/>
    </row>
    <row r="83" spans="1:21" ht="20.100000000000001" customHeight="1" x14ac:dyDescent="0.3">
      <c r="A83" s="295"/>
      <c r="B83" s="293"/>
      <c r="C83" s="293">
        <v>16</v>
      </c>
      <c r="D83" s="293" t="s">
        <v>23</v>
      </c>
      <c r="E83" s="32" t="s">
        <v>22</v>
      </c>
      <c r="F83" s="38">
        <f>'11A (N S) Sem2'!E30</f>
        <v>86</v>
      </c>
      <c r="G83" s="38">
        <f>'11A (N S) Sem2'!F30</f>
        <v>54</v>
      </c>
      <c r="H83" s="38">
        <f>'11A (N S) Sem2'!G30</f>
        <v>62</v>
      </c>
      <c r="I83" s="38">
        <f>'11A (N S) Sem2'!H30</f>
        <v>52</v>
      </c>
      <c r="J83" s="38">
        <f>'11A (N S) Sem2'!I30</f>
        <v>70</v>
      </c>
      <c r="K83" s="38">
        <f>'11A (N S) Sem2'!J30</f>
        <v>77</v>
      </c>
      <c r="L83" s="38">
        <f>'11A (N S) Sem2'!K30</f>
        <v>76</v>
      </c>
      <c r="M83" s="38">
        <f>'11A (N S) Sem2'!L30</f>
        <v>50</v>
      </c>
      <c r="N83" s="38">
        <f>'11A (N S) Sem2'!M30</f>
        <v>86</v>
      </c>
      <c r="O83" s="48">
        <f>'11A (N S) Sem2'!N30</f>
        <v>94</v>
      </c>
      <c r="P83" s="31">
        <f>'11A (N S) Sem2'!O30</f>
        <v>707</v>
      </c>
      <c r="Q83" s="30">
        <f>'11A (N S) Sem2'!P30</f>
        <v>70.7</v>
      </c>
      <c r="R83" s="30">
        <f>'11A (N S) Sem2'!Q30</f>
        <v>28</v>
      </c>
      <c r="S83" s="38">
        <f>'11A (N S) Sem2'!R30</f>
        <v>0</v>
      </c>
      <c r="T83" s="38">
        <f>'11A (N S) Sem2'!S30</f>
        <v>0</v>
      </c>
      <c r="U83" s="102"/>
    </row>
    <row r="84" spans="1:21" ht="20.100000000000001" customHeight="1" x14ac:dyDescent="0.3">
      <c r="A84" s="295"/>
      <c r="B84" s="293"/>
      <c r="C84" s="293">
        <v>16</v>
      </c>
      <c r="D84" s="293" t="s">
        <v>23</v>
      </c>
      <c r="E84" s="32" t="s">
        <v>16</v>
      </c>
      <c r="F84" s="38">
        <f>AVERAGE(F82:F83)</f>
        <v>81</v>
      </c>
      <c r="G84" s="38">
        <f t="shared" ref="G84:Q84" si="26">AVERAGE(G82:G83)</f>
        <v>54.5</v>
      </c>
      <c r="H84" s="38">
        <f t="shared" si="26"/>
        <v>50</v>
      </c>
      <c r="I84" s="38">
        <f t="shared" si="26"/>
        <v>53</v>
      </c>
      <c r="J84" s="38">
        <f t="shared" si="26"/>
        <v>57</v>
      </c>
      <c r="K84" s="38">
        <f t="shared" si="26"/>
        <v>74</v>
      </c>
      <c r="L84" s="38">
        <f t="shared" si="26"/>
        <v>69.5</v>
      </c>
      <c r="M84" s="38">
        <f t="shared" si="26"/>
        <v>60.5</v>
      </c>
      <c r="N84" s="38">
        <f t="shared" si="26"/>
        <v>86</v>
      </c>
      <c r="O84" s="38">
        <f t="shared" si="26"/>
        <v>89.5</v>
      </c>
      <c r="P84" s="38">
        <f t="shared" si="26"/>
        <v>675</v>
      </c>
      <c r="Q84" s="38">
        <f t="shared" si="26"/>
        <v>67.5</v>
      </c>
      <c r="R84" s="38">
        <f>'11A (N S) Avr'!$I$30</f>
        <v>28</v>
      </c>
      <c r="S84" s="38">
        <f>AVERAGE(S82:S83)</f>
        <v>0</v>
      </c>
      <c r="T84" s="38">
        <f>AVERAGE(T82:T83)</f>
        <v>0</v>
      </c>
      <c r="U84" s="102"/>
    </row>
    <row r="85" spans="1:21" ht="20.100000000000001" customHeight="1" x14ac:dyDescent="0.3">
      <c r="A85" s="295">
        <v>28</v>
      </c>
      <c r="B85" s="293"/>
      <c r="C85" s="293">
        <v>16</v>
      </c>
      <c r="D85" s="293" t="s">
        <v>20</v>
      </c>
      <c r="E85" s="32" t="s">
        <v>21</v>
      </c>
      <c r="F85" s="31">
        <f>'11A (N S) Sem1 '!E31</f>
        <v>91</v>
      </c>
      <c r="G85" s="31">
        <f>'11A (N S) Sem1 '!F31</f>
        <v>82</v>
      </c>
      <c r="H85" s="31">
        <f>'11A (N S) Sem1 '!G31</f>
        <v>83</v>
      </c>
      <c r="I85" s="31">
        <f>'11A (N S) Sem1 '!H31</f>
        <v>93</v>
      </c>
      <c r="J85" s="31">
        <f>'11A (N S) Sem1 '!I31</f>
        <v>90</v>
      </c>
      <c r="K85" s="31">
        <f>'11A (N S) Sem1 '!J31</f>
        <v>100</v>
      </c>
      <c r="L85" s="31">
        <f>'11A (N S) Sem1 '!K31</f>
        <v>83</v>
      </c>
      <c r="M85" s="31">
        <f>'11A (N S) Sem1 '!L31</f>
        <v>90</v>
      </c>
      <c r="N85" s="31">
        <f>'11A (N S) Sem1 '!M31</f>
        <v>99</v>
      </c>
      <c r="O85" s="48">
        <f>'11A (N S) Sem1 '!N31</f>
        <v>100</v>
      </c>
      <c r="P85" s="31">
        <f>'11A (N S) Sem1 '!O31</f>
        <v>911</v>
      </c>
      <c r="Q85" s="30">
        <f>'11A (N S) Sem1 '!P31</f>
        <v>91.1</v>
      </c>
      <c r="R85" s="30">
        <f>'11A (N S) Sem1 '!Q31</f>
        <v>5</v>
      </c>
      <c r="S85" s="31">
        <f>'11A (N S) Sem1 '!R31</f>
        <v>0</v>
      </c>
      <c r="T85" s="38">
        <f>'11A (N S) Sem1 '!S31</f>
        <v>0</v>
      </c>
      <c r="U85" s="102"/>
    </row>
    <row r="86" spans="1:21" ht="20.100000000000001" customHeight="1" x14ac:dyDescent="0.3">
      <c r="A86" s="295"/>
      <c r="B86" s="293"/>
      <c r="C86" s="293">
        <v>16</v>
      </c>
      <c r="D86" s="293" t="s">
        <v>20</v>
      </c>
      <c r="E86" s="32" t="s">
        <v>22</v>
      </c>
      <c r="F86" s="31">
        <f>'11A (N S) Sem2'!E31</f>
        <v>91</v>
      </c>
      <c r="G86" s="31">
        <f>'11A (N S) Sem2'!F31</f>
        <v>94</v>
      </c>
      <c r="H86" s="31">
        <f>'11A (N S) Sem2'!G31</f>
        <v>84</v>
      </c>
      <c r="I86" s="31">
        <f>'11A (N S) Sem2'!H31</f>
        <v>91</v>
      </c>
      <c r="J86" s="31">
        <f>'11A (N S) Sem2'!I31</f>
        <v>90</v>
      </c>
      <c r="K86" s="31">
        <f>'11A (N S) Sem2'!J31</f>
        <v>97</v>
      </c>
      <c r="L86" s="31">
        <f>'11A (N S) Sem2'!K31</f>
        <v>95</v>
      </c>
      <c r="M86" s="31">
        <f>'11A (N S) Sem2'!L31</f>
        <v>88</v>
      </c>
      <c r="N86" s="31">
        <f>'11A (N S) Sem2'!M31</f>
        <v>97</v>
      </c>
      <c r="O86" s="48">
        <f>'11A (N S) Sem2'!N31</f>
        <v>100</v>
      </c>
      <c r="P86" s="31">
        <f>'11A (N S) Sem2'!O31</f>
        <v>927</v>
      </c>
      <c r="Q86" s="30">
        <f>'11A (N S) Sem2'!P31</f>
        <v>92.7</v>
      </c>
      <c r="R86" s="30">
        <f>'11A (N S) Sem2'!Q31</f>
        <v>4</v>
      </c>
      <c r="S86" s="31">
        <f>'11A (N S) Sem2'!R31</f>
        <v>0</v>
      </c>
      <c r="T86" s="38">
        <f>'11A (N S) Sem2'!S31</f>
        <v>0</v>
      </c>
      <c r="U86" s="102"/>
    </row>
    <row r="87" spans="1:21" ht="20.100000000000001" customHeight="1" x14ac:dyDescent="0.3">
      <c r="A87" s="295"/>
      <c r="B87" s="293"/>
      <c r="C87" s="293">
        <v>16</v>
      </c>
      <c r="D87" s="293" t="s">
        <v>20</v>
      </c>
      <c r="E87" s="32" t="s">
        <v>16</v>
      </c>
      <c r="F87" s="31">
        <f>AVERAGE(F85:F86)</f>
        <v>91</v>
      </c>
      <c r="G87" s="31">
        <f t="shared" ref="G87:Q87" si="27">AVERAGE(G85:G86)</f>
        <v>88</v>
      </c>
      <c r="H87" s="31">
        <f t="shared" si="27"/>
        <v>83.5</v>
      </c>
      <c r="I87" s="31">
        <f t="shared" si="27"/>
        <v>92</v>
      </c>
      <c r="J87" s="31">
        <f t="shared" si="27"/>
        <v>90</v>
      </c>
      <c r="K87" s="31">
        <f t="shared" si="27"/>
        <v>98.5</v>
      </c>
      <c r="L87" s="31">
        <f t="shared" si="27"/>
        <v>89</v>
      </c>
      <c r="M87" s="31">
        <f t="shared" si="27"/>
        <v>89</v>
      </c>
      <c r="N87" s="31">
        <f t="shared" si="27"/>
        <v>98</v>
      </c>
      <c r="O87" s="31">
        <f t="shared" si="27"/>
        <v>100</v>
      </c>
      <c r="P87" s="31">
        <f t="shared" si="27"/>
        <v>919</v>
      </c>
      <c r="Q87" s="31">
        <f t="shared" si="27"/>
        <v>91.9</v>
      </c>
      <c r="R87" s="31">
        <f>'11A (N S) Avr'!$I$31</f>
        <v>5</v>
      </c>
      <c r="S87" s="31">
        <f>AVERAGE(S85:S86)</f>
        <v>0</v>
      </c>
      <c r="T87" s="38">
        <f>AVERAGE(T85:T86)</f>
        <v>0</v>
      </c>
      <c r="U87" s="102"/>
    </row>
  </sheetData>
  <mergeCells count="114">
    <mergeCell ref="A1:T1"/>
    <mergeCell ref="A2:T2"/>
    <mergeCell ref="A4:A6"/>
    <mergeCell ref="B4:B6"/>
    <mergeCell ref="C4:C6"/>
    <mergeCell ref="D4:D6"/>
    <mergeCell ref="A13:A15"/>
    <mergeCell ref="B13:B15"/>
    <mergeCell ref="C13:C15"/>
    <mergeCell ref="D13:D15"/>
    <mergeCell ref="A16:A18"/>
    <mergeCell ref="B16:B18"/>
    <mergeCell ref="C16:C18"/>
    <mergeCell ref="D16:D18"/>
    <mergeCell ref="A7:A9"/>
    <mergeCell ref="B7:B9"/>
    <mergeCell ref="C7:C9"/>
    <mergeCell ref="D7:D9"/>
    <mergeCell ref="A10:A12"/>
    <mergeCell ref="B10:B12"/>
    <mergeCell ref="C10:C12"/>
    <mergeCell ref="D10:D12"/>
    <mergeCell ref="A25:A27"/>
    <mergeCell ref="B25:B27"/>
    <mergeCell ref="C25:C27"/>
    <mergeCell ref="D25:D27"/>
    <mergeCell ref="A28:A30"/>
    <mergeCell ref="B28:B30"/>
    <mergeCell ref="C28:C30"/>
    <mergeCell ref="D28:D30"/>
    <mergeCell ref="A19:A21"/>
    <mergeCell ref="B19:B21"/>
    <mergeCell ref="C19:C21"/>
    <mergeCell ref="D19:D21"/>
    <mergeCell ref="A22:A24"/>
    <mergeCell ref="B22:B24"/>
    <mergeCell ref="C22:C24"/>
    <mergeCell ref="D22:D24"/>
    <mergeCell ref="A37:A39"/>
    <mergeCell ref="B37:B39"/>
    <mergeCell ref="C37:C39"/>
    <mergeCell ref="D37:D39"/>
    <mergeCell ref="A40:A42"/>
    <mergeCell ref="B40:B42"/>
    <mergeCell ref="C40:C42"/>
    <mergeCell ref="D40:D42"/>
    <mergeCell ref="A31:A33"/>
    <mergeCell ref="B31:B33"/>
    <mergeCell ref="C31:C33"/>
    <mergeCell ref="D31:D33"/>
    <mergeCell ref="A34:A36"/>
    <mergeCell ref="B34:B36"/>
    <mergeCell ref="C34:C36"/>
    <mergeCell ref="D34:D36"/>
    <mergeCell ref="A49:A51"/>
    <mergeCell ref="B49:B51"/>
    <mergeCell ref="C49:C51"/>
    <mergeCell ref="D49:D51"/>
    <mergeCell ref="A52:A54"/>
    <mergeCell ref="B52:B54"/>
    <mergeCell ref="C52:C54"/>
    <mergeCell ref="D52:D54"/>
    <mergeCell ref="A43:A45"/>
    <mergeCell ref="B43:B45"/>
    <mergeCell ref="C43:C45"/>
    <mergeCell ref="D43:D45"/>
    <mergeCell ref="A46:A48"/>
    <mergeCell ref="B46:B48"/>
    <mergeCell ref="C46:C48"/>
    <mergeCell ref="D46:D48"/>
    <mergeCell ref="A61:A63"/>
    <mergeCell ref="B61:B63"/>
    <mergeCell ref="C61:C63"/>
    <mergeCell ref="D61:D63"/>
    <mergeCell ref="A64:A66"/>
    <mergeCell ref="B64:B66"/>
    <mergeCell ref="C64:C66"/>
    <mergeCell ref="D64:D66"/>
    <mergeCell ref="A55:A57"/>
    <mergeCell ref="B55:B57"/>
    <mergeCell ref="C55:C57"/>
    <mergeCell ref="D55:D57"/>
    <mergeCell ref="A58:A60"/>
    <mergeCell ref="B58:B60"/>
    <mergeCell ref="C58:C60"/>
    <mergeCell ref="D58:D60"/>
    <mergeCell ref="A73:A75"/>
    <mergeCell ref="B73:B75"/>
    <mergeCell ref="C73:C75"/>
    <mergeCell ref="D73:D75"/>
    <mergeCell ref="A76:A78"/>
    <mergeCell ref="B76:B78"/>
    <mergeCell ref="C76:C78"/>
    <mergeCell ref="D76:D78"/>
    <mergeCell ref="A67:A69"/>
    <mergeCell ref="B67:B69"/>
    <mergeCell ref="C67:C69"/>
    <mergeCell ref="D67:D69"/>
    <mergeCell ref="A70:A72"/>
    <mergeCell ref="B70:B72"/>
    <mergeCell ref="C70:C72"/>
    <mergeCell ref="D70:D72"/>
    <mergeCell ref="A85:A87"/>
    <mergeCell ref="B85:B87"/>
    <mergeCell ref="C85:C87"/>
    <mergeCell ref="D85:D87"/>
    <mergeCell ref="A79:A81"/>
    <mergeCell ref="B79:B81"/>
    <mergeCell ref="C79:C81"/>
    <mergeCell ref="D79:D81"/>
    <mergeCell ref="A82:A84"/>
    <mergeCell ref="B82:B84"/>
    <mergeCell ref="C82:C84"/>
    <mergeCell ref="D82:D84"/>
  </mergeCells>
  <pageMargins left="0.7" right="0.7" top="0.75" bottom="0.75" header="0.3" footer="0.3"/>
  <pageSetup paperSize="9" scale="73" fitToHeight="0" orientation="landscape" r:id="rId1"/>
  <ignoredErrors>
    <ignoredError sqref="R4:R87" formula="1"/>
  </ignoredError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99"/>
  <sheetViews>
    <sheetView workbookViewId="0">
      <selection activeCell="B4" sqref="B4:B31"/>
    </sheetView>
  </sheetViews>
  <sheetFormatPr defaultRowHeight="15" x14ac:dyDescent="0.25"/>
  <cols>
    <col min="1" max="1" width="4.85546875" customWidth="1"/>
    <col min="2" max="2" width="37.140625" customWidth="1"/>
    <col min="3" max="3" width="6.140625" customWidth="1"/>
    <col min="4" max="4" width="4.85546875" customWidth="1"/>
    <col min="5" max="19" width="7.7109375" customWidth="1"/>
    <col min="20" max="20" width="38.28515625" customWidth="1"/>
    <col min="21" max="22" width="4.85546875" customWidth="1"/>
  </cols>
  <sheetData>
    <row r="1" spans="1:22" ht="20.25" customHeight="1" thickBot="1" x14ac:dyDescent="0.3">
      <c r="A1" s="341" t="s">
        <v>52</v>
      </c>
      <c r="B1" s="342"/>
      <c r="C1" s="342"/>
      <c r="D1" s="342"/>
      <c r="E1" s="342"/>
      <c r="F1" s="342"/>
      <c r="G1" s="342"/>
      <c r="H1" s="342"/>
      <c r="I1" s="342"/>
      <c r="J1" s="342"/>
      <c r="K1" s="342"/>
      <c r="L1" s="342"/>
      <c r="M1" s="342"/>
      <c r="N1" s="342"/>
      <c r="O1" s="342"/>
      <c r="P1" s="342"/>
      <c r="Q1" s="342"/>
      <c r="R1" s="342"/>
      <c r="S1" s="343"/>
      <c r="T1" s="46"/>
    </row>
    <row r="2" spans="1:22" ht="15.75" customHeight="1" thickBot="1" x14ac:dyDescent="0.3">
      <c r="A2" s="345" t="s">
        <v>54</v>
      </c>
      <c r="B2" s="345"/>
      <c r="C2" s="345"/>
      <c r="D2" s="345"/>
      <c r="E2" s="345"/>
      <c r="F2" s="345"/>
      <c r="G2" s="345"/>
      <c r="H2" s="345"/>
      <c r="I2" s="345"/>
      <c r="J2" s="345"/>
      <c r="K2" s="345"/>
      <c r="L2" s="345"/>
      <c r="M2" s="345"/>
      <c r="N2" s="345"/>
      <c r="O2" s="345"/>
      <c r="P2" s="345"/>
      <c r="Q2" s="345"/>
      <c r="R2" s="345"/>
      <c r="S2" s="344"/>
      <c r="T2" s="46"/>
    </row>
    <row r="3" spans="1:22" ht="54.75" customHeight="1" x14ac:dyDescent="0.25">
      <c r="A3" s="52" t="s">
        <v>28</v>
      </c>
      <c r="B3" s="205" t="s">
        <v>1</v>
      </c>
      <c r="C3" s="205" t="s">
        <v>2</v>
      </c>
      <c r="D3" s="205" t="s">
        <v>3</v>
      </c>
      <c r="E3" s="195" t="s">
        <v>4</v>
      </c>
      <c r="F3" s="195" t="s">
        <v>5</v>
      </c>
      <c r="G3" s="195" t="s">
        <v>6</v>
      </c>
      <c r="H3" s="195" t="s">
        <v>7</v>
      </c>
      <c r="I3" s="195" t="s">
        <v>8</v>
      </c>
      <c r="J3" s="195" t="s">
        <v>9</v>
      </c>
      <c r="K3" s="195" t="s">
        <v>12</v>
      </c>
      <c r="L3" s="195" t="s">
        <v>31</v>
      </c>
      <c r="M3" s="195" t="s">
        <v>13</v>
      </c>
      <c r="N3" s="195" t="s">
        <v>14</v>
      </c>
      <c r="O3" s="195" t="s">
        <v>15</v>
      </c>
      <c r="P3" s="195" t="s">
        <v>16</v>
      </c>
      <c r="Q3" s="195" t="s">
        <v>17</v>
      </c>
      <c r="R3" s="195" t="s">
        <v>18</v>
      </c>
      <c r="S3" s="99" t="s">
        <v>19</v>
      </c>
    </row>
    <row r="4" spans="1:22" ht="20.100000000000001" customHeight="1" x14ac:dyDescent="0.25">
      <c r="A4" s="120">
        <v>1</v>
      </c>
      <c r="B4" s="142"/>
      <c r="C4" s="156">
        <v>17</v>
      </c>
      <c r="D4" s="156" t="s">
        <v>20</v>
      </c>
      <c r="E4" s="155">
        <v>73</v>
      </c>
      <c r="F4" s="47">
        <v>62</v>
      </c>
      <c r="G4" s="47">
        <v>51</v>
      </c>
      <c r="H4" s="47">
        <v>58</v>
      </c>
      <c r="I4" s="47">
        <v>43</v>
      </c>
      <c r="J4" s="47">
        <v>62</v>
      </c>
      <c r="K4" s="47">
        <v>58</v>
      </c>
      <c r="L4" s="47">
        <v>93</v>
      </c>
      <c r="M4" s="47">
        <v>82</v>
      </c>
      <c r="N4" s="100">
        <v>86</v>
      </c>
      <c r="O4" s="47">
        <f>SUM(E4:N4)</f>
        <v>668</v>
      </c>
      <c r="P4" s="85">
        <f>AVERAGE(E4:N4)</f>
        <v>66.8</v>
      </c>
      <c r="Q4" s="85">
        <f>RANK(P4,$P$4:$P$31)</f>
        <v>27</v>
      </c>
      <c r="R4" s="47"/>
      <c r="S4" s="101"/>
    </row>
    <row r="5" spans="1:22" ht="20.100000000000001" customHeight="1" x14ac:dyDescent="0.25">
      <c r="A5" s="120">
        <v>2</v>
      </c>
      <c r="B5" s="142"/>
      <c r="C5" s="156">
        <v>17</v>
      </c>
      <c r="D5" s="156" t="s">
        <v>20</v>
      </c>
      <c r="E5" s="155">
        <v>80</v>
      </c>
      <c r="F5" s="47">
        <v>90</v>
      </c>
      <c r="G5" s="47">
        <v>90</v>
      </c>
      <c r="H5" s="47">
        <v>86</v>
      </c>
      <c r="I5" s="47">
        <v>93</v>
      </c>
      <c r="J5" s="47">
        <v>100</v>
      </c>
      <c r="K5" s="47">
        <v>80</v>
      </c>
      <c r="L5" s="47">
        <v>100</v>
      </c>
      <c r="M5" s="47">
        <v>97</v>
      </c>
      <c r="N5" s="100">
        <v>100</v>
      </c>
      <c r="O5" s="47">
        <f t="shared" ref="O5:O31" si="0">SUM(E5:N5)</f>
        <v>916</v>
      </c>
      <c r="P5" s="85">
        <f t="shared" ref="P5:P31" si="1">AVERAGE(E5:N5)</f>
        <v>91.6</v>
      </c>
      <c r="Q5" s="85">
        <f t="shared" ref="Q5:Q31" si="2">RANK(P5,$P$4:$P$31)</f>
        <v>4</v>
      </c>
      <c r="R5" s="47"/>
      <c r="S5" s="101"/>
    </row>
    <row r="6" spans="1:22" ht="20.100000000000001" customHeight="1" x14ac:dyDescent="0.25">
      <c r="A6" s="120">
        <v>3</v>
      </c>
      <c r="B6" s="142"/>
      <c r="C6" s="156">
        <v>17</v>
      </c>
      <c r="D6" s="156" t="s">
        <v>20</v>
      </c>
      <c r="E6" s="155">
        <v>69</v>
      </c>
      <c r="F6" s="47">
        <v>69</v>
      </c>
      <c r="G6" s="47">
        <v>51</v>
      </c>
      <c r="H6" s="47">
        <v>59</v>
      </c>
      <c r="I6" s="47">
        <v>56</v>
      </c>
      <c r="J6" s="47">
        <v>61</v>
      </c>
      <c r="K6" s="47">
        <v>63</v>
      </c>
      <c r="L6" s="47">
        <v>77</v>
      </c>
      <c r="M6" s="47">
        <v>95</v>
      </c>
      <c r="N6" s="100">
        <v>85</v>
      </c>
      <c r="O6" s="47">
        <f t="shared" si="0"/>
        <v>685</v>
      </c>
      <c r="P6" s="85">
        <f t="shared" si="1"/>
        <v>68.5</v>
      </c>
      <c r="Q6" s="85">
        <f t="shared" si="2"/>
        <v>24</v>
      </c>
      <c r="R6" s="47"/>
      <c r="S6" s="101"/>
    </row>
    <row r="7" spans="1:22" ht="20.100000000000001" customHeight="1" x14ac:dyDescent="0.25">
      <c r="A7" s="120">
        <v>4</v>
      </c>
      <c r="B7" s="142"/>
      <c r="C7" s="156">
        <v>15</v>
      </c>
      <c r="D7" s="156" t="s">
        <v>20</v>
      </c>
      <c r="E7" s="155">
        <v>68</v>
      </c>
      <c r="F7" s="47">
        <v>89</v>
      </c>
      <c r="G7" s="47">
        <v>56</v>
      </c>
      <c r="H7" s="47">
        <v>72</v>
      </c>
      <c r="I7" s="47">
        <v>72</v>
      </c>
      <c r="J7" s="47">
        <v>90</v>
      </c>
      <c r="K7" s="47">
        <v>76</v>
      </c>
      <c r="L7" s="47">
        <v>61</v>
      </c>
      <c r="M7" s="47">
        <v>92</v>
      </c>
      <c r="N7" s="100">
        <v>93</v>
      </c>
      <c r="O7" s="47">
        <f t="shared" si="0"/>
        <v>769</v>
      </c>
      <c r="P7" s="85">
        <f t="shared" si="1"/>
        <v>76.900000000000006</v>
      </c>
      <c r="Q7" s="85">
        <f t="shared" si="2"/>
        <v>22</v>
      </c>
      <c r="R7" s="47"/>
      <c r="S7" s="101"/>
    </row>
    <row r="8" spans="1:22" ht="20.100000000000001" customHeight="1" x14ac:dyDescent="0.25">
      <c r="A8" s="120">
        <v>5</v>
      </c>
      <c r="B8" s="142"/>
      <c r="C8" s="156">
        <v>16</v>
      </c>
      <c r="D8" s="156" t="s">
        <v>23</v>
      </c>
      <c r="E8" s="155">
        <v>89</v>
      </c>
      <c r="F8" s="47">
        <v>91</v>
      </c>
      <c r="G8" s="47">
        <v>69</v>
      </c>
      <c r="H8" s="47">
        <v>79</v>
      </c>
      <c r="I8" s="47">
        <v>81</v>
      </c>
      <c r="J8" s="47">
        <v>97</v>
      </c>
      <c r="K8" s="47">
        <v>85</v>
      </c>
      <c r="L8" s="47">
        <v>91</v>
      </c>
      <c r="M8" s="47">
        <v>92</v>
      </c>
      <c r="N8" s="100">
        <v>88</v>
      </c>
      <c r="O8" s="47">
        <f t="shared" si="0"/>
        <v>862</v>
      </c>
      <c r="P8" s="85">
        <f t="shared" si="1"/>
        <v>86.2</v>
      </c>
      <c r="Q8" s="85">
        <f t="shared" si="2"/>
        <v>8</v>
      </c>
      <c r="R8" s="47"/>
      <c r="S8" s="101"/>
      <c r="T8" s="9"/>
      <c r="U8" s="9"/>
      <c r="V8" s="9"/>
    </row>
    <row r="9" spans="1:22" ht="20.100000000000001" customHeight="1" x14ac:dyDescent="0.25">
      <c r="A9" s="120">
        <v>6</v>
      </c>
      <c r="B9" s="142"/>
      <c r="C9" s="156">
        <v>16</v>
      </c>
      <c r="D9" s="156" t="s">
        <v>23</v>
      </c>
      <c r="E9" s="155">
        <v>89</v>
      </c>
      <c r="F9" s="47">
        <v>90</v>
      </c>
      <c r="G9" s="47">
        <v>68</v>
      </c>
      <c r="H9" s="47">
        <v>83</v>
      </c>
      <c r="I9" s="47">
        <v>83</v>
      </c>
      <c r="J9" s="47">
        <v>93</v>
      </c>
      <c r="K9" s="47">
        <v>77</v>
      </c>
      <c r="L9" s="47">
        <v>84</v>
      </c>
      <c r="M9" s="47">
        <v>92</v>
      </c>
      <c r="N9" s="100">
        <v>95</v>
      </c>
      <c r="O9" s="47">
        <f t="shared" si="0"/>
        <v>854</v>
      </c>
      <c r="P9" s="85">
        <f t="shared" si="1"/>
        <v>85.4</v>
      </c>
      <c r="Q9" s="85">
        <f t="shared" si="2"/>
        <v>9</v>
      </c>
      <c r="R9" s="47"/>
      <c r="S9" s="101"/>
      <c r="T9" s="9"/>
      <c r="U9" s="9"/>
      <c r="V9" s="9"/>
    </row>
    <row r="10" spans="1:22" ht="20.100000000000001" customHeight="1" x14ac:dyDescent="0.25">
      <c r="A10" s="120">
        <v>7</v>
      </c>
      <c r="B10" s="142"/>
      <c r="C10" s="156">
        <v>17</v>
      </c>
      <c r="D10" s="156" t="s">
        <v>20</v>
      </c>
      <c r="E10" s="155">
        <v>86</v>
      </c>
      <c r="F10" s="47">
        <v>80</v>
      </c>
      <c r="G10" s="47">
        <v>81</v>
      </c>
      <c r="H10" s="47">
        <v>76</v>
      </c>
      <c r="I10" s="47">
        <v>74</v>
      </c>
      <c r="J10" s="47">
        <v>90</v>
      </c>
      <c r="K10" s="47">
        <v>72</v>
      </c>
      <c r="L10" s="47">
        <v>88</v>
      </c>
      <c r="M10" s="47">
        <v>96</v>
      </c>
      <c r="N10" s="100">
        <v>99</v>
      </c>
      <c r="O10" s="47">
        <f t="shared" si="0"/>
        <v>842</v>
      </c>
      <c r="P10" s="85">
        <f t="shared" si="1"/>
        <v>84.2</v>
      </c>
      <c r="Q10" s="85">
        <f t="shared" si="2"/>
        <v>12</v>
      </c>
      <c r="R10" s="47"/>
      <c r="S10" s="101"/>
      <c r="T10" s="9"/>
      <c r="U10" s="9"/>
      <c r="V10" s="9"/>
    </row>
    <row r="11" spans="1:22" ht="20.100000000000001" customHeight="1" x14ac:dyDescent="0.25">
      <c r="A11" s="120">
        <v>8</v>
      </c>
      <c r="B11" s="142"/>
      <c r="C11" s="156">
        <v>16</v>
      </c>
      <c r="D11" s="156" t="s">
        <v>23</v>
      </c>
      <c r="E11" s="155">
        <v>89</v>
      </c>
      <c r="F11" s="47">
        <v>86</v>
      </c>
      <c r="G11" s="47">
        <v>93</v>
      </c>
      <c r="H11" s="47">
        <v>91</v>
      </c>
      <c r="I11" s="47">
        <v>92</v>
      </c>
      <c r="J11" s="47">
        <v>98</v>
      </c>
      <c r="K11" s="47">
        <v>80</v>
      </c>
      <c r="L11" s="47">
        <v>90</v>
      </c>
      <c r="M11" s="47">
        <v>98</v>
      </c>
      <c r="N11" s="100">
        <v>92</v>
      </c>
      <c r="O11" s="47">
        <f t="shared" si="0"/>
        <v>909</v>
      </c>
      <c r="P11" s="85">
        <f t="shared" si="1"/>
        <v>90.9</v>
      </c>
      <c r="Q11" s="85">
        <f t="shared" si="2"/>
        <v>6</v>
      </c>
      <c r="R11" s="47"/>
      <c r="S11" s="101"/>
      <c r="T11" s="9"/>
      <c r="U11" s="9"/>
      <c r="V11" s="9"/>
    </row>
    <row r="12" spans="1:22" ht="20.100000000000001" customHeight="1" x14ac:dyDescent="0.25">
      <c r="A12" s="120">
        <v>9</v>
      </c>
      <c r="B12" s="142"/>
      <c r="C12" s="156">
        <v>16</v>
      </c>
      <c r="D12" s="156" t="s">
        <v>20</v>
      </c>
      <c r="E12" s="155">
        <v>82</v>
      </c>
      <c r="F12" s="47">
        <v>74</v>
      </c>
      <c r="G12" s="47">
        <v>83</v>
      </c>
      <c r="H12" s="47">
        <v>83</v>
      </c>
      <c r="I12" s="47">
        <v>66</v>
      </c>
      <c r="J12" s="47">
        <v>79</v>
      </c>
      <c r="K12" s="47">
        <v>69</v>
      </c>
      <c r="L12" s="47">
        <v>94</v>
      </c>
      <c r="M12" s="47">
        <v>91</v>
      </c>
      <c r="N12" s="100">
        <v>93</v>
      </c>
      <c r="O12" s="47">
        <f t="shared" si="0"/>
        <v>814</v>
      </c>
      <c r="P12" s="85">
        <f t="shared" si="1"/>
        <v>81.400000000000006</v>
      </c>
      <c r="Q12" s="85">
        <f t="shared" si="2"/>
        <v>15</v>
      </c>
      <c r="R12" s="47"/>
      <c r="S12" s="101"/>
      <c r="T12" s="9"/>
      <c r="U12" s="9"/>
      <c r="V12" s="9"/>
    </row>
    <row r="13" spans="1:22" ht="20.100000000000001" customHeight="1" x14ac:dyDescent="0.25">
      <c r="A13" s="120">
        <v>10</v>
      </c>
      <c r="B13" s="142"/>
      <c r="C13" s="156">
        <v>16</v>
      </c>
      <c r="D13" s="156" t="s">
        <v>23</v>
      </c>
      <c r="E13" s="155">
        <v>84</v>
      </c>
      <c r="F13" s="47">
        <v>71</v>
      </c>
      <c r="G13" s="47">
        <v>68</v>
      </c>
      <c r="H13" s="47">
        <v>77</v>
      </c>
      <c r="I13" s="47">
        <v>65</v>
      </c>
      <c r="J13" s="47">
        <v>83</v>
      </c>
      <c r="K13" s="47">
        <v>59</v>
      </c>
      <c r="L13" s="47">
        <v>90</v>
      </c>
      <c r="M13" s="47">
        <v>90</v>
      </c>
      <c r="N13" s="100">
        <v>96</v>
      </c>
      <c r="O13" s="47">
        <f t="shared" si="0"/>
        <v>783</v>
      </c>
      <c r="P13" s="85">
        <f t="shared" si="1"/>
        <v>78.3</v>
      </c>
      <c r="Q13" s="85">
        <f t="shared" si="2"/>
        <v>19</v>
      </c>
      <c r="R13" s="47"/>
      <c r="S13" s="101"/>
      <c r="T13" s="9"/>
      <c r="U13" s="9"/>
      <c r="V13" s="9"/>
    </row>
    <row r="14" spans="1:22" ht="20.100000000000001" customHeight="1" x14ac:dyDescent="0.25">
      <c r="A14" s="120">
        <v>11</v>
      </c>
      <c r="B14" s="142"/>
      <c r="C14" s="156">
        <v>16</v>
      </c>
      <c r="D14" s="156" t="s">
        <v>20</v>
      </c>
      <c r="E14" s="155">
        <v>85</v>
      </c>
      <c r="F14" s="47">
        <v>86</v>
      </c>
      <c r="G14" s="47">
        <v>100</v>
      </c>
      <c r="H14" s="47">
        <v>91</v>
      </c>
      <c r="I14" s="47">
        <v>94</v>
      </c>
      <c r="J14" s="47">
        <v>100</v>
      </c>
      <c r="K14" s="47">
        <v>83</v>
      </c>
      <c r="L14" s="47">
        <v>100</v>
      </c>
      <c r="M14" s="47">
        <v>89</v>
      </c>
      <c r="N14" s="100">
        <v>90</v>
      </c>
      <c r="O14" s="47">
        <f t="shared" si="0"/>
        <v>918</v>
      </c>
      <c r="P14" s="85">
        <f t="shared" si="1"/>
        <v>91.8</v>
      </c>
      <c r="Q14" s="85">
        <f t="shared" si="2"/>
        <v>3</v>
      </c>
      <c r="R14" s="47"/>
      <c r="S14" s="101"/>
      <c r="T14" s="9"/>
      <c r="U14" s="9"/>
      <c r="V14" s="9"/>
    </row>
    <row r="15" spans="1:22" ht="20.100000000000001" customHeight="1" x14ac:dyDescent="0.25">
      <c r="A15" s="120">
        <v>12</v>
      </c>
      <c r="B15" s="142"/>
      <c r="C15" s="156">
        <v>17</v>
      </c>
      <c r="D15" s="156" t="s">
        <v>23</v>
      </c>
      <c r="E15" s="155">
        <v>90</v>
      </c>
      <c r="F15" s="47">
        <v>86</v>
      </c>
      <c r="G15" s="47">
        <v>74</v>
      </c>
      <c r="H15" s="47">
        <v>84</v>
      </c>
      <c r="I15" s="47">
        <v>81</v>
      </c>
      <c r="J15" s="47">
        <v>98</v>
      </c>
      <c r="K15" s="47">
        <v>85</v>
      </c>
      <c r="L15" s="47">
        <v>87</v>
      </c>
      <c r="M15" s="47">
        <v>92</v>
      </c>
      <c r="N15" s="100">
        <v>94</v>
      </c>
      <c r="O15" s="47">
        <f t="shared" si="0"/>
        <v>871</v>
      </c>
      <c r="P15" s="85">
        <f t="shared" si="1"/>
        <v>87.1</v>
      </c>
      <c r="Q15" s="85">
        <f t="shared" si="2"/>
        <v>7</v>
      </c>
      <c r="R15" s="47"/>
      <c r="S15" s="101"/>
      <c r="T15" s="9"/>
      <c r="U15" s="9"/>
      <c r="V15" s="9"/>
    </row>
    <row r="16" spans="1:22" ht="20.100000000000001" customHeight="1" x14ac:dyDescent="0.25">
      <c r="A16" s="120">
        <v>13</v>
      </c>
      <c r="B16" s="142"/>
      <c r="C16" s="156">
        <v>16</v>
      </c>
      <c r="D16" s="156" t="s">
        <v>20</v>
      </c>
      <c r="E16" s="155">
        <v>79</v>
      </c>
      <c r="F16" s="47">
        <v>85</v>
      </c>
      <c r="G16" s="47">
        <v>76</v>
      </c>
      <c r="H16" s="47">
        <v>81</v>
      </c>
      <c r="I16" s="47">
        <v>79</v>
      </c>
      <c r="J16" s="47">
        <v>96</v>
      </c>
      <c r="K16" s="47">
        <v>82</v>
      </c>
      <c r="L16" s="47">
        <v>75</v>
      </c>
      <c r="M16" s="47">
        <v>93</v>
      </c>
      <c r="N16" s="100">
        <v>98</v>
      </c>
      <c r="O16" s="47">
        <f t="shared" si="0"/>
        <v>844</v>
      </c>
      <c r="P16" s="85">
        <f t="shared" si="1"/>
        <v>84.4</v>
      </c>
      <c r="Q16" s="85">
        <f t="shared" si="2"/>
        <v>11</v>
      </c>
      <c r="R16" s="47"/>
      <c r="S16" s="101"/>
      <c r="T16" s="9"/>
      <c r="U16" s="9"/>
      <c r="V16" s="9"/>
    </row>
    <row r="17" spans="1:22" ht="20.100000000000001" customHeight="1" x14ac:dyDescent="0.25">
      <c r="A17" s="120">
        <v>14</v>
      </c>
      <c r="B17" s="142"/>
      <c r="C17" s="156">
        <v>16</v>
      </c>
      <c r="D17" s="156" t="s">
        <v>23</v>
      </c>
      <c r="E17" s="155">
        <v>73</v>
      </c>
      <c r="F17" s="47">
        <v>70</v>
      </c>
      <c r="G17" s="47">
        <v>61</v>
      </c>
      <c r="H17" s="47">
        <v>62</v>
      </c>
      <c r="I17" s="47">
        <v>56</v>
      </c>
      <c r="J17" s="47">
        <v>78</v>
      </c>
      <c r="K17" s="47">
        <v>71</v>
      </c>
      <c r="L17" s="47">
        <v>76</v>
      </c>
      <c r="M17" s="47">
        <v>88</v>
      </c>
      <c r="N17" s="100">
        <v>91</v>
      </c>
      <c r="O17" s="47">
        <f t="shared" si="0"/>
        <v>726</v>
      </c>
      <c r="P17" s="85">
        <f t="shared" si="1"/>
        <v>72.599999999999994</v>
      </c>
      <c r="Q17" s="85">
        <f t="shared" si="2"/>
        <v>23</v>
      </c>
      <c r="R17" s="47"/>
      <c r="S17" s="101"/>
      <c r="T17" s="9"/>
      <c r="U17" s="9"/>
      <c r="V17" s="9"/>
    </row>
    <row r="18" spans="1:22" ht="20.100000000000001" customHeight="1" x14ac:dyDescent="0.25">
      <c r="A18" s="120">
        <v>15</v>
      </c>
      <c r="B18" s="142"/>
      <c r="C18" s="156">
        <v>15</v>
      </c>
      <c r="D18" s="156" t="s">
        <v>23</v>
      </c>
      <c r="E18" s="155">
        <v>90</v>
      </c>
      <c r="F18" s="47">
        <v>80</v>
      </c>
      <c r="G18" s="47">
        <v>67</v>
      </c>
      <c r="H18" s="47">
        <v>76</v>
      </c>
      <c r="I18" s="47">
        <v>74</v>
      </c>
      <c r="J18" s="47">
        <v>88</v>
      </c>
      <c r="K18" s="47">
        <v>70</v>
      </c>
      <c r="L18" s="47">
        <v>87</v>
      </c>
      <c r="M18" s="47">
        <v>95</v>
      </c>
      <c r="N18" s="100">
        <v>97</v>
      </c>
      <c r="O18" s="47">
        <f t="shared" si="0"/>
        <v>824</v>
      </c>
      <c r="P18" s="85">
        <f t="shared" si="1"/>
        <v>82.4</v>
      </c>
      <c r="Q18" s="85">
        <f t="shared" si="2"/>
        <v>14</v>
      </c>
      <c r="R18" s="47"/>
      <c r="S18" s="101"/>
      <c r="T18" s="9"/>
      <c r="U18" s="9"/>
      <c r="V18" s="9"/>
    </row>
    <row r="19" spans="1:22" ht="20.100000000000001" customHeight="1" x14ac:dyDescent="0.25">
      <c r="A19" s="120">
        <v>16</v>
      </c>
      <c r="B19" s="142"/>
      <c r="C19" s="156">
        <v>16</v>
      </c>
      <c r="D19" s="156" t="s">
        <v>20</v>
      </c>
      <c r="E19" s="155">
        <v>64</v>
      </c>
      <c r="F19" s="47">
        <v>72</v>
      </c>
      <c r="G19" s="47">
        <v>42</v>
      </c>
      <c r="H19" s="47">
        <v>55</v>
      </c>
      <c r="I19" s="47">
        <v>53</v>
      </c>
      <c r="J19" s="47">
        <v>81</v>
      </c>
      <c r="K19" s="47">
        <v>63</v>
      </c>
      <c r="L19" s="47">
        <v>79</v>
      </c>
      <c r="M19" s="47">
        <v>80</v>
      </c>
      <c r="N19" s="100">
        <v>95</v>
      </c>
      <c r="O19" s="47">
        <f t="shared" si="0"/>
        <v>684</v>
      </c>
      <c r="P19" s="85">
        <f t="shared" si="1"/>
        <v>68.400000000000006</v>
      </c>
      <c r="Q19" s="85">
        <f t="shared" si="2"/>
        <v>25</v>
      </c>
      <c r="R19" s="47"/>
      <c r="S19" s="101"/>
      <c r="T19" s="9"/>
      <c r="U19" s="9"/>
      <c r="V19" s="9"/>
    </row>
    <row r="20" spans="1:22" ht="20.100000000000001" customHeight="1" x14ac:dyDescent="0.25">
      <c r="A20" s="120">
        <v>17</v>
      </c>
      <c r="B20" s="142"/>
      <c r="C20" s="156">
        <v>15</v>
      </c>
      <c r="D20" s="156" t="s">
        <v>23</v>
      </c>
      <c r="E20" s="155">
        <v>90</v>
      </c>
      <c r="F20" s="47">
        <v>64</v>
      </c>
      <c r="G20" s="47">
        <v>55</v>
      </c>
      <c r="H20" s="47">
        <v>74</v>
      </c>
      <c r="I20" s="47">
        <v>62</v>
      </c>
      <c r="J20" s="47">
        <v>83</v>
      </c>
      <c r="K20" s="47">
        <v>68</v>
      </c>
      <c r="L20" s="47">
        <v>90</v>
      </c>
      <c r="M20" s="47">
        <v>90</v>
      </c>
      <c r="N20" s="100">
        <v>97</v>
      </c>
      <c r="O20" s="47">
        <f t="shared" si="0"/>
        <v>773</v>
      </c>
      <c r="P20" s="85">
        <f t="shared" si="1"/>
        <v>77.3</v>
      </c>
      <c r="Q20" s="85">
        <f t="shared" si="2"/>
        <v>21</v>
      </c>
      <c r="R20" s="47"/>
      <c r="S20" s="101"/>
      <c r="T20" s="9"/>
      <c r="U20" s="9"/>
      <c r="V20" s="9"/>
    </row>
    <row r="21" spans="1:22" ht="20.100000000000001" customHeight="1" x14ac:dyDescent="0.25">
      <c r="A21" s="120">
        <v>18</v>
      </c>
      <c r="B21" s="142"/>
      <c r="C21" s="156">
        <v>16</v>
      </c>
      <c r="D21" s="156" t="s">
        <v>20</v>
      </c>
      <c r="E21" s="155">
        <v>78</v>
      </c>
      <c r="F21" s="47">
        <v>57</v>
      </c>
      <c r="G21" s="47">
        <v>55</v>
      </c>
      <c r="H21" s="47">
        <v>57</v>
      </c>
      <c r="I21" s="47">
        <v>48</v>
      </c>
      <c r="J21" s="47">
        <v>66</v>
      </c>
      <c r="K21" s="47">
        <v>65</v>
      </c>
      <c r="L21" s="47">
        <v>82</v>
      </c>
      <c r="M21" s="47">
        <v>85</v>
      </c>
      <c r="N21" s="100">
        <v>82</v>
      </c>
      <c r="O21" s="47">
        <f t="shared" si="0"/>
        <v>675</v>
      </c>
      <c r="P21" s="85">
        <f t="shared" si="1"/>
        <v>67.5</v>
      </c>
      <c r="Q21" s="85">
        <f t="shared" si="2"/>
        <v>26</v>
      </c>
      <c r="R21" s="47"/>
      <c r="S21" s="101"/>
    </row>
    <row r="22" spans="1:22" ht="20.100000000000001" customHeight="1" x14ac:dyDescent="0.25">
      <c r="A22" s="120">
        <v>19</v>
      </c>
      <c r="B22" s="181"/>
      <c r="C22" s="183">
        <v>16</v>
      </c>
      <c r="D22" s="183" t="s">
        <v>20</v>
      </c>
      <c r="E22" s="155">
        <v>77</v>
      </c>
      <c r="F22" s="47">
        <v>89</v>
      </c>
      <c r="G22" s="47">
        <v>53</v>
      </c>
      <c r="H22" s="47">
        <v>62</v>
      </c>
      <c r="I22" s="47">
        <v>71</v>
      </c>
      <c r="J22" s="47">
        <v>85</v>
      </c>
      <c r="K22" s="47">
        <v>84</v>
      </c>
      <c r="L22" s="47">
        <v>66</v>
      </c>
      <c r="M22" s="47">
        <v>93</v>
      </c>
      <c r="N22" s="100">
        <v>95</v>
      </c>
      <c r="O22" s="47">
        <f t="shared" si="0"/>
        <v>775</v>
      </c>
      <c r="P22" s="85">
        <f t="shared" si="1"/>
        <v>77.5</v>
      </c>
      <c r="Q22" s="85">
        <f t="shared" si="2"/>
        <v>20</v>
      </c>
      <c r="R22" s="47"/>
      <c r="S22" s="101"/>
    </row>
    <row r="23" spans="1:22" ht="20.100000000000001" customHeight="1" x14ac:dyDescent="0.25">
      <c r="A23" s="120">
        <v>20</v>
      </c>
      <c r="B23" s="142"/>
      <c r="C23" s="156">
        <v>16</v>
      </c>
      <c r="D23" s="156" t="s">
        <v>20</v>
      </c>
      <c r="E23" s="155">
        <v>83</v>
      </c>
      <c r="F23" s="47">
        <v>83</v>
      </c>
      <c r="G23" s="47">
        <v>67</v>
      </c>
      <c r="H23" s="47">
        <v>75</v>
      </c>
      <c r="I23" s="47">
        <v>64</v>
      </c>
      <c r="J23" s="47">
        <v>88</v>
      </c>
      <c r="K23" s="47">
        <v>81</v>
      </c>
      <c r="L23" s="47">
        <v>64</v>
      </c>
      <c r="M23" s="47">
        <v>94</v>
      </c>
      <c r="N23" s="100">
        <v>95</v>
      </c>
      <c r="O23" s="47">
        <f t="shared" si="0"/>
        <v>794</v>
      </c>
      <c r="P23" s="85">
        <f t="shared" si="1"/>
        <v>79.400000000000006</v>
      </c>
      <c r="Q23" s="85">
        <f t="shared" si="2"/>
        <v>18</v>
      </c>
      <c r="R23" s="47"/>
      <c r="S23" s="101"/>
    </row>
    <row r="24" spans="1:22" ht="20.100000000000001" customHeight="1" x14ac:dyDescent="0.25">
      <c r="A24" s="120">
        <v>21</v>
      </c>
      <c r="B24" s="142"/>
      <c r="C24" s="156">
        <v>16</v>
      </c>
      <c r="D24" s="156" t="s">
        <v>20</v>
      </c>
      <c r="E24" s="155">
        <v>77</v>
      </c>
      <c r="F24" s="47">
        <v>90</v>
      </c>
      <c r="G24" s="47">
        <v>75</v>
      </c>
      <c r="H24" s="47">
        <v>77</v>
      </c>
      <c r="I24" s="47">
        <v>82</v>
      </c>
      <c r="J24" s="47">
        <v>96</v>
      </c>
      <c r="K24" s="47">
        <v>73</v>
      </c>
      <c r="L24" s="47">
        <v>84</v>
      </c>
      <c r="M24" s="47">
        <v>96</v>
      </c>
      <c r="N24" s="100">
        <v>98</v>
      </c>
      <c r="O24" s="47">
        <f t="shared" si="0"/>
        <v>848</v>
      </c>
      <c r="P24" s="85">
        <f t="shared" si="1"/>
        <v>84.8</v>
      </c>
      <c r="Q24" s="85">
        <f t="shared" si="2"/>
        <v>10</v>
      </c>
      <c r="R24" s="47"/>
      <c r="S24" s="101"/>
    </row>
    <row r="25" spans="1:22" ht="20.100000000000001" customHeight="1" x14ac:dyDescent="0.25">
      <c r="A25" s="120">
        <v>22</v>
      </c>
      <c r="B25" s="142"/>
      <c r="C25" s="156">
        <v>16</v>
      </c>
      <c r="D25" s="156" t="s">
        <v>23</v>
      </c>
      <c r="E25" s="155">
        <v>84</v>
      </c>
      <c r="F25" s="47">
        <v>86</v>
      </c>
      <c r="G25" s="47">
        <v>71</v>
      </c>
      <c r="H25" s="47">
        <v>79</v>
      </c>
      <c r="I25" s="47">
        <v>73</v>
      </c>
      <c r="J25" s="47">
        <v>91</v>
      </c>
      <c r="K25" s="47">
        <v>83</v>
      </c>
      <c r="L25" s="47">
        <v>77</v>
      </c>
      <c r="M25" s="47">
        <v>90</v>
      </c>
      <c r="N25" s="100">
        <v>100</v>
      </c>
      <c r="O25" s="47">
        <f t="shared" si="0"/>
        <v>834</v>
      </c>
      <c r="P25" s="85">
        <f t="shared" si="1"/>
        <v>83.4</v>
      </c>
      <c r="Q25" s="85">
        <f t="shared" si="2"/>
        <v>13</v>
      </c>
      <c r="R25" s="47"/>
      <c r="S25" s="101"/>
    </row>
    <row r="26" spans="1:22" ht="20.100000000000001" customHeight="1" x14ac:dyDescent="0.25">
      <c r="A26" s="120">
        <v>23</v>
      </c>
      <c r="B26" s="142"/>
      <c r="C26" s="156">
        <v>15</v>
      </c>
      <c r="D26" s="156" t="s">
        <v>23</v>
      </c>
      <c r="E26" s="155">
        <v>75</v>
      </c>
      <c r="F26" s="47">
        <v>77</v>
      </c>
      <c r="G26" s="47">
        <v>63</v>
      </c>
      <c r="H26" s="47">
        <v>77</v>
      </c>
      <c r="I26" s="47">
        <v>65</v>
      </c>
      <c r="J26" s="47">
        <v>91</v>
      </c>
      <c r="K26" s="47">
        <v>68</v>
      </c>
      <c r="L26" s="47">
        <v>90</v>
      </c>
      <c r="M26" s="47">
        <v>95</v>
      </c>
      <c r="N26" s="100">
        <v>100</v>
      </c>
      <c r="O26" s="47">
        <f t="shared" si="0"/>
        <v>801</v>
      </c>
      <c r="P26" s="85">
        <f t="shared" si="1"/>
        <v>80.099999999999994</v>
      </c>
      <c r="Q26" s="85">
        <f t="shared" si="2"/>
        <v>17</v>
      </c>
      <c r="R26" s="47"/>
      <c r="S26" s="101"/>
    </row>
    <row r="27" spans="1:22" ht="20.100000000000001" customHeight="1" x14ac:dyDescent="0.25">
      <c r="A27" s="120">
        <v>24</v>
      </c>
      <c r="B27" s="142"/>
      <c r="C27" s="156">
        <v>16</v>
      </c>
      <c r="D27" s="156" t="s">
        <v>23</v>
      </c>
      <c r="E27" s="155">
        <v>91</v>
      </c>
      <c r="F27" s="47">
        <v>97</v>
      </c>
      <c r="G27" s="47">
        <v>100</v>
      </c>
      <c r="H27" s="47">
        <v>100</v>
      </c>
      <c r="I27" s="47">
        <v>100</v>
      </c>
      <c r="J27" s="47">
        <v>100</v>
      </c>
      <c r="K27" s="47">
        <v>89</v>
      </c>
      <c r="L27" s="47">
        <v>100</v>
      </c>
      <c r="M27" s="47">
        <v>100</v>
      </c>
      <c r="N27" s="100">
        <v>98</v>
      </c>
      <c r="O27" s="47">
        <f t="shared" si="0"/>
        <v>975</v>
      </c>
      <c r="P27" s="85">
        <f t="shared" si="1"/>
        <v>97.5</v>
      </c>
      <c r="Q27" s="85">
        <f t="shared" si="2"/>
        <v>1</v>
      </c>
      <c r="R27" s="47"/>
      <c r="S27" s="101"/>
    </row>
    <row r="28" spans="1:22" ht="20.100000000000001" customHeight="1" x14ac:dyDescent="0.25">
      <c r="A28" s="120">
        <v>25</v>
      </c>
      <c r="B28" s="142"/>
      <c r="C28" s="156">
        <v>16</v>
      </c>
      <c r="D28" s="156" t="s">
        <v>23</v>
      </c>
      <c r="E28" s="155">
        <v>87</v>
      </c>
      <c r="F28" s="47">
        <v>97</v>
      </c>
      <c r="G28" s="47">
        <v>87</v>
      </c>
      <c r="H28" s="47">
        <v>95</v>
      </c>
      <c r="I28" s="47">
        <v>77</v>
      </c>
      <c r="J28" s="47">
        <v>100</v>
      </c>
      <c r="K28" s="47">
        <v>88</v>
      </c>
      <c r="L28" s="47">
        <v>91</v>
      </c>
      <c r="M28" s="47">
        <v>100</v>
      </c>
      <c r="N28" s="100">
        <v>100</v>
      </c>
      <c r="O28" s="47">
        <f t="shared" si="0"/>
        <v>922</v>
      </c>
      <c r="P28" s="85">
        <f t="shared" si="1"/>
        <v>92.2</v>
      </c>
      <c r="Q28" s="85">
        <f t="shared" si="2"/>
        <v>2</v>
      </c>
      <c r="R28" s="47"/>
      <c r="S28" s="101"/>
    </row>
    <row r="29" spans="1:22" ht="20.100000000000001" customHeight="1" x14ac:dyDescent="0.25">
      <c r="A29" s="120">
        <v>26</v>
      </c>
      <c r="B29" s="142"/>
      <c r="C29" s="156">
        <v>16</v>
      </c>
      <c r="D29" s="156" t="s">
        <v>23</v>
      </c>
      <c r="E29" s="155">
        <v>81</v>
      </c>
      <c r="F29" s="47">
        <v>77</v>
      </c>
      <c r="G29" s="47">
        <v>84</v>
      </c>
      <c r="H29" s="47">
        <v>71</v>
      </c>
      <c r="I29" s="47">
        <v>68</v>
      </c>
      <c r="J29" s="47">
        <v>73</v>
      </c>
      <c r="K29" s="47">
        <v>71</v>
      </c>
      <c r="L29" s="47">
        <v>100</v>
      </c>
      <c r="M29" s="47">
        <v>96</v>
      </c>
      <c r="N29" s="100">
        <v>93</v>
      </c>
      <c r="O29" s="47">
        <f t="shared" si="0"/>
        <v>814</v>
      </c>
      <c r="P29" s="85">
        <f t="shared" si="1"/>
        <v>81.400000000000006</v>
      </c>
      <c r="Q29" s="85">
        <f t="shared" si="2"/>
        <v>15</v>
      </c>
      <c r="R29" s="47"/>
      <c r="S29" s="101"/>
    </row>
    <row r="30" spans="1:22" ht="20.100000000000001" customHeight="1" x14ac:dyDescent="0.25">
      <c r="A30" s="120">
        <v>27</v>
      </c>
      <c r="B30" s="142"/>
      <c r="C30" s="156">
        <v>16</v>
      </c>
      <c r="D30" s="156" t="s">
        <v>23</v>
      </c>
      <c r="E30" s="155">
        <v>76</v>
      </c>
      <c r="F30" s="47">
        <v>55</v>
      </c>
      <c r="G30" s="47">
        <v>38</v>
      </c>
      <c r="H30" s="47">
        <v>54</v>
      </c>
      <c r="I30" s="47">
        <v>44</v>
      </c>
      <c r="J30" s="47">
        <v>71</v>
      </c>
      <c r="K30" s="47">
        <v>63</v>
      </c>
      <c r="L30" s="47">
        <v>71</v>
      </c>
      <c r="M30" s="47">
        <v>86</v>
      </c>
      <c r="N30" s="100">
        <v>85</v>
      </c>
      <c r="O30" s="47">
        <f t="shared" si="0"/>
        <v>643</v>
      </c>
      <c r="P30" s="85">
        <f t="shared" si="1"/>
        <v>64.3</v>
      </c>
      <c r="Q30" s="85">
        <f t="shared" si="2"/>
        <v>28</v>
      </c>
      <c r="R30" s="47"/>
      <c r="S30" s="101"/>
    </row>
    <row r="31" spans="1:22" ht="20.100000000000001" customHeight="1" x14ac:dyDescent="0.3">
      <c r="A31" s="120">
        <v>28</v>
      </c>
      <c r="B31" s="142"/>
      <c r="C31" s="156">
        <v>16</v>
      </c>
      <c r="D31" s="156" t="s">
        <v>20</v>
      </c>
      <c r="E31" s="155">
        <v>91</v>
      </c>
      <c r="F31" s="47">
        <v>82</v>
      </c>
      <c r="G31" s="47">
        <v>83</v>
      </c>
      <c r="H31" s="47">
        <v>93</v>
      </c>
      <c r="I31" s="47">
        <v>90</v>
      </c>
      <c r="J31" s="47">
        <v>100</v>
      </c>
      <c r="K31" s="47">
        <v>83</v>
      </c>
      <c r="L31" s="47">
        <v>90</v>
      </c>
      <c r="M31" s="47">
        <v>99</v>
      </c>
      <c r="N31" s="100">
        <v>100</v>
      </c>
      <c r="O31" s="47">
        <f t="shared" si="0"/>
        <v>911</v>
      </c>
      <c r="P31" s="85">
        <f t="shared" si="1"/>
        <v>91.1</v>
      </c>
      <c r="Q31" s="85">
        <f t="shared" si="2"/>
        <v>5</v>
      </c>
      <c r="R31" s="47"/>
      <c r="S31" s="103"/>
    </row>
    <row r="32" spans="1:22" ht="20.100000000000001" customHeight="1" x14ac:dyDescent="0.3">
      <c r="A32" s="120">
        <v>29</v>
      </c>
      <c r="B32" s="173"/>
      <c r="C32" s="179"/>
      <c r="D32" s="173"/>
      <c r="E32" s="47"/>
      <c r="F32" s="47"/>
      <c r="G32" s="47"/>
      <c r="H32" s="47"/>
      <c r="I32" s="47"/>
      <c r="J32" s="47"/>
      <c r="K32" s="47"/>
      <c r="L32" s="47"/>
      <c r="M32" s="47"/>
      <c r="N32" s="100"/>
      <c r="O32" s="47"/>
      <c r="P32" s="85"/>
      <c r="Q32" s="85"/>
      <c r="R32" s="47"/>
      <c r="S32" s="103"/>
    </row>
    <row r="33" spans="1:19" ht="20.100000000000001" customHeight="1" x14ac:dyDescent="0.3">
      <c r="A33" s="120">
        <v>30</v>
      </c>
      <c r="B33" s="124"/>
      <c r="C33" s="178"/>
      <c r="D33" s="124"/>
      <c r="E33" s="47"/>
      <c r="F33" s="47"/>
      <c r="G33" s="47"/>
      <c r="H33" s="47"/>
      <c r="I33" s="47"/>
      <c r="J33" s="47"/>
      <c r="K33" s="47"/>
      <c r="L33" s="47"/>
      <c r="M33" s="47"/>
      <c r="N33" s="100"/>
      <c r="O33" s="47"/>
      <c r="P33" s="85"/>
      <c r="Q33" s="85"/>
      <c r="R33" s="47"/>
      <c r="S33" s="103"/>
    </row>
    <row r="34" spans="1:19" ht="20.100000000000001" customHeight="1" x14ac:dyDescent="0.3">
      <c r="A34" s="120">
        <v>31</v>
      </c>
      <c r="B34" s="124"/>
      <c r="C34" s="178"/>
      <c r="D34" s="124"/>
      <c r="E34" s="47"/>
      <c r="F34" s="47"/>
      <c r="G34" s="47"/>
      <c r="H34" s="47"/>
      <c r="I34" s="47"/>
      <c r="J34" s="47"/>
      <c r="K34" s="47"/>
      <c r="L34" s="47"/>
      <c r="M34" s="47"/>
      <c r="N34" s="100"/>
      <c r="O34" s="47"/>
      <c r="P34" s="85"/>
      <c r="Q34" s="85"/>
      <c r="R34" s="47"/>
      <c r="S34" s="103"/>
    </row>
    <row r="35" spans="1:19" ht="20.100000000000001" customHeight="1" x14ac:dyDescent="0.3">
      <c r="A35" s="120">
        <v>32</v>
      </c>
      <c r="B35" s="125"/>
      <c r="C35" s="177"/>
      <c r="D35" s="126"/>
      <c r="E35" s="47"/>
      <c r="F35" s="47"/>
      <c r="G35" s="47"/>
      <c r="H35" s="47"/>
      <c r="I35" s="47"/>
      <c r="J35" s="47"/>
      <c r="K35" s="47"/>
      <c r="L35" s="47"/>
      <c r="M35" s="47"/>
      <c r="N35" s="100"/>
      <c r="O35" s="47"/>
      <c r="P35" s="85"/>
      <c r="Q35" s="85"/>
      <c r="R35" s="47"/>
      <c r="S35" s="103"/>
    </row>
    <row r="36" spans="1:19" ht="20.100000000000001" customHeight="1" x14ac:dyDescent="0.3">
      <c r="A36" s="120">
        <v>33</v>
      </c>
      <c r="B36" s="172"/>
      <c r="C36" s="177"/>
      <c r="D36" s="126"/>
      <c r="E36" s="47"/>
      <c r="F36" s="47"/>
      <c r="G36" s="47"/>
      <c r="H36" s="47"/>
      <c r="I36" s="47"/>
      <c r="J36" s="47"/>
      <c r="K36" s="47"/>
      <c r="L36" s="47"/>
      <c r="M36" s="47"/>
      <c r="N36" s="100"/>
      <c r="O36" s="47"/>
      <c r="P36" s="85"/>
      <c r="Q36" s="85"/>
      <c r="R36" s="47"/>
      <c r="S36" s="103"/>
    </row>
    <row r="37" spans="1:19" ht="20.100000000000001" customHeight="1" x14ac:dyDescent="0.3">
      <c r="A37" s="120">
        <v>34</v>
      </c>
      <c r="B37" s="126"/>
      <c r="C37" s="177"/>
      <c r="D37" s="126"/>
      <c r="E37" s="47"/>
      <c r="F37" s="47"/>
      <c r="G37" s="47"/>
      <c r="H37" s="47"/>
      <c r="I37" s="47"/>
      <c r="J37" s="47"/>
      <c r="K37" s="47"/>
      <c r="L37" s="47"/>
      <c r="M37" s="47"/>
      <c r="N37" s="100"/>
      <c r="O37" s="47"/>
      <c r="P37" s="85"/>
      <c r="Q37" s="85"/>
      <c r="R37" s="47"/>
      <c r="S37" s="103"/>
    </row>
    <row r="38" spans="1:19" ht="20.100000000000001" customHeight="1" x14ac:dyDescent="0.3">
      <c r="A38" s="120">
        <v>35</v>
      </c>
      <c r="B38" s="126"/>
      <c r="C38" s="177"/>
      <c r="D38" s="126"/>
      <c r="E38" s="47"/>
      <c r="F38" s="47"/>
      <c r="G38" s="47"/>
      <c r="H38" s="47"/>
      <c r="I38" s="47"/>
      <c r="J38" s="47"/>
      <c r="K38" s="47"/>
      <c r="L38" s="47"/>
      <c r="M38" s="47"/>
      <c r="N38" s="100"/>
      <c r="O38" s="47"/>
      <c r="P38" s="85"/>
      <c r="Q38" s="85"/>
      <c r="R38" s="47"/>
      <c r="S38" s="103"/>
    </row>
    <row r="39" spans="1:19" ht="20.100000000000001" customHeight="1" x14ac:dyDescent="0.3">
      <c r="A39" s="120">
        <v>36</v>
      </c>
      <c r="B39" s="124"/>
      <c r="C39" s="178"/>
      <c r="D39" s="124"/>
      <c r="E39" s="47"/>
      <c r="F39" s="47"/>
      <c r="G39" s="47"/>
      <c r="H39" s="47"/>
      <c r="I39" s="47"/>
      <c r="J39" s="47"/>
      <c r="K39" s="47"/>
      <c r="L39" s="47"/>
      <c r="M39" s="47"/>
      <c r="N39" s="100"/>
      <c r="O39" s="47"/>
      <c r="P39" s="85"/>
      <c r="Q39" s="85"/>
      <c r="R39" s="47"/>
      <c r="S39" s="103"/>
    </row>
    <row r="40" spans="1:19" ht="20.100000000000001" customHeight="1" x14ac:dyDescent="0.3">
      <c r="A40" s="120">
        <v>37</v>
      </c>
      <c r="B40" s="126"/>
      <c r="C40" s="177"/>
      <c r="D40" s="126"/>
      <c r="E40" s="47"/>
      <c r="F40" s="47"/>
      <c r="G40" s="47"/>
      <c r="H40" s="47"/>
      <c r="I40" s="47"/>
      <c r="J40" s="47"/>
      <c r="K40" s="47"/>
      <c r="L40" s="47"/>
      <c r="M40" s="47"/>
      <c r="N40" s="100"/>
      <c r="O40" s="47"/>
      <c r="P40" s="85"/>
      <c r="Q40" s="85"/>
      <c r="R40" s="47"/>
      <c r="S40" s="103"/>
    </row>
    <row r="41" spans="1:19" ht="20.100000000000001" customHeight="1" x14ac:dyDescent="0.3">
      <c r="A41" s="120">
        <v>38</v>
      </c>
      <c r="B41" s="126"/>
      <c r="C41" s="177"/>
      <c r="D41" s="126"/>
      <c r="E41" s="47"/>
      <c r="F41" s="47"/>
      <c r="G41" s="47"/>
      <c r="H41" s="47"/>
      <c r="I41" s="47"/>
      <c r="J41" s="47"/>
      <c r="K41" s="47"/>
      <c r="L41" s="47"/>
      <c r="M41" s="47"/>
      <c r="N41" s="100"/>
      <c r="O41" s="47"/>
      <c r="P41" s="85"/>
      <c r="Q41" s="85"/>
      <c r="R41" s="47"/>
      <c r="S41" s="103"/>
    </row>
    <row r="42" spans="1:19" ht="20.100000000000001" customHeight="1" x14ac:dyDescent="0.3">
      <c r="A42" s="120">
        <v>39</v>
      </c>
      <c r="B42" s="124"/>
      <c r="C42" s="178"/>
      <c r="D42" s="124"/>
      <c r="E42" s="47"/>
      <c r="F42" s="47"/>
      <c r="G42" s="47"/>
      <c r="H42" s="47"/>
      <c r="I42" s="47"/>
      <c r="J42" s="47"/>
      <c r="K42" s="47"/>
      <c r="L42" s="47"/>
      <c r="M42" s="47"/>
      <c r="N42" s="100"/>
      <c r="O42" s="47"/>
      <c r="P42" s="85"/>
      <c r="Q42" s="85"/>
      <c r="R42" s="47"/>
      <c r="S42" s="103"/>
    </row>
    <row r="43" spans="1:19" ht="20.100000000000001" customHeight="1" x14ac:dyDescent="0.3">
      <c r="A43" s="120">
        <v>40</v>
      </c>
      <c r="B43" s="126"/>
      <c r="C43" s="177"/>
      <c r="D43" s="126"/>
      <c r="E43" s="47"/>
      <c r="F43" s="47"/>
      <c r="G43" s="47"/>
      <c r="H43" s="47"/>
      <c r="I43" s="47"/>
      <c r="J43" s="47"/>
      <c r="K43" s="47"/>
      <c r="L43" s="47"/>
      <c r="M43" s="47"/>
      <c r="N43" s="100"/>
      <c r="O43" s="47"/>
      <c r="P43" s="85"/>
      <c r="Q43" s="85"/>
      <c r="R43" s="47"/>
      <c r="S43" s="103"/>
    </row>
    <row r="44" spans="1:19" ht="20.100000000000001" customHeight="1" x14ac:dyDescent="0.3">
      <c r="A44" s="120">
        <v>41</v>
      </c>
      <c r="B44" s="126"/>
      <c r="C44" s="177"/>
      <c r="D44" s="126"/>
      <c r="E44" s="47"/>
      <c r="F44" s="47"/>
      <c r="G44" s="47"/>
      <c r="H44" s="47"/>
      <c r="I44" s="47"/>
      <c r="J44" s="47"/>
      <c r="K44" s="47"/>
      <c r="L44" s="47"/>
      <c r="M44" s="47"/>
      <c r="N44" s="100"/>
      <c r="O44" s="47"/>
      <c r="P44" s="85"/>
      <c r="Q44" s="85"/>
      <c r="R44" s="47"/>
      <c r="S44" s="103"/>
    </row>
    <row r="45" spans="1:19" ht="20.100000000000001" customHeight="1" x14ac:dyDescent="0.3">
      <c r="A45" s="120">
        <v>42</v>
      </c>
      <c r="B45" s="126"/>
      <c r="C45" s="177"/>
      <c r="D45" s="126"/>
      <c r="E45" s="47"/>
      <c r="F45" s="47"/>
      <c r="G45" s="47"/>
      <c r="H45" s="47"/>
      <c r="I45" s="47"/>
      <c r="J45" s="47"/>
      <c r="K45" s="47"/>
      <c r="L45" s="47"/>
      <c r="M45" s="47"/>
      <c r="N45" s="100"/>
      <c r="O45" s="47"/>
      <c r="P45" s="85"/>
      <c r="Q45" s="85"/>
      <c r="R45" s="47"/>
      <c r="S45" s="103"/>
    </row>
    <row r="46" spans="1:19" ht="20.100000000000001" customHeight="1" x14ac:dyDescent="0.3">
      <c r="A46" s="120">
        <v>43</v>
      </c>
      <c r="B46" s="126"/>
      <c r="C46" s="177"/>
      <c r="D46" s="126"/>
      <c r="E46" s="47"/>
      <c r="F46" s="47"/>
      <c r="G46" s="47"/>
      <c r="H46" s="47"/>
      <c r="I46" s="47"/>
      <c r="J46" s="47"/>
      <c r="K46" s="47"/>
      <c r="L46" s="47"/>
      <c r="M46" s="47"/>
      <c r="N46" s="100"/>
      <c r="O46" s="47"/>
      <c r="P46" s="85"/>
      <c r="Q46" s="85"/>
      <c r="R46" s="47"/>
      <c r="S46" s="103"/>
    </row>
    <row r="47" spans="1:19" ht="20.100000000000001" customHeight="1" x14ac:dyDescent="0.3">
      <c r="A47" s="120">
        <v>44</v>
      </c>
      <c r="B47" s="126"/>
      <c r="C47" s="177"/>
      <c r="D47" s="126"/>
      <c r="E47" s="47"/>
      <c r="F47" s="47"/>
      <c r="G47" s="47"/>
      <c r="H47" s="47"/>
      <c r="I47" s="47"/>
      <c r="J47" s="47"/>
      <c r="K47" s="47"/>
      <c r="L47" s="47"/>
      <c r="M47" s="47"/>
      <c r="N47" s="100"/>
      <c r="O47" s="47"/>
      <c r="P47" s="85"/>
      <c r="Q47" s="85"/>
      <c r="R47" s="47"/>
      <c r="S47" s="103"/>
    </row>
    <row r="48" spans="1:19" ht="20.100000000000001" customHeight="1" x14ac:dyDescent="0.3">
      <c r="A48" s="120">
        <v>45</v>
      </c>
      <c r="B48" s="126"/>
      <c r="C48" s="177"/>
      <c r="D48" s="126"/>
      <c r="E48" s="47"/>
      <c r="F48" s="47"/>
      <c r="G48" s="47"/>
      <c r="H48" s="47"/>
      <c r="I48" s="47"/>
      <c r="J48" s="47"/>
      <c r="K48" s="47"/>
      <c r="L48" s="47"/>
      <c r="M48" s="47"/>
      <c r="N48" s="100"/>
      <c r="O48" s="47"/>
      <c r="P48" s="85"/>
      <c r="Q48" s="85"/>
      <c r="R48" s="47"/>
      <c r="S48" s="103"/>
    </row>
    <row r="49" spans="1:19" ht="20.100000000000001" customHeight="1" x14ac:dyDescent="0.3">
      <c r="A49" s="120">
        <v>46</v>
      </c>
      <c r="B49" s="126"/>
      <c r="C49" s="177"/>
      <c r="D49" s="126"/>
      <c r="E49" s="47"/>
      <c r="F49" s="47"/>
      <c r="G49" s="47"/>
      <c r="H49" s="47"/>
      <c r="I49" s="47"/>
      <c r="J49" s="47"/>
      <c r="K49" s="47"/>
      <c r="L49" s="47"/>
      <c r="M49" s="47"/>
      <c r="N49" s="100"/>
      <c r="O49" s="47"/>
      <c r="P49" s="85"/>
      <c r="Q49" s="85"/>
      <c r="R49" s="47"/>
      <c r="S49" s="103"/>
    </row>
    <row r="50" spans="1:19" ht="20.100000000000001" customHeight="1" x14ac:dyDescent="0.3">
      <c r="A50" s="120">
        <v>47</v>
      </c>
      <c r="B50" s="126"/>
      <c r="C50" s="177"/>
      <c r="D50" s="126"/>
      <c r="E50" s="47"/>
      <c r="F50" s="47"/>
      <c r="G50" s="47"/>
      <c r="H50" s="47"/>
      <c r="I50" s="47"/>
      <c r="J50" s="47"/>
      <c r="K50" s="47"/>
      <c r="L50" s="47"/>
      <c r="M50" s="47"/>
      <c r="N50" s="100"/>
      <c r="O50" s="47"/>
      <c r="P50" s="85"/>
      <c r="Q50" s="85"/>
      <c r="R50" s="47"/>
      <c r="S50" s="103"/>
    </row>
    <row r="51" spans="1:19" ht="20.100000000000001" customHeight="1" x14ac:dyDescent="0.3">
      <c r="A51" s="120">
        <v>48</v>
      </c>
      <c r="B51" s="126"/>
      <c r="C51" s="177"/>
      <c r="D51" s="126"/>
      <c r="E51" s="47"/>
      <c r="F51" s="47"/>
      <c r="G51" s="47"/>
      <c r="H51" s="47"/>
      <c r="I51" s="47"/>
      <c r="J51" s="47"/>
      <c r="K51" s="47"/>
      <c r="L51" s="47"/>
      <c r="M51" s="47"/>
      <c r="N51" s="100"/>
      <c r="O51" s="47"/>
      <c r="P51" s="85"/>
      <c r="Q51" s="85"/>
      <c r="R51" s="47"/>
      <c r="S51" s="103"/>
    </row>
    <row r="52" spans="1:19" ht="20.100000000000001" customHeight="1" x14ac:dyDescent="0.3">
      <c r="A52" s="120">
        <v>49</v>
      </c>
      <c r="B52" s="126"/>
      <c r="C52" s="177"/>
      <c r="D52" s="126"/>
      <c r="E52" s="47"/>
      <c r="F52" s="47"/>
      <c r="G52" s="47"/>
      <c r="H52" s="47"/>
      <c r="I52" s="47"/>
      <c r="J52" s="47"/>
      <c r="K52" s="47"/>
      <c r="L52" s="47"/>
      <c r="M52" s="47"/>
      <c r="N52" s="100"/>
      <c r="O52" s="47"/>
      <c r="P52" s="85"/>
      <c r="Q52" s="85"/>
      <c r="R52" s="47"/>
      <c r="S52" s="103"/>
    </row>
    <row r="53" spans="1:19" ht="20.100000000000001" customHeight="1" x14ac:dyDescent="0.3">
      <c r="A53" s="120">
        <v>50</v>
      </c>
      <c r="B53" s="126"/>
      <c r="C53" s="177"/>
      <c r="D53" s="126"/>
      <c r="E53" s="47"/>
      <c r="F53" s="47"/>
      <c r="G53" s="47"/>
      <c r="H53" s="47"/>
      <c r="I53" s="47"/>
      <c r="J53" s="47"/>
      <c r="K53" s="47"/>
      <c r="L53" s="47"/>
      <c r="M53" s="47"/>
      <c r="N53" s="100"/>
      <c r="O53" s="47"/>
      <c r="P53" s="85"/>
      <c r="Q53" s="85"/>
      <c r="R53" s="47"/>
      <c r="S53" s="103"/>
    </row>
    <row r="54" spans="1:19" ht="20.100000000000001" customHeight="1" x14ac:dyDescent="0.3">
      <c r="A54" s="120">
        <v>51</v>
      </c>
      <c r="B54" s="126"/>
      <c r="C54" s="177"/>
      <c r="D54" s="126"/>
      <c r="E54" s="47"/>
      <c r="F54" s="47"/>
      <c r="G54" s="47"/>
      <c r="H54" s="47"/>
      <c r="I54" s="47"/>
      <c r="J54" s="47"/>
      <c r="K54" s="47"/>
      <c r="L54" s="47"/>
      <c r="M54" s="47"/>
      <c r="N54" s="100"/>
      <c r="O54" s="47"/>
      <c r="P54" s="85"/>
      <c r="Q54" s="85"/>
      <c r="R54" s="47"/>
      <c r="S54" s="103"/>
    </row>
    <row r="55" spans="1:19" ht="20.100000000000001" customHeight="1" x14ac:dyDescent="0.3">
      <c r="A55" s="120">
        <v>52</v>
      </c>
      <c r="B55" s="126"/>
      <c r="C55" s="177"/>
      <c r="D55" s="126"/>
      <c r="E55" s="47"/>
      <c r="F55" s="47"/>
      <c r="G55" s="47"/>
      <c r="H55" s="47"/>
      <c r="I55" s="47"/>
      <c r="J55" s="47"/>
      <c r="K55" s="47"/>
      <c r="L55" s="47"/>
      <c r="M55" s="47"/>
      <c r="N55" s="100"/>
      <c r="O55" s="47"/>
      <c r="P55" s="85"/>
      <c r="Q55" s="85"/>
      <c r="R55" s="47"/>
      <c r="S55" s="103"/>
    </row>
    <row r="56" spans="1:19" ht="20.100000000000001" customHeight="1" x14ac:dyDescent="0.25">
      <c r="A56" s="120">
        <v>53</v>
      </c>
      <c r="B56" s="20"/>
      <c r="C56" s="20"/>
      <c r="D56" s="20"/>
      <c r="E56" s="20"/>
      <c r="F56" s="20"/>
      <c r="G56" s="20"/>
      <c r="H56" s="20"/>
      <c r="I56" s="20"/>
      <c r="J56" s="20"/>
      <c r="K56" s="20"/>
      <c r="L56" s="20"/>
      <c r="M56" s="20"/>
      <c r="N56" s="20"/>
      <c r="O56" s="20"/>
      <c r="P56" s="20"/>
      <c r="Q56" s="20"/>
      <c r="R56" s="20"/>
      <c r="S56" s="20"/>
    </row>
    <row r="57" spans="1:19" ht="20.100000000000001" customHeight="1" x14ac:dyDescent="0.25">
      <c r="A57" s="120">
        <v>54</v>
      </c>
      <c r="B57" s="20"/>
      <c r="C57" s="20"/>
      <c r="D57" s="20"/>
      <c r="E57" s="20"/>
      <c r="F57" s="20"/>
      <c r="G57" s="20"/>
      <c r="H57" s="20"/>
      <c r="I57" s="20"/>
      <c r="J57" s="20"/>
      <c r="K57" s="20"/>
      <c r="L57" s="20"/>
      <c r="M57" s="20"/>
      <c r="N57" s="20"/>
      <c r="O57" s="20"/>
      <c r="P57" s="20"/>
      <c r="Q57" s="20"/>
      <c r="R57" s="20"/>
      <c r="S57" s="20"/>
    </row>
    <row r="58" spans="1:19" ht="20.100000000000001" customHeight="1" x14ac:dyDescent="0.25">
      <c r="A58" s="120">
        <v>55</v>
      </c>
      <c r="B58" s="20"/>
      <c r="C58" s="20"/>
      <c r="D58" s="20"/>
      <c r="E58" s="20"/>
      <c r="F58" s="20"/>
      <c r="G58" s="20"/>
      <c r="H58" s="20"/>
      <c r="I58" s="20"/>
      <c r="J58" s="20"/>
      <c r="K58" s="20"/>
      <c r="L58" s="20"/>
      <c r="M58" s="20"/>
      <c r="N58" s="20"/>
      <c r="O58" s="20"/>
      <c r="P58" s="20"/>
      <c r="Q58" s="20"/>
      <c r="R58" s="20"/>
      <c r="S58" s="20"/>
    </row>
    <row r="59" spans="1:19" ht="13.5" customHeight="1" x14ac:dyDescent="0.25"/>
    <row r="60" spans="1:19" ht="13.5" customHeight="1" x14ac:dyDescent="0.25"/>
    <row r="61" spans="1:19" ht="13.5" customHeight="1" x14ac:dyDescent="0.25"/>
    <row r="62" spans="1:19" ht="13.5" customHeight="1" x14ac:dyDescent="0.25"/>
    <row r="63" spans="1:19" ht="13.5" customHeight="1" x14ac:dyDescent="0.25"/>
    <row r="64" spans="1:19" ht="13.5" customHeight="1" x14ac:dyDescent="0.25"/>
    <row r="65" spans="1:4" ht="13.5" customHeight="1" x14ac:dyDescent="0.25"/>
    <row r="66" spans="1:4" ht="13.5" customHeight="1" x14ac:dyDescent="0.25">
      <c r="A66" s="46"/>
      <c r="B66" s="46"/>
    </row>
    <row r="67" spans="1:4" ht="13.5" customHeight="1" x14ac:dyDescent="0.25">
      <c r="A67" s="46"/>
      <c r="B67" s="46"/>
    </row>
    <row r="68" spans="1:4" ht="13.5" customHeight="1" x14ac:dyDescent="0.25">
      <c r="A68" s="46"/>
      <c r="B68" s="46"/>
    </row>
    <row r="69" spans="1:4" ht="13.5" customHeight="1" x14ac:dyDescent="0.25">
      <c r="A69" s="46"/>
      <c r="B69" s="46"/>
    </row>
    <row r="70" spans="1:4" ht="13.5" customHeight="1" x14ac:dyDescent="0.25">
      <c r="A70" s="46"/>
      <c r="B70" s="46"/>
    </row>
    <row r="71" spans="1:4" ht="13.5" customHeight="1" x14ac:dyDescent="0.25">
      <c r="A71" s="46"/>
      <c r="B71" s="46"/>
    </row>
    <row r="72" spans="1:4" ht="13.5" customHeight="1" x14ac:dyDescent="0.25">
      <c r="A72" s="46"/>
      <c r="B72" s="46"/>
    </row>
    <row r="73" spans="1:4" ht="13.5" customHeight="1" x14ac:dyDescent="0.25">
      <c r="A73" s="46"/>
      <c r="B73" s="46"/>
    </row>
    <row r="74" spans="1:4" ht="13.5" customHeight="1" x14ac:dyDescent="0.25">
      <c r="A74" s="46"/>
      <c r="B74" s="46"/>
    </row>
    <row r="75" spans="1:4" ht="13.5" customHeight="1" x14ac:dyDescent="0.25">
      <c r="A75" s="46"/>
      <c r="B75" s="46"/>
      <c r="C75" s="9"/>
      <c r="D75" s="9"/>
    </row>
    <row r="76" spans="1:4" ht="13.5" customHeight="1" x14ac:dyDescent="0.25">
      <c r="A76" s="46"/>
      <c r="B76" s="46"/>
      <c r="C76" s="9"/>
      <c r="D76" s="9"/>
    </row>
    <row r="77" spans="1:4" ht="13.5" customHeight="1" x14ac:dyDescent="0.25">
      <c r="A77" s="46"/>
      <c r="B77" s="46"/>
      <c r="C77" s="9"/>
      <c r="D77" s="9"/>
    </row>
    <row r="78" spans="1:4" ht="13.5" customHeight="1" x14ac:dyDescent="0.25">
      <c r="A78" s="46"/>
      <c r="B78" s="46"/>
      <c r="C78" s="9"/>
      <c r="D78" s="9"/>
    </row>
    <row r="79" spans="1:4" ht="13.5" customHeight="1" x14ac:dyDescent="0.25">
      <c r="A79" s="46"/>
      <c r="B79" s="46"/>
      <c r="C79" s="9"/>
      <c r="D79" s="9"/>
    </row>
    <row r="80" spans="1:4" ht="13.5" customHeight="1" x14ac:dyDescent="0.25">
      <c r="A80" s="46"/>
      <c r="B80" s="46"/>
      <c r="C80" s="9"/>
      <c r="D80" s="9"/>
    </row>
    <row r="81" spans="1:4" ht="13.5" customHeight="1" x14ac:dyDescent="0.25">
      <c r="A81" s="46"/>
      <c r="B81" s="46"/>
      <c r="C81" s="9"/>
      <c r="D81" s="9"/>
    </row>
    <row r="82" spans="1:4" ht="13.5" customHeight="1" x14ac:dyDescent="0.25">
      <c r="A82" s="46"/>
      <c r="B82" s="46"/>
      <c r="C82" s="9"/>
      <c r="D82" s="9"/>
    </row>
    <row r="83" spans="1:4" ht="13.5" customHeight="1" x14ac:dyDescent="0.25">
      <c r="A83" s="46"/>
      <c r="B83" s="46"/>
      <c r="C83" s="9"/>
      <c r="D83" s="9"/>
    </row>
    <row r="84" spans="1:4" ht="13.5" customHeight="1" x14ac:dyDescent="0.25">
      <c r="A84" s="46"/>
      <c r="B84" s="46"/>
    </row>
    <row r="85" spans="1:4" ht="13.5" customHeight="1" x14ac:dyDescent="0.25">
      <c r="A85" s="46"/>
      <c r="B85" s="46"/>
    </row>
    <row r="86" spans="1:4" ht="13.5" customHeight="1" x14ac:dyDescent="0.25">
      <c r="A86" s="46"/>
      <c r="B86" s="46"/>
    </row>
    <row r="87" spans="1:4" ht="13.5" customHeight="1" x14ac:dyDescent="0.25">
      <c r="A87" s="46"/>
      <c r="B87" s="46"/>
    </row>
    <row r="88" spans="1:4" ht="13.5" customHeight="1" x14ac:dyDescent="0.25">
      <c r="A88" s="46"/>
      <c r="B88" s="46"/>
    </row>
    <row r="89" spans="1:4" ht="13.5" customHeight="1" x14ac:dyDescent="0.25">
      <c r="A89" s="46"/>
      <c r="B89" s="46"/>
    </row>
    <row r="90" spans="1:4" ht="13.5" customHeight="1" x14ac:dyDescent="0.25">
      <c r="A90" s="46"/>
      <c r="B90" s="46"/>
    </row>
    <row r="91" spans="1:4" ht="13.5" customHeight="1" x14ac:dyDescent="0.25">
      <c r="A91" s="46"/>
      <c r="B91" s="46"/>
    </row>
    <row r="92" spans="1:4" ht="13.5" customHeight="1" x14ac:dyDescent="0.25">
      <c r="A92" s="46"/>
      <c r="B92" s="46"/>
    </row>
    <row r="93" spans="1:4" ht="13.5" customHeight="1" x14ac:dyDescent="0.25">
      <c r="A93" s="46"/>
      <c r="B93" s="46"/>
    </row>
    <row r="94" spans="1:4" ht="13.5" customHeight="1" x14ac:dyDescent="0.25">
      <c r="A94" s="46"/>
      <c r="B94" s="46"/>
    </row>
    <row r="95" spans="1:4" ht="13.5" customHeight="1" x14ac:dyDescent="0.25">
      <c r="A95" s="46"/>
      <c r="B95" s="46"/>
    </row>
    <row r="96" spans="1:4" ht="13.5" customHeight="1" x14ac:dyDescent="0.25">
      <c r="A96" s="46"/>
      <c r="B96" s="46"/>
    </row>
    <row r="97" spans="1:2" ht="13.5" customHeight="1" x14ac:dyDescent="0.25">
      <c r="A97" s="46"/>
      <c r="B97" s="46"/>
    </row>
    <row r="98" spans="1:2" ht="13.5" customHeight="1" x14ac:dyDescent="0.25">
      <c r="A98" s="46"/>
      <c r="B98" s="46"/>
    </row>
    <row r="99" spans="1:2" ht="15" customHeight="1" x14ac:dyDescent="0.25">
      <c r="A99" s="46"/>
      <c r="B99" s="46"/>
    </row>
  </sheetData>
  <mergeCells count="2">
    <mergeCell ref="A1:S1"/>
    <mergeCell ref="A2:S2"/>
  </mergeCells>
  <conditionalFormatting sqref="E4:N31">
    <cfRule type="cellIs" dxfId="4" priority="1" operator="lessThan">
      <formula>50</formula>
    </cfRule>
  </conditionalFormatting>
  <pageMargins left="0.7" right="0.7" top="0.75" bottom="0.75" header="0.3" footer="0.3"/>
  <pageSetup paperSize="9" scale="77" fitToHeight="0"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99"/>
  <sheetViews>
    <sheetView topLeftCell="A10" workbookViewId="0">
      <selection activeCell="B4" sqref="B4:B31"/>
    </sheetView>
  </sheetViews>
  <sheetFormatPr defaultRowHeight="15" x14ac:dyDescent="0.25"/>
  <cols>
    <col min="1" max="1" width="4.85546875" customWidth="1"/>
    <col min="2" max="2" width="37.140625" customWidth="1"/>
    <col min="3" max="3" width="6.140625" customWidth="1"/>
    <col min="4" max="4" width="4.85546875" customWidth="1"/>
    <col min="5" max="19" width="7.7109375" customWidth="1"/>
    <col min="20" max="20" width="38.28515625" customWidth="1"/>
    <col min="21" max="22" width="4.85546875" customWidth="1"/>
  </cols>
  <sheetData>
    <row r="1" spans="1:22" ht="20.25" customHeight="1" thickBot="1" x14ac:dyDescent="0.3">
      <c r="A1" s="341" t="s">
        <v>52</v>
      </c>
      <c r="B1" s="342"/>
      <c r="C1" s="342"/>
      <c r="D1" s="342"/>
      <c r="E1" s="342"/>
      <c r="F1" s="342"/>
      <c r="G1" s="342"/>
      <c r="H1" s="342"/>
      <c r="I1" s="342"/>
      <c r="J1" s="342"/>
      <c r="K1" s="342"/>
      <c r="L1" s="342"/>
      <c r="M1" s="342"/>
      <c r="N1" s="342"/>
      <c r="O1" s="342"/>
      <c r="P1" s="342"/>
      <c r="Q1" s="342"/>
      <c r="R1" s="342"/>
      <c r="S1" s="343"/>
      <c r="T1" s="46"/>
    </row>
    <row r="2" spans="1:22" ht="15.75" customHeight="1" thickBot="1" x14ac:dyDescent="0.3">
      <c r="A2" s="345" t="s">
        <v>55</v>
      </c>
      <c r="B2" s="345"/>
      <c r="C2" s="345"/>
      <c r="D2" s="345"/>
      <c r="E2" s="345"/>
      <c r="F2" s="345"/>
      <c r="G2" s="345"/>
      <c r="H2" s="345"/>
      <c r="I2" s="345"/>
      <c r="J2" s="345"/>
      <c r="K2" s="345"/>
      <c r="L2" s="345"/>
      <c r="M2" s="345"/>
      <c r="N2" s="345"/>
      <c r="O2" s="345"/>
      <c r="P2" s="345"/>
      <c r="Q2" s="345"/>
      <c r="R2" s="345"/>
      <c r="S2" s="344"/>
      <c r="T2" s="46"/>
    </row>
    <row r="3" spans="1:22" ht="52.5" customHeight="1" x14ac:dyDescent="0.25">
      <c r="A3" s="52" t="s">
        <v>28</v>
      </c>
      <c r="B3" s="205" t="s">
        <v>1</v>
      </c>
      <c r="C3" s="205" t="s">
        <v>2</v>
      </c>
      <c r="D3" s="205" t="s">
        <v>3</v>
      </c>
      <c r="E3" s="25" t="s">
        <v>4</v>
      </c>
      <c r="F3" s="25" t="s">
        <v>5</v>
      </c>
      <c r="G3" s="25" t="s">
        <v>6</v>
      </c>
      <c r="H3" s="25" t="s">
        <v>7</v>
      </c>
      <c r="I3" s="25" t="s">
        <v>8</v>
      </c>
      <c r="J3" s="25" t="s">
        <v>9</v>
      </c>
      <c r="K3" s="25" t="s">
        <v>12</v>
      </c>
      <c r="L3" s="27" t="s">
        <v>31</v>
      </c>
      <c r="M3" s="27" t="s">
        <v>13</v>
      </c>
      <c r="N3" s="25" t="s">
        <v>14</v>
      </c>
      <c r="O3" s="27" t="s">
        <v>15</v>
      </c>
      <c r="P3" s="25" t="s">
        <v>16</v>
      </c>
      <c r="Q3" s="25" t="s">
        <v>17</v>
      </c>
      <c r="R3" s="25" t="s">
        <v>18</v>
      </c>
      <c r="S3" s="208" t="s">
        <v>19</v>
      </c>
    </row>
    <row r="4" spans="1:22" ht="20.100000000000001" customHeight="1" x14ac:dyDescent="0.25">
      <c r="A4" s="120">
        <v>1</v>
      </c>
      <c r="B4" s="142"/>
      <c r="C4" s="156">
        <v>17</v>
      </c>
      <c r="D4" s="156" t="s">
        <v>20</v>
      </c>
      <c r="E4" s="31">
        <v>83</v>
      </c>
      <c r="F4" s="31">
        <v>63</v>
      </c>
      <c r="G4" s="31">
        <v>52</v>
      </c>
      <c r="H4" s="31">
        <v>63</v>
      </c>
      <c r="I4" s="31">
        <v>54</v>
      </c>
      <c r="J4" s="31">
        <v>79</v>
      </c>
      <c r="K4" s="31">
        <v>71</v>
      </c>
      <c r="L4" s="31">
        <v>70</v>
      </c>
      <c r="M4" s="31">
        <v>86</v>
      </c>
      <c r="N4" s="48">
        <v>97</v>
      </c>
      <c r="O4" s="31">
        <f>SUM(E4:N4)</f>
        <v>718</v>
      </c>
      <c r="P4" s="30">
        <f>AVERAGE(E4:N4)</f>
        <v>71.8</v>
      </c>
      <c r="Q4" s="30">
        <f>RANK(P4,$P$4:$P$31)</f>
        <v>26</v>
      </c>
      <c r="R4" s="31"/>
      <c r="S4" s="74"/>
    </row>
    <row r="5" spans="1:22" ht="20.100000000000001" customHeight="1" x14ac:dyDescent="0.25">
      <c r="A5" s="120">
        <v>2</v>
      </c>
      <c r="B5" s="142"/>
      <c r="C5" s="156">
        <v>17</v>
      </c>
      <c r="D5" s="156" t="s">
        <v>20</v>
      </c>
      <c r="E5" s="31">
        <v>91</v>
      </c>
      <c r="F5" s="31">
        <v>96</v>
      </c>
      <c r="G5" s="31">
        <v>88</v>
      </c>
      <c r="H5" s="31">
        <v>92</v>
      </c>
      <c r="I5" s="31">
        <v>90</v>
      </c>
      <c r="J5" s="31">
        <v>99</v>
      </c>
      <c r="K5" s="31">
        <v>99</v>
      </c>
      <c r="L5" s="31">
        <v>100</v>
      </c>
      <c r="M5" s="31">
        <v>95</v>
      </c>
      <c r="N5" s="48">
        <v>100</v>
      </c>
      <c r="O5" s="31">
        <f t="shared" ref="O5:O31" si="0">SUM(E5:N5)</f>
        <v>950</v>
      </c>
      <c r="P5" s="30">
        <f t="shared" ref="P5:P31" si="1">AVERAGE(E5:N5)</f>
        <v>95</v>
      </c>
      <c r="Q5" s="30">
        <f t="shared" ref="Q5:Q31" si="2">RANK(P5,$P$4:$P$31)</f>
        <v>3</v>
      </c>
      <c r="R5" s="31"/>
      <c r="S5" s="74"/>
    </row>
    <row r="6" spans="1:22" ht="20.100000000000001" customHeight="1" x14ac:dyDescent="0.25">
      <c r="A6" s="120">
        <v>3</v>
      </c>
      <c r="B6" s="142"/>
      <c r="C6" s="156">
        <v>17</v>
      </c>
      <c r="D6" s="156" t="s">
        <v>20</v>
      </c>
      <c r="E6" s="31">
        <v>80</v>
      </c>
      <c r="F6" s="31">
        <v>73</v>
      </c>
      <c r="G6" s="31">
        <v>57</v>
      </c>
      <c r="H6" s="31">
        <v>68</v>
      </c>
      <c r="I6" s="31">
        <v>52</v>
      </c>
      <c r="J6" s="31">
        <v>79</v>
      </c>
      <c r="K6" s="31">
        <v>84</v>
      </c>
      <c r="L6" s="31">
        <v>40</v>
      </c>
      <c r="M6" s="31">
        <v>96</v>
      </c>
      <c r="N6" s="48">
        <v>96</v>
      </c>
      <c r="O6" s="31">
        <f t="shared" si="0"/>
        <v>725</v>
      </c>
      <c r="P6" s="30">
        <f t="shared" si="1"/>
        <v>72.5</v>
      </c>
      <c r="Q6" s="30">
        <f t="shared" si="2"/>
        <v>23</v>
      </c>
      <c r="R6" s="31"/>
      <c r="S6" s="74"/>
    </row>
    <row r="7" spans="1:22" ht="20.100000000000001" customHeight="1" x14ac:dyDescent="0.25">
      <c r="A7" s="120">
        <v>4</v>
      </c>
      <c r="B7" s="142"/>
      <c r="C7" s="156">
        <v>15</v>
      </c>
      <c r="D7" s="156" t="s">
        <v>20</v>
      </c>
      <c r="E7" s="31">
        <v>70</v>
      </c>
      <c r="F7" s="31">
        <v>93</v>
      </c>
      <c r="G7" s="31">
        <v>70</v>
      </c>
      <c r="H7" s="31">
        <v>67</v>
      </c>
      <c r="I7" s="31">
        <v>70</v>
      </c>
      <c r="J7" s="31">
        <v>90</v>
      </c>
      <c r="K7" s="31">
        <v>88</v>
      </c>
      <c r="L7" s="31">
        <v>40</v>
      </c>
      <c r="M7" s="31">
        <v>90</v>
      </c>
      <c r="N7" s="48">
        <v>92</v>
      </c>
      <c r="O7" s="31">
        <f t="shared" si="0"/>
        <v>770</v>
      </c>
      <c r="P7" s="30">
        <f t="shared" si="1"/>
        <v>77</v>
      </c>
      <c r="Q7" s="30">
        <f t="shared" si="2"/>
        <v>22</v>
      </c>
      <c r="R7" s="31"/>
      <c r="S7" s="74"/>
    </row>
    <row r="8" spans="1:22" ht="20.100000000000001" customHeight="1" x14ac:dyDescent="0.25">
      <c r="A8" s="120">
        <v>5</v>
      </c>
      <c r="B8" s="142"/>
      <c r="C8" s="156">
        <v>16</v>
      </c>
      <c r="D8" s="156" t="s">
        <v>23</v>
      </c>
      <c r="E8" s="31">
        <v>92</v>
      </c>
      <c r="F8" s="31">
        <v>94</v>
      </c>
      <c r="G8" s="31">
        <v>74</v>
      </c>
      <c r="H8" s="31">
        <v>87</v>
      </c>
      <c r="I8" s="31">
        <v>80</v>
      </c>
      <c r="J8" s="31">
        <v>93</v>
      </c>
      <c r="K8" s="31">
        <v>95</v>
      </c>
      <c r="L8" s="31">
        <v>75</v>
      </c>
      <c r="M8" s="31">
        <v>91</v>
      </c>
      <c r="N8" s="48">
        <v>99</v>
      </c>
      <c r="O8" s="31">
        <f t="shared" si="0"/>
        <v>880</v>
      </c>
      <c r="P8" s="30">
        <f t="shared" si="1"/>
        <v>88</v>
      </c>
      <c r="Q8" s="30">
        <f t="shared" si="2"/>
        <v>10</v>
      </c>
      <c r="R8" s="31"/>
      <c r="S8" s="74"/>
      <c r="T8" s="9"/>
      <c r="U8" s="9"/>
      <c r="V8" s="9"/>
    </row>
    <row r="9" spans="1:22" ht="20.100000000000001" customHeight="1" x14ac:dyDescent="0.25">
      <c r="A9" s="120">
        <v>6</v>
      </c>
      <c r="B9" s="142"/>
      <c r="C9" s="156">
        <v>16</v>
      </c>
      <c r="D9" s="156" t="s">
        <v>23</v>
      </c>
      <c r="E9" s="31">
        <v>92</v>
      </c>
      <c r="F9" s="31">
        <v>91</v>
      </c>
      <c r="G9" s="31">
        <v>72</v>
      </c>
      <c r="H9" s="31">
        <v>88</v>
      </c>
      <c r="I9" s="31">
        <v>81</v>
      </c>
      <c r="J9" s="31">
        <v>86</v>
      </c>
      <c r="K9" s="31">
        <v>90</v>
      </c>
      <c r="L9" s="31">
        <v>61</v>
      </c>
      <c r="M9" s="31">
        <v>95</v>
      </c>
      <c r="N9" s="48">
        <v>97</v>
      </c>
      <c r="O9" s="31">
        <f t="shared" si="0"/>
        <v>853</v>
      </c>
      <c r="P9" s="30">
        <f t="shared" si="1"/>
        <v>85.3</v>
      </c>
      <c r="Q9" s="30">
        <f t="shared" si="2"/>
        <v>14</v>
      </c>
      <c r="R9" s="31"/>
      <c r="S9" s="74"/>
      <c r="T9" s="9"/>
      <c r="U9" s="9"/>
      <c r="V9" s="9"/>
    </row>
    <row r="10" spans="1:22" ht="20.100000000000001" customHeight="1" x14ac:dyDescent="0.25">
      <c r="A10" s="120">
        <v>7</v>
      </c>
      <c r="B10" s="142"/>
      <c r="C10" s="156">
        <v>17</v>
      </c>
      <c r="D10" s="156" t="s">
        <v>20</v>
      </c>
      <c r="E10" s="31">
        <v>94</v>
      </c>
      <c r="F10" s="31">
        <v>83</v>
      </c>
      <c r="G10" s="31">
        <v>81</v>
      </c>
      <c r="H10" s="31">
        <v>88</v>
      </c>
      <c r="I10" s="31">
        <v>93</v>
      </c>
      <c r="J10" s="31">
        <v>95</v>
      </c>
      <c r="K10" s="31">
        <v>95</v>
      </c>
      <c r="L10" s="31">
        <v>84</v>
      </c>
      <c r="M10" s="31">
        <v>92</v>
      </c>
      <c r="N10" s="48">
        <v>97</v>
      </c>
      <c r="O10" s="31">
        <f t="shared" si="0"/>
        <v>902</v>
      </c>
      <c r="P10" s="30">
        <f t="shared" si="1"/>
        <v>90.2</v>
      </c>
      <c r="Q10" s="30">
        <f t="shared" si="2"/>
        <v>7</v>
      </c>
      <c r="R10" s="31"/>
      <c r="S10" s="74"/>
      <c r="T10" s="9"/>
      <c r="U10" s="9"/>
      <c r="V10" s="9"/>
    </row>
    <row r="11" spans="1:22" ht="20.100000000000001" customHeight="1" x14ac:dyDescent="0.25">
      <c r="A11" s="120">
        <v>8</v>
      </c>
      <c r="B11" s="142"/>
      <c r="C11" s="156">
        <v>16</v>
      </c>
      <c r="D11" s="156" t="s">
        <v>23</v>
      </c>
      <c r="E11" s="31">
        <v>90</v>
      </c>
      <c r="F11" s="31">
        <v>82</v>
      </c>
      <c r="G11" s="31">
        <v>91</v>
      </c>
      <c r="H11" s="31">
        <v>93</v>
      </c>
      <c r="I11" s="31">
        <v>86</v>
      </c>
      <c r="J11" s="31">
        <v>93</v>
      </c>
      <c r="K11" s="31">
        <v>92</v>
      </c>
      <c r="L11" s="31">
        <v>73</v>
      </c>
      <c r="M11" s="31">
        <v>95</v>
      </c>
      <c r="N11" s="48">
        <v>96</v>
      </c>
      <c r="O11" s="31">
        <f t="shared" si="0"/>
        <v>891</v>
      </c>
      <c r="P11" s="30">
        <f t="shared" si="1"/>
        <v>89.1</v>
      </c>
      <c r="Q11" s="30">
        <f t="shared" si="2"/>
        <v>9</v>
      </c>
      <c r="R11" s="31"/>
      <c r="S11" s="74"/>
      <c r="T11" s="9"/>
      <c r="U11" s="9"/>
      <c r="V11" s="9"/>
    </row>
    <row r="12" spans="1:22" ht="20.100000000000001" customHeight="1" x14ac:dyDescent="0.25">
      <c r="A12" s="120">
        <v>9</v>
      </c>
      <c r="B12" s="142"/>
      <c r="C12" s="156">
        <v>16</v>
      </c>
      <c r="D12" s="156" t="s">
        <v>20</v>
      </c>
      <c r="E12" s="31">
        <v>94</v>
      </c>
      <c r="F12" s="31">
        <v>83</v>
      </c>
      <c r="G12" s="31">
        <v>85</v>
      </c>
      <c r="H12" s="31">
        <v>77</v>
      </c>
      <c r="I12" s="31">
        <v>61</v>
      </c>
      <c r="J12" s="31">
        <v>76</v>
      </c>
      <c r="K12" s="31">
        <v>88</v>
      </c>
      <c r="L12" s="31">
        <v>91</v>
      </c>
      <c r="M12" s="31">
        <v>95</v>
      </c>
      <c r="N12" s="48">
        <v>96</v>
      </c>
      <c r="O12" s="31">
        <f t="shared" si="0"/>
        <v>846</v>
      </c>
      <c r="P12" s="30">
        <f t="shared" si="1"/>
        <v>84.6</v>
      </c>
      <c r="Q12" s="30">
        <f t="shared" si="2"/>
        <v>16</v>
      </c>
      <c r="R12" s="31"/>
      <c r="S12" s="74"/>
      <c r="T12" s="9"/>
      <c r="U12" s="9"/>
      <c r="V12" s="9"/>
    </row>
    <row r="13" spans="1:22" ht="20.100000000000001" customHeight="1" x14ac:dyDescent="0.25">
      <c r="A13" s="120">
        <v>10</v>
      </c>
      <c r="B13" s="142"/>
      <c r="C13" s="156">
        <v>16</v>
      </c>
      <c r="D13" s="156" t="s">
        <v>23</v>
      </c>
      <c r="E13" s="31">
        <v>87</v>
      </c>
      <c r="F13" s="31">
        <v>73</v>
      </c>
      <c r="G13" s="31">
        <v>60</v>
      </c>
      <c r="H13" s="31">
        <v>72</v>
      </c>
      <c r="I13" s="31">
        <v>64</v>
      </c>
      <c r="J13" s="31">
        <v>85</v>
      </c>
      <c r="K13" s="31">
        <v>82</v>
      </c>
      <c r="L13" s="31">
        <v>100</v>
      </c>
      <c r="M13" s="31">
        <v>87</v>
      </c>
      <c r="N13" s="48">
        <v>96</v>
      </c>
      <c r="O13" s="31">
        <f t="shared" si="0"/>
        <v>806</v>
      </c>
      <c r="P13" s="30">
        <f t="shared" si="1"/>
        <v>80.599999999999994</v>
      </c>
      <c r="Q13" s="30">
        <f t="shared" si="2"/>
        <v>19</v>
      </c>
      <c r="R13" s="31"/>
      <c r="S13" s="74"/>
      <c r="T13" s="9"/>
      <c r="U13" s="9"/>
      <c r="V13" s="9"/>
    </row>
    <row r="14" spans="1:22" ht="20.100000000000001" customHeight="1" x14ac:dyDescent="0.25">
      <c r="A14" s="120">
        <v>11</v>
      </c>
      <c r="B14" s="142"/>
      <c r="C14" s="156">
        <v>16</v>
      </c>
      <c r="D14" s="156" t="s">
        <v>20</v>
      </c>
      <c r="E14" s="31">
        <v>80</v>
      </c>
      <c r="F14" s="31">
        <v>91</v>
      </c>
      <c r="G14" s="31">
        <v>97</v>
      </c>
      <c r="H14" s="31">
        <v>97</v>
      </c>
      <c r="I14" s="31">
        <v>94</v>
      </c>
      <c r="J14" s="31">
        <v>93</v>
      </c>
      <c r="K14" s="31">
        <v>90</v>
      </c>
      <c r="L14" s="31">
        <v>100</v>
      </c>
      <c r="M14" s="31">
        <v>89</v>
      </c>
      <c r="N14" s="48">
        <v>92</v>
      </c>
      <c r="O14" s="31">
        <f t="shared" si="0"/>
        <v>923</v>
      </c>
      <c r="P14" s="30">
        <f t="shared" si="1"/>
        <v>92.3</v>
      </c>
      <c r="Q14" s="30">
        <f t="shared" si="2"/>
        <v>5</v>
      </c>
      <c r="R14" s="31"/>
      <c r="S14" s="74"/>
      <c r="T14" s="9"/>
      <c r="U14" s="9"/>
      <c r="V14" s="9"/>
    </row>
    <row r="15" spans="1:22" ht="20.100000000000001" customHeight="1" x14ac:dyDescent="0.25">
      <c r="A15" s="120">
        <v>12</v>
      </c>
      <c r="B15" s="142"/>
      <c r="C15" s="156">
        <v>17</v>
      </c>
      <c r="D15" s="156" t="s">
        <v>23</v>
      </c>
      <c r="E15" s="31">
        <v>100</v>
      </c>
      <c r="F15" s="31">
        <v>95</v>
      </c>
      <c r="G15" s="31">
        <v>81</v>
      </c>
      <c r="H15" s="31">
        <v>90</v>
      </c>
      <c r="I15" s="31">
        <v>82</v>
      </c>
      <c r="J15" s="31">
        <v>97</v>
      </c>
      <c r="K15" s="31">
        <v>96</v>
      </c>
      <c r="L15" s="31">
        <v>90</v>
      </c>
      <c r="M15" s="31">
        <v>92</v>
      </c>
      <c r="N15" s="48">
        <v>91</v>
      </c>
      <c r="O15" s="31">
        <f t="shared" si="0"/>
        <v>914</v>
      </c>
      <c r="P15" s="30">
        <f t="shared" si="1"/>
        <v>91.4</v>
      </c>
      <c r="Q15" s="30">
        <f t="shared" si="2"/>
        <v>6</v>
      </c>
      <c r="R15" s="31"/>
      <c r="S15" s="74"/>
      <c r="T15" s="9"/>
      <c r="U15" s="9"/>
      <c r="V15" s="9"/>
    </row>
    <row r="16" spans="1:22" ht="20.100000000000001" customHeight="1" x14ac:dyDescent="0.25">
      <c r="A16" s="120">
        <v>13</v>
      </c>
      <c r="B16" s="142"/>
      <c r="C16" s="156">
        <v>16</v>
      </c>
      <c r="D16" s="156" t="s">
        <v>20</v>
      </c>
      <c r="E16" s="31">
        <v>91</v>
      </c>
      <c r="F16" s="31">
        <v>90</v>
      </c>
      <c r="G16" s="31">
        <v>88</v>
      </c>
      <c r="H16" s="31">
        <v>69</v>
      </c>
      <c r="I16" s="31">
        <v>83</v>
      </c>
      <c r="J16" s="31">
        <v>91</v>
      </c>
      <c r="K16" s="31">
        <v>94</v>
      </c>
      <c r="L16" s="31">
        <v>76</v>
      </c>
      <c r="M16" s="31">
        <v>95</v>
      </c>
      <c r="N16" s="48">
        <v>87</v>
      </c>
      <c r="O16" s="31">
        <f t="shared" si="0"/>
        <v>864</v>
      </c>
      <c r="P16" s="30">
        <f t="shared" si="1"/>
        <v>86.4</v>
      </c>
      <c r="Q16" s="30">
        <f t="shared" si="2"/>
        <v>13</v>
      </c>
      <c r="R16" s="31"/>
      <c r="S16" s="74"/>
      <c r="T16" s="9"/>
      <c r="U16" s="9"/>
      <c r="V16" s="9"/>
    </row>
    <row r="17" spans="1:22" ht="20.100000000000001" customHeight="1" x14ac:dyDescent="0.25">
      <c r="A17" s="120">
        <v>14</v>
      </c>
      <c r="B17" s="142"/>
      <c r="C17" s="156">
        <v>16</v>
      </c>
      <c r="D17" s="156" t="s">
        <v>23</v>
      </c>
      <c r="E17" s="31">
        <v>88</v>
      </c>
      <c r="F17" s="31">
        <v>73</v>
      </c>
      <c r="G17" s="31">
        <v>51</v>
      </c>
      <c r="H17" s="31">
        <v>63</v>
      </c>
      <c r="I17" s="31">
        <v>47</v>
      </c>
      <c r="J17" s="31">
        <v>80</v>
      </c>
      <c r="K17" s="31">
        <v>74</v>
      </c>
      <c r="L17" s="31">
        <v>69</v>
      </c>
      <c r="M17" s="31">
        <v>83</v>
      </c>
      <c r="N17" s="48">
        <v>94</v>
      </c>
      <c r="O17" s="31">
        <f t="shared" si="0"/>
        <v>722</v>
      </c>
      <c r="P17" s="30">
        <f t="shared" si="1"/>
        <v>72.2</v>
      </c>
      <c r="Q17" s="30">
        <f t="shared" si="2"/>
        <v>24</v>
      </c>
      <c r="R17" s="31"/>
      <c r="S17" s="74"/>
      <c r="T17" s="9"/>
      <c r="U17" s="9"/>
      <c r="V17" s="9"/>
    </row>
    <row r="18" spans="1:22" ht="20.100000000000001" customHeight="1" x14ac:dyDescent="0.25">
      <c r="A18" s="120">
        <v>15</v>
      </c>
      <c r="B18" s="142"/>
      <c r="C18" s="156">
        <v>15</v>
      </c>
      <c r="D18" s="156" t="s">
        <v>23</v>
      </c>
      <c r="E18" s="31">
        <v>94</v>
      </c>
      <c r="F18" s="31">
        <v>79</v>
      </c>
      <c r="G18" s="31">
        <v>74</v>
      </c>
      <c r="H18" s="31">
        <v>85</v>
      </c>
      <c r="I18" s="31">
        <v>80</v>
      </c>
      <c r="J18" s="31">
        <v>91</v>
      </c>
      <c r="K18" s="31">
        <v>92</v>
      </c>
      <c r="L18" s="31">
        <v>95</v>
      </c>
      <c r="M18" s="31">
        <v>94</v>
      </c>
      <c r="N18" s="48">
        <v>94</v>
      </c>
      <c r="O18" s="31">
        <f t="shared" si="0"/>
        <v>878</v>
      </c>
      <c r="P18" s="30">
        <f t="shared" si="1"/>
        <v>87.8</v>
      </c>
      <c r="Q18" s="30">
        <f t="shared" si="2"/>
        <v>11</v>
      </c>
      <c r="R18" s="31"/>
      <c r="S18" s="74"/>
      <c r="T18" s="9"/>
      <c r="U18" s="9"/>
      <c r="V18" s="9"/>
    </row>
    <row r="19" spans="1:22" ht="20.100000000000001" customHeight="1" x14ac:dyDescent="0.25">
      <c r="A19" s="120">
        <v>16</v>
      </c>
      <c r="B19" s="142"/>
      <c r="C19" s="156">
        <v>16</v>
      </c>
      <c r="D19" s="156" t="s">
        <v>20</v>
      </c>
      <c r="E19" s="31">
        <v>79</v>
      </c>
      <c r="F19" s="31">
        <v>72</v>
      </c>
      <c r="G19" s="31">
        <v>48</v>
      </c>
      <c r="H19" s="31">
        <v>58</v>
      </c>
      <c r="I19" s="31">
        <v>56</v>
      </c>
      <c r="J19" s="31">
        <v>85</v>
      </c>
      <c r="K19" s="31">
        <v>78</v>
      </c>
      <c r="L19" s="31">
        <v>62</v>
      </c>
      <c r="M19" s="31">
        <v>87</v>
      </c>
      <c r="N19" s="48">
        <v>96</v>
      </c>
      <c r="O19" s="31">
        <f t="shared" si="0"/>
        <v>721</v>
      </c>
      <c r="P19" s="30">
        <f t="shared" si="1"/>
        <v>72.099999999999994</v>
      </c>
      <c r="Q19" s="30">
        <f t="shared" si="2"/>
        <v>25</v>
      </c>
      <c r="R19" s="31"/>
      <c r="S19" s="74"/>
      <c r="T19" s="9"/>
      <c r="U19" s="9"/>
      <c r="V19" s="9"/>
    </row>
    <row r="20" spans="1:22" ht="20.100000000000001" customHeight="1" x14ac:dyDescent="0.25">
      <c r="A20" s="120">
        <v>17</v>
      </c>
      <c r="B20" s="142"/>
      <c r="C20" s="156">
        <v>15</v>
      </c>
      <c r="D20" s="156" t="s">
        <v>23</v>
      </c>
      <c r="E20" s="31">
        <v>90</v>
      </c>
      <c r="F20" s="31">
        <v>59</v>
      </c>
      <c r="G20" s="31">
        <v>72</v>
      </c>
      <c r="H20" s="31">
        <v>88</v>
      </c>
      <c r="I20" s="31">
        <v>75</v>
      </c>
      <c r="J20" s="31">
        <v>90</v>
      </c>
      <c r="K20" s="31">
        <v>81</v>
      </c>
      <c r="L20" s="31">
        <v>93</v>
      </c>
      <c r="M20" s="31">
        <v>89</v>
      </c>
      <c r="N20" s="48">
        <v>96</v>
      </c>
      <c r="O20" s="31">
        <f t="shared" si="0"/>
        <v>833</v>
      </c>
      <c r="P20" s="30">
        <f t="shared" si="1"/>
        <v>83.3</v>
      </c>
      <c r="Q20" s="30">
        <f t="shared" si="2"/>
        <v>17</v>
      </c>
      <c r="R20" s="31"/>
      <c r="S20" s="74"/>
      <c r="T20" s="9"/>
      <c r="U20" s="9"/>
      <c r="V20" s="9"/>
    </row>
    <row r="21" spans="1:22" ht="20.100000000000001" customHeight="1" x14ac:dyDescent="0.25">
      <c r="A21" s="120">
        <v>18</v>
      </c>
      <c r="B21" s="142"/>
      <c r="C21" s="156">
        <v>16</v>
      </c>
      <c r="D21" s="156" t="s">
        <v>20</v>
      </c>
      <c r="E21" s="31">
        <v>86</v>
      </c>
      <c r="F21" s="31">
        <v>66</v>
      </c>
      <c r="G21" s="31">
        <v>60</v>
      </c>
      <c r="H21" s="31">
        <v>69</v>
      </c>
      <c r="I21" s="31">
        <v>53</v>
      </c>
      <c r="J21" s="31">
        <v>72</v>
      </c>
      <c r="K21" s="31">
        <v>73</v>
      </c>
      <c r="L21" s="31">
        <v>59</v>
      </c>
      <c r="M21" s="31">
        <v>82</v>
      </c>
      <c r="N21" s="48">
        <v>88</v>
      </c>
      <c r="O21" s="31">
        <f t="shared" si="0"/>
        <v>708</v>
      </c>
      <c r="P21" s="30">
        <f t="shared" si="1"/>
        <v>70.8</v>
      </c>
      <c r="Q21" s="30">
        <f t="shared" si="2"/>
        <v>27</v>
      </c>
      <c r="R21" s="31"/>
      <c r="S21" s="74"/>
    </row>
    <row r="22" spans="1:22" ht="20.100000000000001" customHeight="1" x14ac:dyDescent="0.25">
      <c r="A22" s="120">
        <v>19</v>
      </c>
      <c r="B22" s="181"/>
      <c r="C22" s="183">
        <v>16</v>
      </c>
      <c r="D22" s="183" t="s">
        <v>20</v>
      </c>
      <c r="E22" s="31">
        <v>89</v>
      </c>
      <c r="F22" s="31">
        <v>95</v>
      </c>
      <c r="G22" s="31">
        <v>57</v>
      </c>
      <c r="H22" s="31">
        <v>77</v>
      </c>
      <c r="I22" s="31">
        <v>66</v>
      </c>
      <c r="J22" s="31">
        <v>88</v>
      </c>
      <c r="K22" s="31">
        <v>94</v>
      </c>
      <c r="L22" s="31">
        <v>49</v>
      </c>
      <c r="M22" s="31">
        <v>91</v>
      </c>
      <c r="N22" s="48">
        <v>98</v>
      </c>
      <c r="O22" s="31">
        <f t="shared" si="0"/>
        <v>804</v>
      </c>
      <c r="P22" s="30">
        <f t="shared" si="1"/>
        <v>80.400000000000006</v>
      </c>
      <c r="Q22" s="30">
        <f t="shared" si="2"/>
        <v>20</v>
      </c>
      <c r="R22" s="31"/>
      <c r="S22" s="74"/>
    </row>
    <row r="23" spans="1:22" ht="20.100000000000001" customHeight="1" x14ac:dyDescent="0.25">
      <c r="A23" s="120">
        <v>20</v>
      </c>
      <c r="B23" s="142"/>
      <c r="C23" s="156">
        <v>16</v>
      </c>
      <c r="D23" s="156" t="s">
        <v>20</v>
      </c>
      <c r="E23" s="31">
        <v>83</v>
      </c>
      <c r="F23" s="31">
        <v>82</v>
      </c>
      <c r="G23" s="31">
        <v>64</v>
      </c>
      <c r="H23" s="31">
        <v>86</v>
      </c>
      <c r="I23" s="31">
        <v>71</v>
      </c>
      <c r="J23" s="31">
        <v>78</v>
      </c>
      <c r="K23" s="31">
        <v>90</v>
      </c>
      <c r="L23" s="31">
        <v>49</v>
      </c>
      <c r="M23" s="31">
        <v>98</v>
      </c>
      <c r="N23" s="48">
        <v>94</v>
      </c>
      <c r="O23" s="31">
        <f t="shared" si="0"/>
        <v>795</v>
      </c>
      <c r="P23" s="30">
        <f t="shared" si="1"/>
        <v>79.5</v>
      </c>
      <c r="Q23" s="30">
        <f t="shared" si="2"/>
        <v>21</v>
      </c>
      <c r="R23" s="31"/>
      <c r="S23" s="74"/>
    </row>
    <row r="24" spans="1:22" ht="20.100000000000001" customHeight="1" x14ac:dyDescent="0.25">
      <c r="A24" s="120">
        <v>21</v>
      </c>
      <c r="B24" s="142"/>
      <c r="C24" s="156">
        <v>16</v>
      </c>
      <c r="D24" s="156" t="s">
        <v>20</v>
      </c>
      <c r="E24" s="31">
        <v>84</v>
      </c>
      <c r="F24" s="31">
        <v>90</v>
      </c>
      <c r="G24" s="31">
        <v>77</v>
      </c>
      <c r="H24" s="31">
        <v>83</v>
      </c>
      <c r="I24" s="31">
        <v>80</v>
      </c>
      <c r="J24" s="31">
        <v>90</v>
      </c>
      <c r="K24" s="31">
        <v>92</v>
      </c>
      <c r="L24" s="31">
        <v>62</v>
      </c>
      <c r="M24" s="31">
        <v>90</v>
      </c>
      <c r="N24" s="48">
        <v>100</v>
      </c>
      <c r="O24" s="31">
        <f t="shared" si="0"/>
        <v>848</v>
      </c>
      <c r="P24" s="30">
        <f t="shared" si="1"/>
        <v>84.8</v>
      </c>
      <c r="Q24" s="30">
        <f t="shared" si="2"/>
        <v>15</v>
      </c>
      <c r="R24" s="31"/>
      <c r="S24" s="74"/>
    </row>
    <row r="25" spans="1:22" ht="20.100000000000001" customHeight="1" x14ac:dyDescent="0.25">
      <c r="A25" s="120">
        <v>22</v>
      </c>
      <c r="B25" s="142"/>
      <c r="C25" s="156">
        <v>16</v>
      </c>
      <c r="D25" s="156" t="s">
        <v>23</v>
      </c>
      <c r="E25" s="31">
        <v>98</v>
      </c>
      <c r="F25" s="31">
        <v>94</v>
      </c>
      <c r="G25" s="31">
        <v>80</v>
      </c>
      <c r="H25" s="31">
        <v>85</v>
      </c>
      <c r="I25" s="31">
        <v>74</v>
      </c>
      <c r="J25" s="31">
        <v>94</v>
      </c>
      <c r="K25" s="31">
        <v>94</v>
      </c>
      <c r="L25" s="31">
        <v>97</v>
      </c>
      <c r="M25" s="31">
        <v>88</v>
      </c>
      <c r="N25" s="48">
        <v>94</v>
      </c>
      <c r="O25" s="31">
        <f t="shared" si="0"/>
        <v>898</v>
      </c>
      <c r="P25" s="30">
        <f t="shared" si="1"/>
        <v>89.8</v>
      </c>
      <c r="Q25" s="30">
        <f t="shared" si="2"/>
        <v>8</v>
      </c>
      <c r="R25" s="31"/>
      <c r="S25" s="74"/>
    </row>
    <row r="26" spans="1:22" ht="20.100000000000001" customHeight="1" x14ac:dyDescent="0.25">
      <c r="A26" s="120">
        <v>23</v>
      </c>
      <c r="B26" s="142"/>
      <c r="C26" s="156">
        <v>15</v>
      </c>
      <c r="D26" s="156" t="s">
        <v>23</v>
      </c>
      <c r="E26" s="31">
        <v>85</v>
      </c>
      <c r="F26" s="31">
        <v>74</v>
      </c>
      <c r="G26" s="31">
        <v>62</v>
      </c>
      <c r="H26" s="31">
        <v>78</v>
      </c>
      <c r="I26" s="31">
        <v>68</v>
      </c>
      <c r="J26" s="31">
        <v>87</v>
      </c>
      <c r="K26" s="31">
        <v>85</v>
      </c>
      <c r="L26" s="31">
        <v>99</v>
      </c>
      <c r="M26" s="31">
        <v>89</v>
      </c>
      <c r="N26" s="48">
        <v>94</v>
      </c>
      <c r="O26" s="31">
        <f t="shared" si="0"/>
        <v>821</v>
      </c>
      <c r="P26" s="30">
        <f t="shared" si="1"/>
        <v>82.1</v>
      </c>
      <c r="Q26" s="30">
        <f t="shared" si="2"/>
        <v>18</v>
      </c>
      <c r="R26" s="31"/>
      <c r="S26" s="74"/>
    </row>
    <row r="27" spans="1:22" ht="20.100000000000001" customHeight="1" x14ac:dyDescent="0.25">
      <c r="A27" s="120">
        <v>24</v>
      </c>
      <c r="B27" s="142"/>
      <c r="C27" s="156">
        <v>16</v>
      </c>
      <c r="D27" s="156" t="s">
        <v>23</v>
      </c>
      <c r="E27" s="31">
        <v>92</v>
      </c>
      <c r="F27" s="31">
        <v>99</v>
      </c>
      <c r="G27" s="31">
        <v>100</v>
      </c>
      <c r="H27" s="31">
        <v>100</v>
      </c>
      <c r="I27" s="31">
        <v>100</v>
      </c>
      <c r="J27" s="31">
        <v>100</v>
      </c>
      <c r="K27" s="31">
        <v>99</v>
      </c>
      <c r="L27" s="31">
        <v>100</v>
      </c>
      <c r="M27" s="31">
        <v>96</v>
      </c>
      <c r="N27" s="48">
        <v>100</v>
      </c>
      <c r="O27" s="31">
        <f t="shared" si="0"/>
        <v>986</v>
      </c>
      <c r="P27" s="30">
        <f t="shared" si="1"/>
        <v>98.6</v>
      </c>
      <c r="Q27" s="30">
        <f t="shared" si="2"/>
        <v>1</v>
      </c>
      <c r="R27" s="31"/>
      <c r="S27" s="74"/>
    </row>
    <row r="28" spans="1:22" ht="20.100000000000001" customHeight="1" x14ac:dyDescent="0.25">
      <c r="A28" s="120">
        <v>25</v>
      </c>
      <c r="B28" s="142"/>
      <c r="C28" s="156">
        <v>16</v>
      </c>
      <c r="D28" s="156" t="s">
        <v>23</v>
      </c>
      <c r="E28" s="31">
        <v>95</v>
      </c>
      <c r="F28" s="31">
        <v>99</v>
      </c>
      <c r="G28" s="31">
        <v>89</v>
      </c>
      <c r="H28" s="31">
        <v>100</v>
      </c>
      <c r="I28" s="31">
        <v>96</v>
      </c>
      <c r="J28" s="31">
        <v>100</v>
      </c>
      <c r="K28" s="31">
        <v>99</v>
      </c>
      <c r="L28" s="31">
        <v>100</v>
      </c>
      <c r="M28" s="31">
        <v>98</v>
      </c>
      <c r="N28" s="48">
        <v>97</v>
      </c>
      <c r="O28" s="31">
        <f t="shared" si="0"/>
        <v>973</v>
      </c>
      <c r="P28" s="30">
        <f t="shared" si="1"/>
        <v>97.3</v>
      </c>
      <c r="Q28" s="30">
        <f t="shared" si="2"/>
        <v>2</v>
      </c>
      <c r="R28" s="31"/>
      <c r="S28" s="74"/>
    </row>
    <row r="29" spans="1:22" ht="20.100000000000001" customHeight="1" x14ac:dyDescent="0.25">
      <c r="A29" s="120">
        <v>26</v>
      </c>
      <c r="B29" s="142"/>
      <c r="C29" s="156">
        <v>16</v>
      </c>
      <c r="D29" s="156" t="s">
        <v>23</v>
      </c>
      <c r="E29" s="31">
        <v>94</v>
      </c>
      <c r="F29" s="31">
        <v>71</v>
      </c>
      <c r="G29" s="31">
        <v>82</v>
      </c>
      <c r="H29" s="31">
        <v>84</v>
      </c>
      <c r="I29" s="31">
        <v>80</v>
      </c>
      <c r="J29" s="31">
        <v>90</v>
      </c>
      <c r="K29" s="31">
        <v>84</v>
      </c>
      <c r="L29" s="31">
        <v>98</v>
      </c>
      <c r="M29" s="31">
        <v>94</v>
      </c>
      <c r="N29" s="48">
        <v>96</v>
      </c>
      <c r="O29" s="31">
        <f t="shared" si="0"/>
        <v>873</v>
      </c>
      <c r="P29" s="30">
        <f t="shared" si="1"/>
        <v>87.3</v>
      </c>
      <c r="Q29" s="30">
        <f t="shared" si="2"/>
        <v>12</v>
      </c>
      <c r="R29" s="31"/>
      <c r="S29" s="74"/>
    </row>
    <row r="30" spans="1:22" ht="20.100000000000001" customHeight="1" x14ac:dyDescent="0.25">
      <c r="A30" s="120">
        <v>27</v>
      </c>
      <c r="B30" s="142"/>
      <c r="C30" s="156">
        <v>16</v>
      </c>
      <c r="D30" s="156" t="s">
        <v>23</v>
      </c>
      <c r="E30" s="31">
        <v>86</v>
      </c>
      <c r="F30" s="31">
        <v>54</v>
      </c>
      <c r="G30" s="31">
        <v>62</v>
      </c>
      <c r="H30" s="31">
        <v>52</v>
      </c>
      <c r="I30" s="31">
        <v>70</v>
      </c>
      <c r="J30" s="31">
        <v>77</v>
      </c>
      <c r="K30" s="31">
        <v>76</v>
      </c>
      <c r="L30" s="31">
        <v>50</v>
      </c>
      <c r="M30" s="31">
        <v>86</v>
      </c>
      <c r="N30" s="48">
        <v>94</v>
      </c>
      <c r="O30" s="31">
        <f t="shared" si="0"/>
        <v>707</v>
      </c>
      <c r="P30" s="30">
        <f t="shared" si="1"/>
        <v>70.7</v>
      </c>
      <c r="Q30" s="30">
        <f t="shared" si="2"/>
        <v>28</v>
      </c>
      <c r="R30" s="31"/>
      <c r="S30" s="74"/>
    </row>
    <row r="31" spans="1:22" ht="20.100000000000001" customHeight="1" x14ac:dyDescent="0.25">
      <c r="A31" s="120">
        <v>28</v>
      </c>
      <c r="B31" s="142"/>
      <c r="C31" s="156">
        <v>16</v>
      </c>
      <c r="D31" s="156" t="s">
        <v>20</v>
      </c>
      <c r="E31" s="31">
        <v>91</v>
      </c>
      <c r="F31" s="31">
        <v>94</v>
      </c>
      <c r="G31" s="31">
        <v>84</v>
      </c>
      <c r="H31" s="31">
        <v>91</v>
      </c>
      <c r="I31" s="31">
        <v>90</v>
      </c>
      <c r="J31" s="31">
        <v>97</v>
      </c>
      <c r="K31" s="31">
        <v>95</v>
      </c>
      <c r="L31" s="31">
        <v>88</v>
      </c>
      <c r="M31" s="31">
        <v>97</v>
      </c>
      <c r="N31" s="48">
        <v>100</v>
      </c>
      <c r="O31" s="31">
        <f t="shared" si="0"/>
        <v>927</v>
      </c>
      <c r="P31" s="30">
        <f t="shared" si="1"/>
        <v>92.7</v>
      </c>
      <c r="Q31" s="30">
        <f t="shared" si="2"/>
        <v>4</v>
      </c>
      <c r="R31" s="31"/>
      <c r="S31" s="20"/>
    </row>
    <row r="32" spans="1:22" ht="20.100000000000001" customHeight="1" x14ac:dyDescent="0.25">
      <c r="A32" s="120">
        <v>29</v>
      </c>
      <c r="B32" s="126"/>
      <c r="C32" s="177"/>
      <c r="D32" s="126"/>
      <c r="E32" s="31"/>
      <c r="F32" s="31"/>
      <c r="G32" s="31"/>
      <c r="H32" s="31"/>
      <c r="I32" s="31"/>
      <c r="J32" s="31"/>
      <c r="K32" s="31"/>
      <c r="L32" s="31"/>
      <c r="M32" s="31"/>
      <c r="N32" s="48"/>
      <c r="O32" s="31"/>
      <c r="P32" s="30"/>
      <c r="Q32" s="30"/>
      <c r="R32" s="31"/>
      <c r="S32" s="20"/>
    </row>
    <row r="33" spans="1:19" ht="20.100000000000001" customHeight="1" x14ac:dyDescent="0.25">
      <c r="A33" s="120">
        <v>30</v>
      </c>
      <c r="B33" s="124"/>
      <c r="C33" s="178"/>
      <c r="D33" s="124"/>
      <c r="E33" s="31"/>
      <c r="F33" s="31"/>
      <c r="G33" s="31"/>
      <c r="H33" s="31"/>
      <c r="I33" s="31"/>
      <c r="J33" s="31"/>
      <c r="K33" s="31"/>
      <c r="L33" s="31"/>
      <c r="M33" s="31"/>
      <c r="N33" s="48"/>
      <c r="O33" s="31"/>
      <c r="P33" s="30"/>
      <c r="Q33" s="30"/>
      <c r="R33" s="31"/>
      <c r="S33" s="20"/>
    </row>
    <row r="34" spans="1:19" ht="20.100000000000001" customHeight="1" x14ac:dyDescent="0.25">
      <c r="A34" s="120">
        <v>31</v>
      </c>
      <c r="B34" s="124"/>
      <c r="C34" s="178"/>
      <c r="D34" s="124"/>
      <c r="E34" s="31"/>
      <c r="F34" s="31"/>
      <c r="G34" s="31"/>
      <c r="H34" s="31"/>
      <c r="I34" s="31"/>
      <c r="J34" s="31"/>
      <c r="K34" s="31"/>
      <c r="L34" s="31"/>
      <c r="M34" s="31"/>
      <c r="N34" s="48"/>
      <c r="O34" s="31"/>
      <c r="P34" s="30"/>
      <c r="Q34" s="30"/>
      <c r="R34" s="31"/>
      <c r="S34" s="20"/>
    </row>
    <row r="35" spans="1:19" ht="20.100000000000001" customHeight="1" x14ac:dyDescent="0.25">
      <c r="A35" s="120">
        <v>32</v>
      </c>
      <c r="B35" s="125"/>
      <c r="C35" s="177"/>
      <c r="D35" s="126"/>
      <c r="E35" s="31"/>
      <c r="F35" s="31"/>
      <c r="G35" s="31"/>
      <c r="H35" s="31"/>
      <c r="I35" s="31"/>
      <c r="J35" s="31"/>
      <c r="K35" s="31"/>
      <c r="L35" s="31"/>
      <c r="M35" s="31"/>
      <c r="N35" s="48"/>
      <c r="O35" s="31"/>
      <c r="P35" s="30"/>
      <c r="Q35" s="30"/>
      <c r="R35" s="31"/>
      <c r="S35" s="20"/>
    </row>
    <row r="36" spans="1:19" ht="20.100000000000001" customHeight="1" x14ac:dyDescent="0.25">
      <c r="A36" s="120">
        <v>33</v>
      </c>
      <c r="B36" s="172"/>
      <c r="C36" s="177"/>
      <c r="D36" s="126"/>
      <c r="E36" s="31"/>
      <c r="F36" s="31"/>
      <c r="G36" s="31"/>
      <c r="H36" s="31"/>
      <c r="I36" s="31"/>
      <c r="J36" s="31"/>
      <c r="K36" s="31"/>
      <c r="L36" s="31"/>
      <c r="M36" s="31"/>
      <c r="N36" s="48"/>
      <c r="O36" s="31"/>
      <c r="P36" s="30"/>
      <c r="Q36" s="30"/>
      <c r="R36" s="31"/>
      <c r="S36" s="20"/>
    </row>
    <row r="37" spans="1:19" ht="20.100000000000001" customHeight="1" x14ac:dyDescent="0.25">
      <c r="A37" s="120">
        <v>34</v>
      </c>
      <c r="B37" s="126"/>
      <c r="C37" s="177"/>
      <c r="D37" s="126"/>
      <c r="E37" s="31"/>
      <c r="F37" s="31"/>
      <c r="G37" s="31"/>
      <c r="H37" s="31"/>
      <c r="I37" s="31"/>
      <c r="J37" s="31"/>
      <c r="K37" s="31"/>
      <c r="L37" s="31"/>
      <c r="M37" s="31"/>
      <c r="N37" s="48"/>
      <c r="O37" s="31"/>
      <c r="P37" s="30"/>
      <c r="Q37" s="30"/>
      <c r="R37" s="31"/>
      <c r="S37" s="20"/>
    </row>
    <row r="38" spans="1:19" ht="20.100000000000001" customHeight="1" x14ac:dyDescent="0.25">
      <c r="A38" s="120">
        <v>35</v>
      </c>
      <c r="B38" s="126"/>
      <c r="C38" s="177"/>
      <c r="D38" s="126"/>
      <c r="E38" s="31"/>
      <c r="F38" s="31"/>
      <c r="G38" s="31"/>
      <c r="H38" s="31"/>
      <c r="I38" s="31"/>
      <c r="J38" s="31"/>
      <c r="K38" s="31"/>
      <c r="L38" s="31"/>
      <c r="M38" s="31"/>
      <c r="N38" s="48"/>
      <c r="O38" s="31"/>
      <c r="P38" s="30"/>
      <c r="Q38" s="30"/>
      <c r="R38" s="31"/>
      <c r="S38" s="20"/>
    </row>
    <row r="39" spans="1:19" ht="20.100000000000001" customHeight="1" x14ac:dyDescent="0.25">
      <c r="A39" s="120">
        <v>36</v>
      </c>
      <c r="B39" s="124"/>
      <c r="C39" s="178"/>
      <c r="D39" s="124"/>
      <c r="E39" s="31"/>
      <c r="F39" s="31"/>
      <c r="G39" s="31"/>
      <c r="H39" s="31"/>
      <c r="I39" s="31"/>
      <c r="J39" s="31"/>
      <c r="K39" s="31"/>
      <c r="L39" s="31"/>
      <c r="M39" s="31"/>
      <c r="N39" s="48"/>
      <c r="O39" s="31"/>
      <c r="P39" s="30"/>
      <c r="Q39" s="30"/>
      <c r="R39" s="31"/>
      <c r="S39" s="20"/>
    </row>
    <row r="40" spans="1:19" ht="20.100000000000001" customHeight="1" x14ac:dyDescent="0.25">
      <c r="A40" s="120">
        <v>37</v>
      </c>
      <c r="B40" s="126"/>
      <c r="C40" s="177"/>
      <c r="D40" s="126"/>
      <c r="E40" s="31"/>
      <c r="F40" s="31"/>
      <c r="G40" s="31"/>
      <c r="H40" s="31"/>
      <c r="I40" s="31"/>
      <c r="J40" s="31"/>
      <c r="K40" s="31"/>
      <c r="L40" s="31"/>
      <c r="M40" s="31"/>
      <c r="N40" s="48"/>
      <c r="O40" s="31"/>
      <c r="P40" s="30"/>
      <c r="Q40" s="30"/>
      <c r="R40" s="31"/>
      <c r="S40" s="20"/>
    </row>
    <row r="41" spans="1:19" ht="20.100000000000001" customHeight="1" x14ac:dyDescent="0.25">
      <c r="A41" s="120">
        <v>38</v>
      </c>
      <c r="B41" s="126"/>
      <c r="C41" s="177"/>
      <c r="D41" s="126"/>
      <c r="E41" s="31"/>
      <c r="F41" s="31"/>
      <c r="G41" s="31"/>
      <c r="H41" s="31"/>
      <c r="I41" s="31"/>
      <c r="J41" s="31"/>
      <c r="K41" s="31"/>
      <c r="L41" s="31"/>
      <c r="M41" s="31"/>
      <c r="N41" s="48"/>
      <c r="O41" s="31"/>
      <c r="P41" s="30"/>
      <c r="Q41" s="30"/>
      <c r="R41" s="31"/>
      <c r="S41" s="20"/>
    </row>
    <row r="42" spans="1:19" ht="20.100000000000001" customHeight="1" x14ac:dyDescent="0.25">
      <c r="A42" s="120">
        <v>39</v>
      </c>
      <c r="B42" s="124"/>
      <c r="C42" s="178"/>
      <c r="D42" s="124"/>
      <c r="E42" s="31"/>
      <c r="F42" s="31"/>
      <c r="G42" s="31"/>
      <c r="H42" s="31"/>
      <c r="I42" s="31"/>
      <c r="J42" s="31"/>
      <c r="K42" s="31"/>
      <c r="L42" s="31"/>
      <c r="M42" s="31"/>
      <c r="N42" s="48"/>
      <c r="O42" s="31"/>
      <c r="P42" s="30"/>
      <c r="Q42" s="30"/>
      <c r="R42" s="31"/>
      <c r="S42" s="20"/>
    </row>
    <row r="43" spans="1:19" ht="20.100000000000001" customHeight="1" x14ac:dyDescent="0.25">
      <c r="A43" s="120">
        <v>40</v>
      </c>
      <c r="B43" s="126"/>
      <c r="C43" s="177"/>
      <c r="D43" s="126"/>
      <c r="E43" s="31"/>
      <c r="F43" s="31"/>
      <c r="G43" s="31"/>
      <c r="H43" s="31"/>
      <c r="I43" s="31"/>
      <c r="J43" s="31"/>
      <c r="K43" s="31"/>
      <c r="L43" s="31"/>
      <c r="M43" s="31"/>
      <c r="N43" s="48"/>
      <c r="O43" s="31"/>
      <c r="P43" s="30"/>
      <c r="Q43" s="30"/>
      <c r="R43" s="31"/>
      <c r="S43" s="20"/>
    </row>
    <row r="44" spans="1:19" ht="20.100000000000001" customHeight="1" x14ac:dyDescent="0.25">
      <c r="A44" s="120">
        <v>41</v>
      </c>
      <c r="B44" s="126"/>
      <c r="C44" s="177"/>
      <c r="D44" s="126"/>
      <c r="E44" s="31"/>
      <c r="F44" s="31"/>
      <c r="G44" s="31"/>
      <c r="H44" s="31"/>
      <c r="I44" s="31"/>
      <c r="J44" s="31"/>
      <c r="K44" s="31"/>
      <c r="L44" s="31"/>
      <c r="M44" s="31"/>
      <c r="N44" s="48"/>
      <c r="O44" s="31"/>
      <c r="P44" s="30"/>
      <c r="Q44" s="30"/>
      <c r="R44" s="31"/>
      <c r="S44" s="20"/>
    </row>
    <row r="45" spans="1:19" ht="20.100000000000001" customHeight="1" x14ac:dyDescent="0.25">
      <c r="A45" s="120">
        <v>42</v>
      </c>
      <c r="B45" s="126"/>
      <c r="C45" s="177"/>
      <c r="D45" s="126"/>
      <c r="E45" s="31"/>
      <c r="F45" s="31"/>
      <c r="G45" s="31"/>
      <c r="H45" s="31"/>
      <c r="I45" s="31"/>
      <c r="J45" s="31"/>
      <c r="K45" s="31"/>
      <c r="L45" s="31"/>
      <c r="M45" s="31"/>
      <c r="N45" s="48"/>
      <c r="O45" s="31"/>
      <c r="P45" s="30"/>
      <c r="Q45" s="30"/>
      <c r="R45" s="31"/>
      <c r="S45" s="20"/>
    </row>
    <row r="46" spans="1:19" ht="20.100000000000001" customHeight="1" x14ac:dyDescent="0.25">
      <c r="A46" s="120">
        <v>43</v>
      </c>
      <c r="B46" s="126"/>
      <c r="C46" s="177"/>
      <c r="D46" s="126"/>
      <c r="E46" s="31"/>
      <c r="F46" s="31"/>
      <c r="G46" s="31"/>
      <c r="H46" s="31"/>
      <c r="I46" s="31"/>
      <c r="J46" s="31"/>
      <c r="K46" s="31"/>
      <c r="L46" s="31"/>
      <c r="M46" s="31"/>
      <c r="N46" s="48"/>
      <c r="O46" s="31"/>
      <c r="P46" s="30"/>
      <c r="Q46" s="30"/>
      <c r="R46" s="31"/>
      <c r="S46" s="20"/>
    </row>
    <row r="47" spans="1:19" ht="20.100000000000001" customHeight="1" x14ac:dyDescent="0.25">
      <c r="A47" s="120">
        <v>44</v>
      </c>
      <c r="B47" s="126"/>
      <c r="C47" s="177"/>
      <c r="D47" s="126"/>
      <c r="E47" s="31"/>
      <c r="F47" s="31"/>
      <c r="G47" s="31"/>
      <c r="H47" s="31"/>
      <c r="I47" s="31"/>
      <c r="J47" s="31"/>
      <c r="K47" s="31"/>
      <c r="L47" s="31"/>
      <c r="M47" s="31"/>
      <c r="N47" s="48"/>
      <c r="O47" s="31"/>
      <c r="P47" s="30"/>
      <c r="Q47" s="30"/>
      <c r="R47" s="31"/>
      <c r="S47" s="20"/>
    </row>
    <row r="48" spans="1:19" ht="20.100000000000001" customHeight="1" x14ac:dyDescent="0.25">
      <c r="A48" s="120">
        <v>45</v>
      </c>
      <c r="B48" s="126"/>
      <c r="C48" s="177"/>
      <c r="D48" s="126"/>
      <c r="E48" s="31"/>
      <c r="F48" s="31"/>
      <c r="G48" s="31"/>
      <c r="H48" s="31"/>
      <c r="I48" s="31"/>
      <c r="J48" s="31"/>
      <c r="K48" s="31"/>
      <c r="L48" s="31"/>
      <c r="M48" s="31"/>
      <c r="N48" s="48"/>
      <c r="O48" s="31"/>
      <c r="P48" s="30"/>
      <c r="Q48" s="30"/>
      <c r="R48" s="31"/>
      <c r="S48" s="20"/>
    </row>
    <row r="49" spans="1:19" ht="20.100000000000001" customHeight="1" x14ac:dyDescent="0.25">
      <c r="A49" s="120">
        <v>46</v>
      </c>
      <c r="B49" s="126"/>
      <c r="C49" s="177"/>
      <c r="D49" s="126"/>
      <c r="E49" s="31"/>
      <c r="F49" s="31"/>
      <c r="G49" s="31"/>
      <c r="H49" s="31"/>
      <c r="I49" s="31"/>
      <c r="J49" s="31"/>
      <c r="K49" s="31"/>
      <c r="L49" s="31"/>
      <c r="M49" s="31"/>
      <c r="N49" s="48"/>
      <c r="O49" s="31"/>
      <c r="P49" s="30"/>
      <c r="Q49" s="30"/>
      <c r="R49" s="31"/>
      <c r="S49" s="20"/>
    </row>
    <row r="50" spans="1:19" ht="20.100000000000001" customHeight="1" x14ac:dyDescent="0.25">
      <c r="A50" s="120">
        <v>47</v>
      </c>
      <c r="B50" s="126"/>
      <c r="C50" s="177"/>
      <c r="D50" s="126"/>
      <c r="E50" s="31"/>
      <c r="F50" s="31"/>
      <c r="G50" s="31"/>
      <c r="H50" s="31"/>
      <c r="I50" s="31"/>
      <c r="J50" s="31"/>
      <c r="K50" s="31"/>
      <c r="L50" s="31"/>
      <c r="M50" s="31"/>
      <c r="N50" s="48"/>
      <c r="O50" s="31"/>
      <c r="P50" s="30"/>
      <c r="Q50" s="30"/>
      <c r="R50" s="31"/>
      <c r="S50" s="20"/>
    </row>
    <row r="51" spans="1:19" ht="20.100000000000001" customHeight="1" x14ac:dyDescent="0.25">
      <c r="A51" s="120">
        <v>48</v>
      </c>
      <c r="B51" s="126"/>
      <c r="C51" s="177"/>
      <c r="D51" s="126"/>
      <c r="E51" s="31"/>
      <c r="F51" s="31"/>
      <c r="G51" s="31"/>
      <c r="H51" s="31"/>
      <c r="I51" s="31"/>
      <c r="J51" s="31"/>
      <c r="K51" s="31"/>
      <c r="L51" s="31"/>
      <c r="M51" s="31"/>
      <c r="N51" s="48"/>
      <c r="O51" s="31"/>
      <c r="P51" s="30"/>
      <c r="Q51" s="30"/>
      <c r="R51" s="31"/>
      <c r="S51" s="20"/>
    </row>
    <row r="52" spans="1:19" ht="20.100000000000001" customHeight="1" x14ac:dyDescent="0.25">
      <c r="A52" s="120">
        <v>49</v>
      </c>
      <c r="B52" s="126"/>
      <c r="C52" s="177"/>
      <c r="D52" s="126"/>
      <c r="E52" s="31"/>
      <c r="F52" s="31"/>
      <c r="G52" s="31"/>
      <c r="H52" s="31"/>
      <c r="I52" s="31"/>
      <c r="J52" s="31"/>
      <c r="K52" s="31"/>
      <c r="L52" s="31"/>
      <c r="M52" s="31"/>
      <c r="N52" s="48"/>
      <c r="O52" s="31"/>
      <c r="P52" s="30"/>
      <c r="Q52" s="30"/>
      <c r="R52" s="31"/>
      <c r="S52" s="20"/>
    </row>
    <row r="53" spans="1:19" ht="20.100000000000001" customHeight="1" x14ac:dyDescent="0.25">
      <c r="A53" s="120">
        <v>50</v>
      </c>
      <c r="B53" s="126"/>
      <c r="C53" s="177"/>
      <c r="D53" s="126"/>
      <c r="E53" s="31"/>
      <c r="F53" s="31"/>
      <c r="G53" s="31"/>
      <c r="H53" s="31"/>
      <c r="I53" s="31"/>
      <c r="J53" s="31"/>
      <c r="K53" s="31"/>
      <c r="L53" s="31"/>
      <c r="M53" s="31"/>
      <c r="N53" s="48"/>
      <c r="O53" s="31"/>
      <c r="P53" s="30"/>
      <c r="Q53" s="30"/>
      <c r="R53" s="31"/>
      <c r="S53" s="20"/>
    </row>
    <row r="54" spans="1:19" ht="20.100000000000001" customHeight="1" x14ac:dyDescent="0.25">
      <c r="A54" s="120">
        <v>51</v>
      </c>
      <c r="B54" s="126"/>
      <c r="C54" s="177"/>
      <c r="D54" s="126"/>
      <c r="E54" s="31"/>
      <c r="F54" s="31"/>
      <c r="G54" s="31"/>
      <c r="H54" s="31"/>
      <c r="I54" s="31"/>
      <c r="J54" s="31"/>
      <c r="K54" s="31"/>
      <c r="L54" s="31"/>
      <c r="M54" s="31"/>
      <c r="N54" s="48"/>
      <c r="O54" s="31"/>
      <c r="P54" s="30"/>
      <c r="Q54" s="30"/>
      <c r="R54" s="31"/>
      <c r="S54" s="20"/>
    </row>
    <row r="55" spans="1:19" ht="20.100000000000001" customHeight="1" x14ac:dyDescent="0.25">
      <c r="A55" s="120">
        <v>52</v>
      </c>
      <c r="B55" s="20"/>
      <c r="C55" s="20"/>
      <c r="D55" s="20"/>
      <c r="E55" s="20"/>
      <c r="F55" s="20"/>
      <c r="G55" s="20"/>
      <c r="H55" s="20"/>
      <c r="I55" s="20"/>
      <c r="J55" s="20"/>
      <c r="K55" s="20"/>
      <c r="L55" s="20"/>
      <c r="M55" s="20"/>
      <c r="N55" s="20"/>
      <c r="O55" s="20"/>
      <c r="P55" s="20"/>
      <c r="Q55" s="20"/>
      <c r="R55" s="20"/>
      <c r="S55" s="20"/>
    </row>
    <row r="56" spans="1:19" ht="20.100000000000001" customHeight="1" x14ac:dyDescent="0.25">
      <c r="A56" s="120">
        <v>53</v>
      </c>
      <c r="B56" s="20"/>
      <c r="C56" s="20"/>
      <c r="D56" s="20"/>
      <c r="E56" s="20"/>
      <c r="F56" s="20"/>
      <c r="G56" s="20"/>
      <c r="H56" s="20"/>
      <c r="I56" s="20"/>
      <c r="J56" s="20"/>
      <c r="K56" s="20"/>
      <c r="L56" s="20"/>
      <c r="M56" s="20"/>
      <c r="N56" s="20"/>
      <c r="O56" s="20"/>
      <c r="P56" s="20"/>
      <c r="Q56" s="20"/>
      <c r="R56" s="20"/>
      <c r="S56" s="20"/>
    </row>
    <row r="57" spans="1:19" ht="20.100000000000001" customHeight="1" x14ac:dyDescent="0.25">
      <c r="A57" s="120">
        <v>54</v>
      </c>
      <c r="B57" s="20"/>
      <c r="C57" s="20"/>
      <c r="D57" s="20"/>
      <c r="E57" s="20"/>
      <c r="F57" s="20"/>
      <c r="G57" s="20"/>
      <c r="H57" s="20"/>
      <c r="I57" s="20"/>
      <c r="J57" s="20"/>
      <c r="K57" s="20"/>
      <c r="L57" s="20"/>
      <c r="M57" s="20"/>
      <c r="N57" s="20"/>
      <c r="O57" s="20"/>
      <c r="P57" s="20"/>
      <c r="Q57" s="20"/>
      <c r="R57" s="20"/>
      <c r="S57" s="20"/>
    </row>
    <row r="58" spans="1:19" ht="20.100000000000001" customHeight="1" x14ac:dyDescent="0.25">
      <c r="A58" s="50">
        <v>55</v>
      </c>
      <c r="B58" s="20"/>
      <c r="C58" s="20"/>
      <c r="D58" s="20"/>
      <c r="E58" s="20"/>
      <c r="F58" s="20"/>
      <c r="G58" s="20"/>
      <c r="H58" s="20"/>
      <c r="I58" s="20"/>
      <c r="J58" s="20"/>
      <c r="K58" s="20"/>
      <c r="L58" s="20"/>
      <c r="M58" s="20"/>
      <c r="N58" s="20"/>
      <c r="O58" s="20"/>
      <c r="P58" s="20"/>
      <c r="Q58" s="20"/>
      <c r="R58" s="20"/>
      <c r="S58" s="20"/>
    </row>
    <row r="59" spans="1:19" ht="13.5" customHeight="1" x14ac:dyDescent="0.25"/>
    <row r="60" spans="1:19" ht="13.5" customHeight="1" x14ac:dyDescent="0.25"/>
    <row r="61" spans="1:19" ht="13.5" customHeight="1" x14ac:dyDescent="0.25">
      <c r="A61" s="46"/>
      <c r="B61" s="46"/>
    </row>
    <row r="62" spans="1:19" ht="13.5" customHeight="1" x14ac:dyDescent="0.25">
      <c r="A62" s="46"/>
      <c r="B62" s="46"/>
    </row>
    <row r="63" spans="1:19" ht="13.5" customHeight="1" x14ac:dyDescent="0.25">
      <c r="A63" s="46"/>
      <c r="B63" s="46"/>
    </row>
    <row r="64" spans="1:19" ht="13.5" customHeight="1" x14ac:dyDescent="0.25">
      <c r="A64" s="46"/>
      <c r="B64" s="46"/>
    </row>
    <row r="65" spans="1:4" ht="13.5" customHeight="1" x14ac:dyDescent="0.25">
      <c r="A65" s="46"/>
      <c r="B65" s="46"/>
    </row>
    <row r="66" spans="1:4" ht="13.5" customHeight="1" x14ac:dyDescent="0.25">
      <c r="A66" s="46"/>
      <c r="B66" s="46"/>
    </row>
    <row r="67" spans="1:4" ht="13.5" customHeight="1" x14ac:dyDescent="0.25">
      <c r="A67" s="46"/>
      <c r="B67" s="46"/>
    </row>
    <row r="68" spans="1:4" ht="13.5" customHeight="1" x14ac:dyDescent="0.25">
      <c r="A68" s="46"/>
      <c r="B68" s="46"/>
    </row>
    <row r="69" spans="1:4" ht="13.5" customHeight="1" x14ac:dyDescent="0.25">
      <c r="A69" s="46"/>
      <c r="B69" s="46"/>
    </row>
    <row r="70" spans="1:4" ht="13.5" customHeight="1" x14ac:dyDescent="0.25">
      <c r="A70" s="46"/>
      <c r="B70" s="46"/>
    </row>
    <row r="71" spans="1:4" ht="13.5" customHeight="1" x14ac:dyDescent="0.25">
      <c r="A71" s="46"/>
      <c r="B71" s="46"/>
    </row>
    <row r="72" spans="1:4" ht="13.5" customHeight="1" x14ac:dyDescent="0.25">
      <c r="A72" s="46"/>
      <c r="B72" s="46"/>
    </row>
    <row r="73" spans="1:4" ht="13.5" customHeight="1" x14ac:dyDescent="0.25">
      <c r="A73" s="46"/>
      <c r="B73" s="46"/>
    </row>
    <row r="74" spans="1:4" ht="13.5" customHeight="1" x14ac:dyDescent="0.25">
      <c r="A74" s="46"/>
      <c r="B74" s="46"/>
      <c r="C74" s="9"/>
      <c r="D74" s="9"/>
    </row>
    <row r="75" spans="1:4" ht="13.5" customHeight="1" x14ac:dyDescent="0.25">
      <c r="A75" s="46"/>
      <c r="B75" s="46"/>
      <c r="C75" s="9"/>
      <c r="D75" s="9"/>
    </row>
    <row r="76" spans="1:4" ht="13.5" customHeight="1" x14ac:dyDescent="0.25">
      <c r="A76" s="46"/>
      <c r="B76" s="46"/>
      <c r="C76" s="9"/>
      <c r="D76" s="9"/>
    </row>
    <row r="77" spans="1:4" ht="13.5" customHeight="1" x14ac:dyDescent="0.25">
      <c r="A77" s="46"/>
      <c r="B77" s="46"/>
      <c r="C77" s="9"/>
      <c r="D77" s="9"/>
    </row>
    <row r="78" spans="1:4" ht="13.5" customHeight="1" x14ac:dyDescent="0.25">
      <c r="A78" s="46"/>
      <c r="B78" s="46"/>
      <c r="C78" s="9"/>
      <c r="D78" s="9"/>
    </row>
    <row r="79" spans="1:4" ht="13.5" customHeight="1" x14ac:dyDescent="0.25">
      <c r="A79" s="46"/>
      <c r="B79" s="46"/>
      <c r="C79" s="9"/>
      <c r="D79" s="9"/>
    </row>
    <row r="80" spans="1:4" ht="13.5" customHeight="1" x14ac:dyDescent="0.25">
      <c r="A80" s="46"/>
      <c r="B80" s="46"/>
      <c r="C80" s="9"/>
      <c r="D80" s="9"/>
    </row>
    <row r="81" spans="1:4" ht="13.5" customHeight="1" x14ac:dyDescent="0.25">
      <c r="A81" s="46"/>
      <c r="B81" s="46"/>
      <c r="C81" s="9"/>
      <c r="D81" s="9"/>
    </row>
    <row r="82" spans="1:4" ht="13.5" customHeight="1" x14ac:dyDescent="0.25">
      <c r="A82" s="46"/>
      <c r="B82" s="46"/>
      <c r="C82" s="9"/>
      <c r="D82" s="9"/>
    </row>
    <row r="83" spans="1:4" ht="13.5" customHeight="1" x14ac:dyDescent="0.25">
      <c r="A83" s="46"/>
      <c r="B83" s="46"/>
    </row>
    <row r="84" spans="1:4" ht="13.5" customHeight="1" x14ac:dyDescent="0.25">
      <c r="A84" s="46"/>
      <c r="B84" s="46"/>
    </row>
    <row r="85" spans="1:4" ht="13.5" customHeight="1" x14ac:dyDescent="0.25">
      <c r="A85" s="46"/>
      <c r="B85" s="46"/>
    </row>
    <row r="86" spans="1:4" ht="13.5" customHeight="1" x14ac:dyDescent="0.25">
      <c r="A86" s="46"/>
      <c r="B86" s="46"/>
    </row>
    <row r="87" spans="1:4" ht="13.5" customHeight="1" x14ac:dyDescent="0.25">
      <c r="A87" s="46"/>
      <c r="B87" s="46"/>
    </row>
    <row r="88" spans="1:4" ht="13.5" customHeight="1" x14ac:dyDescent="0.25">
      <c r="A88" s="46"/>
      <c r="B88" s="46"/>
    </row>
    <row r="89" spans="1:4" ht="13.5" customHeight="1" x14ac:dyDescent="0.25">
      <c r="A89" s="46"/>
      <c r="B89" s="46"/>
    </row>
    <row r="90" spans="1:4" ht="13.5" customHeight="1" x14ac:dyDescent="0.25">
      <c r="A90" s="46"/>
      <c r="B90" s="46"/>
    </row>
    <row r="91" spans="1:4" ht="13.5" customHeight="1" x14ac:dyDescent="0.25">
      <c r="A91" s="46"/>
      <c r="B91" s="46"/>
    </row>
    <row r="92" spans="1:4" ht="13.5" customHeight="1" x14ac:dyDescent="0.25">
      <c r="A92" s="46"/>
      <c r="B92" s="46"/>
    </row>
    <row r="93" spans="1:4" ht="13.5" customHeight="1" x14ac:dyDescent="0.25">
      <c r="A93" s="46"/>
      <c r="B93" s="46"/>
    </row>
    <row r="94" spans="1:4" ht="13.5" customHeight="1" x14ac:dyDescent="0.25">
      <c r="A94" s="46"/>
      <c r="B94" s="46"/>
    </row>
    <row r="95" spans="1:4" ht="13.5" customHeight="1" x14ac:dyDescent="0.25">
      <c r="A95" s="46"/>
      <c r="B95" s="46"/>
    </row>
    <row r="96" spans="1:4" ht="13.5" customHeight="1" x14ac:dyDescent="0.25">
      <c r="A96" s="46"/>
      <c r="B96" s="46"/>
    </row>
    <row r="97" spans="1:2" ht="13.5" customHeight="1" x14ac:dyDescent="0.25">
      <c r="A97" s="46"/>
      <c r="B97" s="46"/>
    </row>
    <row r="98" spans="1:2" ht="13.5" customHeight="1" x14ac:dyDescent="0.25">
      <c r="A98" s="46"/>
      <c r="B98" s="46"/>
    </row>
    <row r="99" spans="1:2" ht="15" customHeight="1" x14ac:dyDescent="0.25"/>
  </sheetData>
  <mergeCells count="2">
    <mergeCell ref="A1:S1"/>
    <mergeCell ref="A2:S2"/>
  </mergeCells>
  <pageMargins left="0.7" right="0.7" top="0.75" bottom="0.75" header="0.3" footer="0.3"/>
  <pageSetup paperSize="9" scale="95" orientation="landscape" verticalDpi="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99"/>
  <sheetViews>
    <sheetView workbookViewId="0">
      <selection activeCell="B4" sqref="B4:B31"/>
    </sheetView>
  </sheetViews>
  <sheetFormatPr defaultRowHeight="15" x14ac:dyDescent="0.25"/>
  <cols>
    <col min="1" max="1" width="4.85546875" customWidth="1"/>
    <col min="2" max="2" width="37.140625" customWidth="1"/>
    <col min="3" max="3" width="6.140625" customWidth="1"/>
    <col min="4" max="4" width="4.85546875" customWidth="1"/>
    <col min="5" max="7" width="12.7109375" customWidth="1"/>
    <col min="8" max="8" width="4.85546875" hidden="1" customWidth="1"/>
    <col min="9" max="9" width="9.85546875" customWidth="1"/>
    <col min="10" max="11" width="4.85546875" customWidth="1"/>
  </cols>
  <sheetData>
    <row r="1" spans="1:15" ht="20.25" customHeight="1" x14ac:dyDescent="0.25">
      <c r="A1" s="288" t="s">
        <v>52</v>
      </c>
      <c r="B1" s="289"/>
      <c r="C1" s="289"/>
      <c r="D1" s="289"/>
      <c r="E1" s="289"/>
      <c r="F1" s="289"/>
      <c r="G1" s="289"/>
      <c r="H1" s="289"/>
      <c r="I1" s="289"/>
      <c r="J1" s="289"/>
      <c r="K1" s="289"/>
      <c r="L1" s="289"/>
    </row>
    <row r="2" spans="1:15" ht="15.75" customHeight="1" x14ac:dyDescent="0.25">
      <c r="A2" s="346" t="s">
        <v>56</v>
      </c>
      <c r="B2" s="347"/>
      <c r="C2" s="347"/>
      <c r="D2" s="347"/>
      <c r="E2" s="347"/>
      <c r="F2" s="347"/>
      <c r="G2" s="347"/>
      <c r="H2" s="347"/>
      <c r="I2" s="347"/>
    </row>
    <row r="3" spans="1:15" ht="44.25" customHeight="1" x14ac:dyDescent="0.25">
      <c r="A3" s="49" t="s">
        <v>0</v>
      </c>
      <c r="B3" s="71" t="s">
        <v>1</v>
      </c>
      <c r="C3" s="71" t="s">
        <v>2</v>
      </c>
      <c r="D3" s="71" t="s">
        <v>3</v>
      </c>
      <c r="E3" s="72" t="s">
        <v>26</v>
      </c>
      <c r="F3" s="72" t="s">
        <v>27</v>
      </c>
      <c r="G3" s="72" t="s">
        <v>16</v>
      </c>
      <c r="H3" s="73" t="s">
        <v>17</v>
      </c>
      <c r="I3" s="72" t="s">
        <v>17</v>
      </c>
      <c r="L3" s="128"/>
      <c r="M3" s="128"/>
      <c r="N3" s="128"/>
      <c r="O3" s="128"/>
    </row>
    <row r="4" spans="1:15" ht="18.95" customHeight="1" x14ac:dyDescent="0.25">
      <c r="A4" s="120">
        <v>1</v>
      </c>
      <c r="B4" s="142"/>
      <c r="C4" s="156">
        <v>17</v>
      </c>
      <c r="D4" s="156" t="s">
        <v>20</v>
      </c>
      <c r="E4" s="54">
        <f>'11A (N S) Sem1 '!P4</f>
        <v>66.8</v>
      </c>
      <c r="F4" s="54">
        <f>'11A (N S) Sem2'!P4</f>
        <v>71.8</v>
      </c>
      <c r="G4" s="54">
        <f>AVERAGE(E4:F4)</f>
        <v>69.3</v>
      </c>
      <c r="H4" s="74"/>
      <c r="I4" s="55">
        <f>RANK(G4,$G$4:$G$31)</f>
        <v>26</v>
      </c>
    </row>
    <row r="5" spans="1:15" ht="18.95" customHeight="1" x14ac:dyDescent="0.25">
      <c r="A5" s="120">
        <v>2</v>
      </c>
      <c r="B5" s="142"/>
      <c r="C5" s="156">
        <v>17</v>
      </c>
      <c r="D5" s="156" t="s">
        <v>20</v>
      </c>
      <c r="E5" s="54">
        <f>'11A (N S) Sem1 '!P5</f>
        <v>91.6</v>
      </c>
      <c r="F5" s="54">
        <f>'11A (N S) Sem2'!P5</f>
        <v>95</v>
      </c>
      <c r="G5" s="54">
        <f t="shared" ref="G5:G58" si="0">AVERAGE(E5:F5)</f>
        <v>93.3</v>
      </c>
      <c r="H5" s="74"/>
      <c r="I5" s="55">
        <f t="shared" ref="I5:I31" si="1">RANK(G5,$G$4:$G$31)</f>
        <v>3</v>
      </c>
    </row>
    <row r="6" spans="1:15" ht="18.95" customHeight="1" x14ac:dyDescent="0.25">
      <c r="A6" s="120">
        <v>3</v>
      </c>
      <c r="B6" s="142"/>
      <c r="C6" s="156">
        <v>17</v>
      </c>
      <c r="D6" s="156" t="s">
        <v>20</v>
      </c>
      <c r="E6" s="54">
        <f>'11A (N S) Sem1 '!P6</f>
        <v>68.5</v>
      </c>
      <c r="F6" s="54">
        <f>'11A (N S) Sem2'!P6</f>
        <v>72.5</v>
      </c>
      <c r="G6" s="54">
        <f t="shared" si="0"/>
        <v>70.5</v>
      </c>
      <c r="H6" s="74"/>
      <c r="I6" s="55">
        <f t="shared" si="1"/>
        <v>24</v>
      </c>
    </row>
    <row r="7" spans="1:15" ht="18.95" customHeight="1" x14ac:dyDescent="0.25">
      <c r="A7" s="120">
        <v>4</v>
      </c>
      <c r="B7" s="142"/>
      <c r="C7" s="156">
        <v>15</v>
      </c>
      <c r="D7" s="156" t="s">
        <v>20</v>
      </c>
      <c r="E7" s="54">
        <f>'11A (N S) Sem1 '!P7</f>
        <v>76.900000000000006</v>
      </c>
      <c r="F7" s="54">
        <f>'11A (N S) Sem2'!P7</f>
        <v>77</v>
      </c>
      <c r="G7" s="54">
        <f t="shared" si="0"/>
        <v>76.95</v>
      </c>
      <c r="H7" s="74"/>
      <c r="I7" s="55">
        <f t="shared" si="1"/>
        <v>22</v>
      </c>
    </row>
    <row r="8" spans="1:15" ht="18.95" customHeight="1" x14ac:dyDescent="0.25">
      <c r="A8" s="120">
        <v>5</v>
      </c>
      <c r="B8" s="142"/>
      <c r="C8" s="156">
        <v>16</v>
      </c>
      <c r="D8" s="156" t="s">
        <v>23</v>
      </c>
      <c r="E8" s="54">
        <f>'11A (N S) Sem1 '!P8</f>
        <v>86.2</v>
      </c>
      <c r="F8" s="54">
        <f>'11A (N S) Sem2'!P8</f>
        <v>88</v>
      </c>
      <c r="G8" s="54">
        <f t="shared" si="0"/>
        <v>87.1</v>
      </c>
      <c r="H8" s="74"/>
      <c r="I8" s="55">
        <f t="shared" si="1"/>
        <v>9</v>
      </c>
      <c r="J8" s="9"/>
      <c r="K8" s="9"/>
    </row>
    <row r="9" spans="1:15" ht="18.95" customHeight="1" x14ac:dyDescent="0.25">
      <c r="A9" s="120">
        <v>6</v>
      </c>
      <c r="B9" s="142"/>
      <c r="C9" s="156">
        <v>16</v>
      </c>
      <c r="D9" s="156" t="s">
        <v>23</v>
      </c>
      <c r="E9" s="54">
        <f>'11A (N S) Sem1 '!P9</f>
        <v>85.4</v>
      </c>
      <c r="F9" s="54">
        <f>'11A (N S) Sem2'!P9</f>
        <v>85.3</v>
      </c>
      <c r="G9" s="54">
        <f t="shared" si="0"/>
        <v>85.35</v>
      </c>
      <c r="H9" s="74"/>
      <c r="I9" s="55">
        <f t="shared" si="1"/>
        <v>12</v>
      </c>
      <c r="J9" s="9"/>
      <c r="K9" s="9"/>
    </row>
    <row r="10" spans="1:15" ht="18.95" customHeight="1" x14ac:dyDescent="0.25">
      <c r="A10" s="120">
        <v>7</v>
      </c>
      <c r="B10" s="142"/>
      <c r="C10" s="156">
        <v>17</v>
      </c>
      <c r="D10" s="156" t="s">
        <v>20</v>
      </c>
      <c r="E10" s="54">
        <f>'11A (N S) Sem1 '!P10</f>
        <v>84.2</v>
      </c>
      <c r="F10" s="54">
        <f>'11A (N S) Sem2'!P10</f>
        <v>90.2</v>
      </c>
      <c r="G10" s="54">
        <f t="shared" si="0"/>
        <v>87.2</v>
      </c>
      <c r="H10" s="74"/>
      <c r="I10" s="55">
        <f t="shared" si="1"/>
        <v>8</v>
      </c>
      <c r="J10" s="9"/>
      <c r="K10" s="9"/>
    </row>
    <row r="11" spans="1:15" ht="18.95" customHeight="1" x14ac:dyDescent="0.25">
      <c r="A11" s="120">
        <v>8</v>
      </c>
      <c r="B11" s="142"/>
      <c r="C11" s="156">
        <v>16</v>
      </c>
      <c r="D11" s="156" t="s">
        <v>23</v>
      </c>
      <c r="E11" s="54">
        <f>'11A (N S) Sem1 '!P11</f>
        <v>90.9</v>
      </c>
      <c r="F11" s="54">
        <f>'11A (N S) Sem2'!P11</f>
        <v>89.1</v>
      </c>
      <c r="G11" s="54">
        <f t="shared" si="0"/>
        <v>90</v>
      </c>
      <c r="H11" s="74"/>
      <c r="I11" s="55">
        <f t="shared" si="1"/>
        <v>6</v>
      </c>
      <c r="J11" s="9"/>
      <c r="K11" s="9"/>
    </row>
    <row r="12" spans="1:15" ht="18.95" customHeight="1" x14ac:dyDescent="0.25">
      <c r="A12" s="120">
        <v>9</v>
      </c>
      <c r="B12" s="142"/>
      <c r="C12" s="156">
        <v>16</v>
      </c>
      <c r="D12" s="156" t="s">
        <v>20</v>
      </c>
      <c r="E12" s="54">
        <f>'11A (N S) Sem1 '!P12</f>
        <v>81.400000000000006</v>
      </c>
      <c r="F12" s="54">
        <f>'11A (N S) Sem2'!P12</f>
        <v>84.6</v>
      </c>
      <c r="G12" s="54">
        <f t="shared" si="0"/>
        <v>83</v>
      </c>
      <c r="H12" s="74"/>
      <c r="I12" s="55">
        <f t="shared" si="1"/>
        <v>16</v>
      </c>
      <c r="J12" s="9"/>
      <c r="K12" s="9"/>
    </row>
    <row r="13" spans="1:15" ht="18.95" customHeight="1" x14ac:dyDescent="0.25">
      <c r="A13" s="120">
        <v>10</v>
      </c>
      <c r="B13" s="142"/>
      <c r="C13" s="156">
        <v>16</v>
      </c>
      <c r="D13" s="156" t="s">
        <v>23</v>
      </c>
      <c r="E13" s="54">
        <f>'11A (N S) Sem1 '!P13</f>
        <v>78.3</v>
      </c>
      <c r="F13" s="54">
        <f>'11A (N S) Sem2'!P13</f>
        <v>80.599999999999994</v>
      </c>
      <c r="G13" s="54">
        <f t="shared" si="0"/>
        <v>79.449999999999989</v>
      </c>
      <c r="H13" s="74"/>
      <c r="I13" s="55">
        <f t="shared" si="1"/>
        <v>20</v>
      </c>
      <c r="J13" s="9"/>
      <c r="K13" s="9"/>
    </row>
    <row r="14" spans="1:15" ht="18.95" customHeight="1" x14ac:dyDescent="0.25">
      <c r="A14" s="120">
        <v>11</v>
      </c>
      <c r="B14" s="142"/>
      <c r="C14" s="156">
        <v>16</v>
      </c>
      <c r="D14" s="156" t="s">
        <v>20</v>
      </c>
      <c r="E14" s="54">
        <f>'11A (N S) Sem1 '!P14</f>
        <v>91.8</v>
      </c>
      <c r="F14" s="54">
        <f>'11A (N S) Sem2'!P14</f>
        <v>92.3</v>
      </c>
      <c r="G14" s="54">
        <f t="shared" si="0"/>
        <v>92.05</v>
      </c>
      <c r="H14" s="74"/>
      <c r="I14" s="55">
        <f t="shared" si="1"/>
        <v>4</v>
      </c>
      <c r="J14" s="9"/>
      <c r="K14" s="9"/>
    </row>
    <row r="15" spans="1:15" ht="18.95" customHeight="1" x14ac:dyDescent="0.25">
      <c r="A15" s="120">
        <v>12</v>
      </c>
      <c r="B15" s="142"/>
      <c r="C15" s="156">
        <v>17</v>
      </c>
      <c r="D15" s="156" t="s">
        <v>23</v>
      </c>
      <c r="E15" s="54">
        <f>'11A (N S) Sem1 '!P15</f>
        <v>87.1</v>
      </c>
      <c r="F15" s="54">
        <f>'11A (N S) Sem2'!P15</f>
        <v>91.4</v>
      </c>
      <c r="G15" s="54">
        <f t="shared" si="0"/>
        <v>89.25</v>
      </c>
      <c r="H15" s="74"/>
      <c r="I15" s="55">
        <f t="shared" si="1"/>
        <v>7</v>
      </c>
      <c r="J15" s="9"/>
      <c r="K15" s="9"/>
    </row>
    <row r="16" spans="1:15" ht="18.95" customHeight="1" x14ac:dyDescent="0.25">
      <c r="A16" s="120">
        <v>13</v>
      </c>
      <c r="B16" s="142"/>
      <c r="C16" s="156">
        <v>16</v>
      </c>
      <c r="D16" s="156" t="s">
        <v>20</v>
      </c>
      <c r="E16" s="54">
        <f>'11A (N S) Sem1 '!P16</f>
        <v>84.4</v>
      </c>
      <c r="F16" s="54">
        <f>'11A (N S) Sem2'!P16</f>
        <v>86.4</v>
      </c>
      <c r="G16" s="54">
        <f t="shared" si="0"/>
        <v>85.4</v>
      </c>
      <c r="H16" s="74"/>
      <c r="I16" s="55">
        <f t="shared" si="1"/>
        <v>11</v>
      </c>
      <c r="J16" s="9"/>
      <c r="K16" s="9"/>
    </row>
    <row r="17" spans="1:11" ht="18.95" customHeight="1" x14ac:dyDescent="0.25">
      <c r="A17" s="120">
        <v>14</v>
      </c>
      <c r="B17" s="142"/>
      <c r="C17" s="156">
        <v>16</v>
      </c>
      <c r="D17" s="156" t="s">
        <v>23</v>
      </c>
      <c r="E17" s="54">
        <f>'11A (N S) Sem1 '!P17</f>
        <v>72.599999999999994</v>
      </c>
      <c r="F17" s="54">
        <f>'11A (N S) Sem2'!P17</f>
        <v>72.2</v>
      </c>
      <c r="G17" s="54">
        <f t="shared" si="0"/>
        <v>72.400000000000006</v>
      </c>
      <c r="H17" s="74"/>
      <c r="I17" s="55">
        <f t="shared" si="1"/>
        <v>23</v>
      </c>
      <c r="J17" s="9"/>
      <c r="K17" s="9"/>
    </row>
    <row r="18" spans="1:11" ht="18.95" customHeight="1" x14ac:dyDescent="0.25">
      <c r="A18" s="120">
        <v>15</v>
      </c>
      <c r="B18" s="142"/>
      <c r="C18" s="156">
        <v>15</v>
      </c>
      <c r="D18" s="156" t="s">
        <v>23</v>
      </c>
      <c r="E18" s="54">
        <f>'11A (N S) Sem1 '!P18</f>
        <v>82.4</v>
      </c>
      <c r="F18" s="54">
        <f>'11A (N S) Sem2'!P18</f>
        <v>87.8</v>
      </c>
      <c r="G18" s="54">
        <f t="shared" si="0"/>
        <v>85.1</v>
      </c>
      <c r="H18" s="74"/>
      <c r="I18" s="55">
        <f t="shared" si="1"/>
        <v>13</v>
      </c>
      <c r="J18" s="9"/>
      <c r="K18" s="9"/>
    </row>
    <row r="19" spans="1:11" ht="18.95" customHeight="1" x14ac:dyDescent="0.25">
      <c r="A19" s="120">
        <v>16</v>
      </c>
      <c r="B19" s="142"/>
      <c r="C19" s="156">
        <v>16</v>
      </c>
      <c r="D19" s="156" t="s">
        <v>20</v>
      </c>
      <c r="E19" s="54">
        <f>'11A (N S) Sem1 '!P19</f>
        <v>68.400000000000006</v>
      </c>
      <c r="F19" s="54">
        <f>'11A (N S) Sem2'!P19</f>
        <v>72.099999999999994</v>
      </c>
      <c r="G19" s="54">
        <f t="shared" si="0"/>
        <v>70.25</v>
      </c>
      <c r="H19" s="74"/>
      <c r="I19" s="55">
        <f t="shared" si="1"/>
        <v>25</v>
      </c>
      <c r="J19" s="9"/>
      <c r="K19" s="9"/>
    </row>
    <row r="20" spans="1:11" ht="18.95" customHeight="1" x14ac:dyDescent="0.25">
      <c r="A20" s="120">
        <v>17</v>
      </c>
      <c r="B20" s="142"/>
      <c r="C20" s="156">
        <v>15</v>
      </c>
      <c r="D20" s="156" t="s">
        <v>23</v>
      </c>
      <c r="E20" s="54">
        <f>'11A (N S) Sem1 '!P20</f>
        <v>77.3</v>
      </c>
      <c r="F20" s="54">
        <f>'11A (N S) Sem2'!P20</f>
        <v>83.3</v>
      </c>
      <c r="G20" s="54">
        <f t="shared" si="0"/>
        <v>80.3</v>
      </c>
      <c r="H20" s="74"/>
      <c r="I20" s="55">
        <f t="shared" si="1"/>
        <v>18</v>
      </c>
      <c r="J20" s="9"/>
      <c r="K20" s="9"/>
    </row>
    <row r="21" spans="1:11" ht="18.95" customHeight="1" x14ac:dyDescent="0.25">
      <c r="A21" s="120">
        <v>18</v>
      </c>
      <c r="B21" s="142"/>
      <c r="C21" s="156">
        <v>16</v>
      </c>
      <c r="D21" s="156" t="s">
        <v>20</v>
      </c>
      <c r="E21" s="54">
        <f>'11A (N S) Sem1 '!P21</f>
        <v>67.5</v>
      </c>
      <c r="F21" s="54">
        <f>'11A (N S) Sem2'!P21</f>
        <v>70.8</v>
      </c>
      <c r="G21" s="54">
        <f t="shared" si="0"/>
        <v>69.150000000000006</v>
      </c>
      <c r="H21" s="74"/>
      <c r="I21" s="55">
        <f t="shared" si="1"/>
        <v>27</v>
      </c>
    </row>
    <row r="22" spans="1:11" ht="18.95" customHeight="1" x14ac:dyDescent="0.25">
      <c r="A22" s="120">
        <v>19</v>
      </c>
      <c r="B22" s="181"/>
      <c r="C22" s="183">
        <v>16</v>
      </c>
      <c r="D22" s="183" t="s">
        <v>20</v>
      </c>
      <c r="E22" s="54">
        <f>'11A (N S) Sem1 '!P22</f>
        <v>77.5</v>
      </c>
      <c r="F22" s="54">
        <f>'11A (N S) Sem2'!P22</f>
        <v>80.400000000000006</v>
      </c>
      <c r="G22" s="54">
        <f t="shared" si="0"/>
        <v>78.95</v>
      </c>
      <c r="H22" s="74"/>
      <c r="I22" s="55">
        <f t="shared" si="1"/>
        <v>21</v>
      </c>
    </row>
    <row r="23" spans="1:11" ht="18.75" customHeight="1" x14ac:dyDescent="0.25">
      <c r="A23" s="120">
        <v>20</v>
      </c>
      <c r="B23" s="142"/>
      <c r="C23" s="156">
        <v>16</v>
      </c>
      <c r="D23" s="156" t="s">
        <v>20</v>
      </c>
      <c r="E23" s="54">
        <f>'11A (N S) Sem1 '!P23</f>
        <v>79.400000000000006</v>
      </c>
      <c r="F23" s="54">
        <f>'11A (N S) Sem2'!P23</f>
        <v>79.5</v>
      </c>
      <c r="G23" s="54">
        <f t="shared" si="0"/>
        <v>79.45</v>
      </c>
      <c r="H23" s="74"/>
      <c r="I23" s="55">
        <f t="shared" si="1"/>
        <v>19</v>
      </c>
    </row>
    <row r="24" spans="1:11" ht="18.95" customHeight="1" x14ac:dyDescent="0.25">
      <c r="A24" s="120">
        <v>21</v>
      </c>
      <c r="B24" s="142"/>
      <c r="C24" s="156">
        <v>16</v>
      </c>
      <c r="D24" s="156" t="s">
        <v>20</v>
      </c>
      <c r="E24" s="54">
        <f>'11A (N S) Sem1 '!P24</f>
        <v>84.8</v>
      </c>
      <c r="F24" s="54">
        <f>'11A (N S) Sem2'!P24</f>
        <v>84.8</v>
      </c>
      <c r="G24" s="54">
        <f t="shared" si="0"/>
        <v>84.8</v>
      </c>
      <c r="H24" s="74"/>
      <c r="I24" s="55">
        <f t="shared" si="1"/>
        <v>14</v>
      </c>
    </row>
    <row r="25" spans="1:11" ht="18.95" customHeight="1" x14ac:dyDescent="0.25">
      <c r="A25" s="120">
        <v>22</v>
      </c>
      <c r="B25" s="142"/>
      <c r="C25" s="156">
        <v>16</v>
      </c>
      <c r="D25" s="156" t="s">
        <v>23</v>
      </c>
      <c r="E25" s="54">
        <f>'11A (N S) Sem1 '!P25</f>
        <v>83.4</v>
      </c>
      <c r="F25" s="54">
        <f>'11A (N S) Sem2'!P25</f>
        <v>89.8</v>
      </c>
      <c r="G25" s="54">
        <f t="shared" si="0"/>
        <v>86.6</v>
      </c>
      <c r="H25" s="74"/>
      <c r="I25" s="55">
        <f t="shared" si="1"/>
        <v>10</v>
      </c>
    </row>
    <row r="26" spans="1:11" ht="18.95" customHeight="1" x14ac:dyDescent="0.25">
      <c r="A26" s="120">
        <v>23</v>
      </c>
      <c r="B26" s="142"/>
      <c r="C26" s="156">
        <v>15</v>
      </c>
      <c r="D26" s="156" t="s">
        <v>23</v>
      </c>
      <c r="E26" s="54">
        <f>'11A (N S) Sem1 '!P26</f>
        <v>80.099999999999994</v>
      </c>
      <c r="F26" s="54">
        <f>'11A (N S) Sem2'!P26</f>
        <v>82.1</v>
      </c>
      <c r="G26" s="54">
        <f t="shared" si="0"/>
        <v>81.099999999999994</v>
      </c>
      <c r="H26" s="74"/>
      <c r="I26" s="55">
        <f t="shared" si="1"/>
        <v>17</v>
      </c>
    </row>
    <row r="27" spans="1:11" ht="18.95" customHeight="1" x14ac:dyDescent="0.25">
      <c r="A27" s="120">
        <v>24</v>
      </c>
      <c r="B27" s="142"/>
      <c r="C27" s="156">
        <v>16</v>
      </c>
      <c r="D27" s="156" t="s">
        <v>23</v>
      </c>
      <c r="E27" s="54">
        <f>'11A (N S) Sem1 '!P27</f>
        <v>97.5</v>
      </c>
      <c r="F27" s="54">
        <f>'11A (N S) Sem2'!P27</f>
        <v>98.6</v>
      </c>
      <c r="G27" s="54">
        <f t="shared" si="0"/>
        <v>98.05</v>
      </c>
      <c r="H27" s="74"/>
      <c r="I27" s="55">
        <f t="shared" si="1"/>
        <v>1</v>
      </c>
    </row>
    <row r="28" spans="1:11" ht="18.95" customHeight="1" x14ac:dyDescent="0.25">
      <c r="A28" s="120">
        <v>25</v>
      </c>
      <c r="B28" s="142"/>
      <c r="C28" s="156">
        <v>16</v>
      </c>
      <c r="D28" s="156" t="s">
        <v>23</v>
      </c>
      <c r="E28" s="54">
        <f>'11A (N S) Sem1 '!P28</f>
        <v>92.2</v>
      </c>
      <c r="F28" s="54">
        <f>'11A (N S) Sem2'!P28</f>
        <v>97.3</v>
      </c>
      <c r="G28" s="54">
        <f t="shared" si="0"/>
        <v>94.75</v>
      </c>
      <c r="H28" s="74"/>
      <c r="I28" s="55">
        <f t="shared" si="1"/>
        <v>2</v>
      </c>
    </row>
    <row r="29" spans="1:11" ht="18.95" customHeight="1" x14ac:dyDescent="0.25">
      <c r="A29" s="120">
        <v>26</v>
      </c>
      <c r="B29" s="142"/>
      <c r="C29" s="156">
        <v>16</v>
      </c>
      <c r="D29" s="156" t="s">
        <v>23</v>
      </c>
      <c r="E29" s="54">
        <f>'11A (N S) Sem1 '!P29</f>
        <v>81.400000000000006</v>
      </c>
      <c r="F29" s="54">
        <f>'11A (N S) Sem2'!P29</f>
        <v>87.3</v>
      </c>
      <c r="G29" s="54">
        <f t="shared" si="0"/>
        <v>84.35</v>
      </c>
      <c r="H29" s="74"/>
      <c r="I29" s="55">
        <f t="shared" si="1"/>
        <v>15</v>
      </c>
    </row>
    <row r="30" spans="1:11" ht="18.95" customHeight="1" x14ac:dyDescent="0.25">
      <c r="A30" s="120">
        <v>27</v>
      </c>
      <c r="B30" s="142"/>
      <c r="C30" s="156">
        <v>16</v>
      </c>
      <c r="D30" s="156" t="s">
        <v>23</v>
      </c>
      <c r="E30" s="54">
        <f>'11A (N S) Sem1 '!P30</f>
        <v>64.3</v>
      </c>
      <c r="F30" s="54">
        <f>'11A (N S) Sem2'!P30</f>
        <v>70.7</v>
      </c>
      <c r="G30" s="54">
        <f t="shared" si="0"/>
        <v>67.5</v>
      </c>
      <c r="H30" s="74"/>
      <c r="I30" s="55">
        <f t="shared" si="1"/>
        <v>28</v>
      </c>
    </row>
    <row r="31" spans="1:11" ht="18.95" customHeight="1" x14ac:dyDescent="0.25">
      <c r="A31" s="120">
        <v>28</v>
      </c>
      <c r="B31" s="142"/>
      <c r="C31" s="156">
        <v>16</v>
      </c>
      <c r="D31" s="156" t="s">
        <v>20</v>
      </c>
      <c r="E31" s="54">
        <f>'11A (N S) Sem1 '!P31</f>
        <v>91.1</v>
      </c>
      <c r="F31" s="54">
        <f>'11A (N S) Sem2'!P31</f>
        <v>92.7</v>
      </c>
      <c r="G31" s="54">
        <f t="shared" si="0"/>
        <v>91.9</v>
      </c>
      <c r="H31" s="20"/>
      <c r="I31" s="55">
        <f t="shared" si="1"/>
        <v>5</v>
      </c>
    </row>
    <row r="32" spans="1:11" ht="18.95" customHeight="1" x14ac:dyDescent="0.25">
      <c r="A32" s="120">
        <v>29</v>
      </c>
      <c r="B32" s="126"/>
      <c r="C32" s="177"/>
      <c r="D32" s="126"/>
      <c r="E32" s="54">
        <f>'11A (N S) Sem1 '!P32</f>
        <v>0</v>
      </c>
      <c r="F32" s="54">
        <f>'11A (N S) Sem2'!P32</f>
        <v>0</v>
      </c>
      <c r="G32" s="54">
        <f t="shared" si="0"/>
        <v>0</v>
      </c>
      <c r="H32" s="20"/>
      <c r="I32" s="55"/>
    </row>
    <row r="33" spans="1:9" ht="18.75" customHeight="1" x14ac:dyDescent="0.25">
      <c r="A33" s="95">
        <v>30</v>
      </c>
      <c r="B33" s="124"/>
      <c r="C33" s="178"/>
      <c r="D33" s="124"/>
      <c r="E33" s="54">
        <f>'11A (N S) Sem1 '!P33</f>
        <v>0</v>
      </c>
      <c r="F33" s="54">
        <f>'11A (N S) Sem2'!P33</f>
        <v>0</v>
      </c>
      <c r="G33" s="54">
        <f t="shared" si="0"/>
        <v>0</v>
      </c>
      <c r="H33" s="74"/>
      <c r="I33" s="55"/>
    </row>
    <row r="34" spans="1:9" ht="19.5" customHeight="1" x14ac:dyDescent="0.25">
      <c r="A34" s="120">
        <v>31</v>
      </c>
      <c r="B34" s="124"/>
      <c r="C34" s="178"/>
      <c r="D34" s="124"/>
      <c r="E34" s="54">
        <f>'11A (N S) Sem1 '!P34</f>
        <v>0</v>
      </c>
      <c r="F34" s="54">
        <f>'11A (N S) Sem2'!P34</f>
        <v>0</v>
      </c>
      <c r="G34" s="54">
        <f t="shared" si="0"/>
        <v>0</v>
      </c>
      <c r="H34" s="74"/>
      <c r="I34" s="55"/>
    </row>
    <row r="35" spans="1:9" ht="19.5" customHeight="1" x14ac:dyDescent="0.25">
      <c r="A35" s="95">
        <v>32</v>
      </c>
      <c r="B35" s="125"/>
      <c r="C35" s="177"/>
      <c r="D35" s="126"/>
      <c r="E35" s="54">
        <f>'11A (N S) Sem1 '!P35</f>
        <v>0</v>
      </c>
      <c r="F35" s="54">
        <f>'11A (N S) Sem2'!P35</f>
        <v>0</v>
      </c>
      <c r="G35" s="54">
        <f t="shared" si="0"/>
        <v>0</v>
      </c>
      <c r="H35" s="74"/>
      <c r="I35" s="55"/>
    </row>
    <row r="36" spans="1:9" ht="20.25" customHeight="1" x14ac:dyDescent="0.25">
      <c r="A36" s="120">
        <v>33</v>
      </c>
      <c r="B36" s="172"/>
      <c r="C36" s="177"/>
      <c r="D36" s="126"/>
      <c r="E36" s="54">
        <f>'11A (N S) Sem1 '!P36</f>
        <v>0</v>
      </c>
      <c r="F36" s="54">
        <f>'11A (N S) Sem2'!P36</f>
        <v>0</v>
      </c>
      <c r="G36" s="54">
        <f t="shared" si="0"/>
        <v>0</v>
      </c>
      <c r="H36" s="74"/>
      <c r="I36" s="55"/>
    </row>
    <row r="37" spans="1:9" ht="17.25" customHeight="1" x14ac:dyDescent="0.25">
      <c r="A37" s="95">
        <v>34</v>
      </c>
      <c r="B37" s="126"/>
      <c r="C37" s="177"/>
      <c r="D37" s="126"/>
      <c r="E37" s="54">
        <f>'11A (N S) Sem1 '!P37</f>
        <v>0</v>
      </c>
      <c r="F37" s="54">
        <f>'11A (N S) Sem2'!P37</f>
        <v>0</v>
      </c>
      <c r="G37" s="54">
        <f t="shared" si="0"/>
        <v>0</v>
      </c>
      <c r="H37" s="74"/>
      <c r="I37" s="55"/>
    </row>
    <row r="38" spans="1:9" ht="17.25" customHeight="1" x14ac:dyDescent="0.25">
      <c r="A38" s="120">
        <v>35</v>
      </c>
      <c r="B38" s="126"/>
      <c r="C38" s="177"/>
      <c r="D38" s="126"/>
      <c r="E38" s="54">
        <f>'11A (N S) Sem1 '!P38</f>
        <v>0</v>
      </c>
      <c r="F38" s="54">
        <f>'11A (N S) Sem2'!P38</f>
        <v>0</v>
      </c>
      <c r="G38" s="54">
        <f t="shared" si="0"/>
        <v>0</v>
      </c>
      <c r="H38" s="74"/>
      <c r="I38" s="55"/>
    </row>
    <row r="39" spans="1:9" ht="21" customHeight="1" x14ac:dyDescent="0.25">
      <c r="A39" s="95">
        <v>36</v>
      </c>
      <c r="B39" s="124"/>
      <c r="C39" s="178"/>
      <c r="D39" s="124"/>
      <c r="E39" s="54">
        <f>'11A (N S) Sem1 '!P39</f>
        <v>0</v>
      </c>
      <c r="F39" s="54">
        <f>'11A (N S) Sem2'!P39</f>
        <v>0</v>
      </c>
      <c r="G39" s="54">
        <f t="shared" si="0"/>
        <v>0</v>
      </c>
      <c r="H39" s="74"/>
      <c r="I39" s="55"/>
    </row>
    <row r="40" spans="1:9" ht="17.25" customHeight="1" x14ac:dyDescent="0.25">
      <c r="A40" s="120">
        <v>37</v>
      </c>
      <c r="B40" s="126"/>
      <c r="C40" s="177"/>
      <c r="D40" s="126"/>
      <c r="E40" s="54">
        <f>'11A (N S) Sem1 '!P40</f>
        <v>0</v>
      </c>
      <c r="F40" s="54">
        <f>'11A (N S) Sem2'!P40</f>
        <v>0</v>
      </c>
      <c r="G40" s="54">
        <f t="shared" si="0"/>
        <v>0</v>
      </c>
      <c r="H40" s="74"/>
      <c r="I40" s="55"/>
    </row>
    <row r="41" spans="1:9" ht="18.75" customHeight="1" x14ac:dyDescent="0.25">
      <c r="A41" s="95">
        <v>38</v>
      </c>
      <c r="B41" s="126"/>
      <c r="C41" s="177"/>
      <c r="D41" s="126"/>
      <c r="E41" s="54">
        <f>'11A (N S) Sem1 '!P41</f>
        <v>0</v>
      </c>
      <c r="F41" s="54">
        <f>'11A (N S) Sem2'!P41</f>
        <v>0</v>
      </c>
      <c r="G41" s="54">
        <f t="shared" si="0"/>
        <v>0</v>
      </c>
      <c r="H41" s="74"/>
      <c r="I41" s="55"/>
    </row>
    <row r="42" spans="1:9" ht="17.25" customHeight="1" x14ac:dyDescent="0.25">
      <c r="A42" s="120">
        <v>39</v>
      </c>
      <c r="B42" s="124"/>
      <c r="C42" s="178"/>
      <c r="D42" s="124"/>
      <c r="E42" s="54">
        <f>'11A (N S) Sem1 '!P42</f>
        <v>0</v>
      </c>
      <c r="F42" s="54">
        <f>'11A (N S) Sem2'!P42</f>
        <v>0</v>
      </c>
      <c r="G42" s="54">
        <f t="shared" si="0"/>
        <v>0</v>
      </c>
      <c r="H42" s="74"/>
      <c r="I42" s="55"/>
    </row>
    <row r="43" spans="1:9" ht="16.5" customHeight="1" x14ac:dyDescent="0.25">
      <c r="A43" s="95">
        <v>40</v>
      </c>
      <c r="B43" s="126"/>
      <c r="C43" s="177"/>
      <c r="D43" s="126"/>
      <c r="E43" s="54">
        <f>'11A (N S) Sem1 '!P43</f>
        <v>0</v>
      </c>
      <c r="F43" s="54">
        <f>'11A (N S) Sem2'!P43</f>
        <v>0</v>
      </c>
      <c r="G43" s="54">
        <f t="shared" si="0"/>
        <v>0</v>
      </c>
      <c r="H43" s="74"/>
      <c r="I43" s="55"/>
    </row>
    <row r="44" spans="1:9" ht="19.5" customHeight="1" x14ac:dyDescent="0.25">
      <c r="A44" s="120">
        <v>41</v>
      </c>
      <c r="B44" s="126"/>
      <c r="C44" s="177"/>
      <c r="D44" s="126"/>
      <c r="E44" s="54">
        <f>'11A (N S) Sem1 '!P44</f>
        <v>0</v>
      </c>
      <c r="F44" s="54">
        <f>'11A (N S) Sem2'!P44</f>
        <v>0</v>
      </c>
      <c r="G44" s="54">
        <f t="shared" si="0"/>
        <v>0</v>
      </c>
      <c r="H44" s="74"/>
      <c r="I44" s="55"/>
    </row>
    <row r="45" spans="1:9" ht="18.75" customHeight="1" x14ac:dyDescent="0.25">
      <c r="A45" s="95">
        <v>42</v>
      </c>
      <c r="B45" s="126"/>
      <c r="C45" s="177"/>
      <c r="D45" s="126"/>
      <c r="E45" s="54">
        <f>'11A (N S) Sem1 '!P45</f>
        <v>0</v>
      </c>
      <c r="F45" s="54">
        <f>'11A (N S) Sem2'!P45</f>
        <v>0</v>
      </c>
      <c r="G45" s="54">
        <f t="shared" si="0"/>
        <v>0</v>
      </c>
      <c r="H45" s="74"/>
      <c r="I45" s="55"/>
    </row>
    <row r="46" spans="1:9" ht="19.5" customHeight="1" x14ac:dyDescent="0.25">
      <c r="A46" s="120">
        <v>43</v>
      </c>
      <c r="B46" s="126"/>
      <c r="C46" s="177"/>
      <c r="D46" s="126"/>
      <c r="E46" s="54">
        <f>'11A (N S) Sem1 '!P46</f>
        <v>0</v>
      </c>
      <c r="F46" s="54">
        <f>'11A (N S) Sem2'!P46</f>
        <v>0</v>
      </c>
      <c r="G46" s="54">
        <f t="shared" si="0"/>
        <v>0</v>
      </c>
      <c r="H46" s="74"/>
      <c r="I46" s="55"/>
    </row>
    <row r="47" spans="1:9" ht="18.75" customHeight="1" x14ac:dyDescent="0.25">
      <c r="A47" s="95">
        <v>44</v>
      </c>
      <c r="B47" s="126"/>
      <c r="C47" s="177"/>
      <c r="D47" s="126"/>
      <c r="E47" s="54">
        <f>'11A (N S) Sem1 '!P47</f>
        <v>0</v>
      </c>
      <c r="F47" s="54">
        <f>'11A (N S) Sem2'!P47</f>
        <v>0</v>
      </c>
      <c r="G47" s="54">
        <f t="shared" si="0"/>
        <v>0</v>
      </c>
      <c r="H47" s="74"/>
      <c r="I47" s="55"/>
    </row>
    <row r="48" spans="1:9" ht="18.75" customHeight="1" x14ac:dyDescent="0.25">
      <c r="A48" s="120">
        <v>45</v>
      </c>
      <c r="B48" s="126"/>
      <c r="C48" s="177"/>
      <c r="D48" s="126"/>
      <c r="E48" s="54">
        <f>'11A (N S) Sem1 '!P48</f>
        <v>0</v>
      </c>
      <c r="F48" s="54">
        <f>'11A (N S) Sem2'!P48</f>
        <v>0</v>
      </c>
      <c r="G48" s="54">
        <f t="shared" si="0"/>
        <v>0</v>
      </c>
      <c r="H48" s="74"/>
      <c r="I48" s="55"/>
    </row>
    <row r="49" spans="1:9" ht="18" customHeight="1" x14ac:dyDescent="0.25">
      <c r="A49" s="95">
        <v>46</v>
      </c>
      <c r="B49" s="126"/>
      <c r="C49" s="177"/>
      <c r="D49" s="126"/>
      <c r="E49" s="54">
        <f>'11A (N S) Sem1 '!P49</f>
        <v>0</v>
      </c>
      <c r="F49" s="54">
        <f>'11A (N S) Sem2'!P49</f>
        <v>0</v>
      </c>
      <c r="G49" s="54">
        <f t="shared" si="0"/>
        <v>0</v>
      </c>
      <c r="H49" s="74"/>
      <c r="I49" s="55"/>
    </row>
    <row r="50" spans="1:9" ht="18.75" customHeight="1" x14ac:dyDescent="0.25">
      <c r="A50" s="120">
        <v>47</v>
      </c>
      <c r="B50" s="126"/>
      <c r="C50" s="177"/>
      <c r="D50" s="126"/>
      <c r="E50" s="54">
        <f>'11A (N S) Sem1 '!P50</f>
        <v>0</v>
      </c>
      <c r="F50" s="54">
        <f>'11A (N S) Sem2'!P50</f>
        <v>0</v>
      </c>
      <c r="G50" s="54">
        <f t="shared" si="0"/>
        <v>0</v>
      </c>
      <c r="H50" s="74"/>
      <c r="I50" s="55"/>
    </row>
    <row r="51" spans="1:9" ht="19.5" customHeight="1" x14ac:dyDescent="0.25">
      <c r="A51" s="95">
        <v>48</v>
      </c>
      <c r="B51" s="126"/>
      <c r="C51" s="177"/>
      <c r="D51" s="126"/>
      <c r="E51" s="54">
        <f>'11A (N S) Sem1 '!P51</f>
        <v>0</v>
      </c>
      <c r="F51" s="54">
        <f>'11A (N S) Sem2'!P51</f>
        <v>0</v>
      </c>
      <c r="G51" s="54">
        <f t="shared" si="0"/>
        <v>0</v>
      </c>
      <c r="H51" s="74"/>
      <c r="I51" s="55"/>
    </row>
    <row r="52" spans="1:9" ht="21.75" customHeight="1" x14ac:dyDescent="0.25">
      <c r="A52" s="120">
        <v>49</v>
      </c>
      <c r="B52" s="126"/>
      <c r="C52" s="177"/>
      <c r="D52" s="126"/>
      <c r="E52" s="54">
        <f>'11A (N S) Sem1 '!P52</f>
        <v>0</v>
      </c>
      <c r="F52" s="54">
        <f>'11A (N S) Sem2'!P52</f>
        <v>0</v>
      </c>
      <c r="G52" s="54">
        <f t="shared" si="0"/>
        <v>0</v>
      </c>
      <c r="H52" s="74"/>
      <c r="I52" s="55"/>
    </row>
    <row r="53" spans="1:9" ht="19.5" customHeight="1" x14ac:dyDescent="0.25">
      <c r="A53" s="95">
        <v>50</v>
      </c>
      <c r="B53" s="126"/>
      <c r="C53" s="177"/>
      <c r="D53" s="126"/>
      <c r="E53" s="54">
        <f>'11A (N S) Sem1 '!P53</f>
        <v>0</v>
      </c>
      <c r="F53" s="54">
        <f>'11A (N S) Sem2'!P53</f>
        <v>0</v>
      </c>
      <c r="G53" s="54">
        <f t="shared" si="0"/>
        <v>0</v>
      </c>
      <c r="H53" s="74"/>
      <c r="I53" s="55"/>
    </row>
    <row r="54" spans="1:9" ht="19.5" customHeight="1" x14ac:dyDescent="0.25">
      <c r="A54" s="120">
        <v>51</v>
      </c>
      <c r="B54" s="126"/>
      <c r="C54" s="177"/>
      <c r="D54" s="126"/>
      <c r="E54" s="54">
        <f>'11A (N S) Sem1 '!P54</f>
        <v>0</v>
      </c>
      <c r="F54" s="54">
        <f>'11A (N S) Sem2'!P54</f>
        <v>0</v>
      </c>
      <c r="G54" s="54">
        <f t="shared" si="0"/>
        <v>0</v>
      </c>
      <c r="H54" s="74"/>
      <c r="I54" s="55"/>
    </row>
    <row r="55" spans="1:9" ht="19.5" customHeight="1" x14ac:dyDescent="0.25">
      <c r="A55" s="95">
        <v>52</v>
      </c>
      <c r="B55" s="20"/>
      <c r="C55" s="20"/>
      <c r="D55" s="20"/>
      <c r="E55" s="15">
        <f>'11A (N S) Sem1 '!P55</f>
        <v>0</v>
      </c>
      <c r="F55" s="15">
        <f>'11A (N S) Sem2'!P55</f>
        <v>0</v>
      </c>
      <c r="G55" s="54">
        <f t="shared" si="0"/>
        <v>0</v>
      </c>
      <c r="H55" s="15"/>
      <c r="I55" s="15"/>
    </row>
    <row r="56" spans="1:9" ht="19.5" customHeight="1" x14ac:dyDescent="0.25">
      <c r="A56" s="120">
        <v>53</v>
      </c>
      <c r="B56" s="20"/>
      <c r="C56" s="20"/>
      <c r="D56" s="20"/>
      <c r="E56" s="15">
        <f>'11A (N S) Sem1 '!P56</f>
        <v>0</v>
      </c>
      <c r="F56" s="15">
        <f>'11A (N S) Sem2'!P56</f>
        <v>0</v>
      </c>
      <c r="G56" s="54">
        <f t="shared" si="0"/>
        <v>0</v>
      </c>
      <c r="H56" s="15"/>
      <c r="I56" s="15"/>
    </row>
    <row r="57" spans="1:9" ht="19.5" customHeight="1" x14ac:dyDescent="0.25">
      <c r="A57" s="95">
        <v>54</v>
      </c>
      <c r="B57" s="20"/>
      <c r="C57" s="20"/>
      <c r="D57" s="20"/>
      <c r="E57" s="15">
        <f>'11A (N S) Sem1 '!P57</f>
        <v>0</v>
      </c>
      <c r="F57" s="15">
        <f>'11A (N S) Sem2'!P57</f>
        <v>0</v>
      </c>
      <c r="G57" s="54">
        <f t="shared" si="0"/>
        <v>0</v>
      </c>
      <c r="H57" s="15"/>
      <c r="I57" s="15"/>
    </row>
    <row r="58" spans="1:9" ht="19.5" customHeight="1" x14ac:dyDescent="0.25">
      <c r="A58" s="120">
        <v>55</v>
      </c>
      <c r="B58" s="20"/>
      <c r="C58" s="20"/>
      <c r="D58" s="20"/>
      <c r="E58" s="15">
        <f>'11A (N S) Sem1 '!P58</f>
        <v>0</v>
      </c>
      <c r="F58" s="15">
        <f>'11A (N S) Sem2'!P58</f>
        <v>0</v>
      </c>
      <c r="G58" s="54">
        <f t="shared" si="0"/>
        <v>0</v>
      </c>
      <c r="H58" s="15"/>
      <c r="I58" s="15"/>
    </row>
    <row r="59" spans="1:9" ht="13.5" customHeight="1" x14ac:dyDescent="0.25"/>
    <row r="60" spans="1:9" ht="13.5" customHeight="1" x14ac:dyDescent="0.25"/>
    <row r="61" spans="1:9" ht="13.5" customHeight="1" x14ac:dyDescent="0.25"/>
    <row r="62" spans="1:9" ht="13.5" customHeight="1" x14ac:dyDescent="0.25">
      <c r="A62" s="46"/>
      <c r="B62" s="46"/>
    </row>
    <row r="63" spans="1:9" ht="13.5" customHeight="1" x14ac:dyDescent="0.25">
      <c r="A63" s="46"/>
      <c r="B63" s="46"/>
    </row>
    <row r="64" spans="1:9" ht="13.5" customHeight="1" x14ac:dyDescent="0.25">
      <c r="A64" s="46"/>
      <c r="B64" s="46"/>
    </row>
    <row r="65" spans="1:4" ht="13.5" customHeight="1" x14ac:dyDescent="0.25">
      <c r="A65" s="46"/>
      <c r="B65" s="46"/>
    </row>
    <row r="66" spans="1:4" ht="13.5" customHeight="1" x14ac:dyDescent="0.25">
      <c r="A66" s="46"/>
      <c r="B66" s="46"/>
    </row>
    <row r="67" spans="1:4" ht="13.5" customHeight="1" x14ac:dyDescent="0.25">
      <c r="A67" s="46"/>
      <c r="B67" s="46"/>
    </row>
    <row r="68" spans="1:4" ht="13.5" customHeight="1" x14ac:dyDescent="0.25">
      <c r="A68" s="46"/>
      <c r="B68" s="46"/>
    </row>
    <row r="69" spans="1:4" ht="13.5" customHeight="1" x14ac:dyDescent="0.25">
      <c r="A69" s="46"/>
      <c r="B69" s="46"/>
    </row>
    <row r="70" spans="1:4" ht="13.5" customHeight="1" x14ac:dyDescent="0.25">
      <c r="A70" s="46"/>
      <c r="B70" s="46"/>
    </row>
    <row r="71" spans="1:4" ht="13.5" customHeight="1" x14ac:dyDescent="0.25">
      <c r="A71" s="46"/>
      <c r="B71" s="46"/>
    </row>
    <row r="72" spans="1:4" ht="13.5" customHeight="1" x14ac:dyDescent="0.25">
      <c r="A72" s="46"/>
      <c r="B72" s="46"/>
    </row>
    <row r="73" spans="1:4" ht="13.5" customHeight="1" x14ac:dyDescent="0.25">
      <c r="A73" s="46"/>
      <c r="B73" s="46"/>
    </row>
    <row r="74" spans="1:4" ht="13.5" customHeight="1" x14ac:dyDescent="0.25">
      <c r="A74" s="46"/>
      <c r="B74" s="46"/>
    </row>
    <row r="75" spans="1:4" ht="13.5" customHeight="1" x14ac:dyDescent="0.25">
      <c r="A75" s="46"/>
      <c r="B75" s="46"/>
      <c r="C75" s="9"/>
      <c r="D75" s="9"/>
    </row>
    <row r="76" spans="1:4" ht="13.5" customHeight="1" x14ac:dyDescent="0.25">
      <c r="A76" s="46"/>
      <c r="B76" s="46"/>
      <c r="C76" s="9"/>
      <c r="D76" s="9"/>
    </row>
    <row r="77" spans="1:4" ht="13.5" customHeight="1" x14ac:dyDescent="0.25">
      <c r="A77" s="46"/>
      <c r="B77" s="46"/>
      <c r="C77" s="9"/>
      <c r="D77" s="9"/>
    </row>
    <row r="78" spans="1:4" ht="13.5" customHeight="1" x14ac:dyDescent="0.25">
      <c r="A78" s="46"/>
      <c r="B78" s="46"/>
      <c r="C78" s="9"/>
      <c r="D78" s="9"/>
    </row>
    <row r="79" spans="1:4" ht="13.5" customHeight="1" x14ac:dyDescent="0.25">
      <c r="A79" s="46"/>
      <c r="B79" s="46"/>
      <c r="C79" s="9"/>
      <c r="D79" s="9"/>
    </row>
    <row r="80" spans="1:4" ht="13.5" customHeight="1" x14ac:dyDescent="0.25">
      <c r="A80" s="46"/>
      <c r="B80" s="46"/>
      <c r="C80" s="9"/>
      <c r="D80" s="9"/>
    </row>
    <row r="81" spans="1:4" ht="13.5" customHeight="1" x14ac:dyDescent="0.25">
      <c r="A81" s="46"/>
      <c r="B81" s="46"/>
      <c r="C81" s="9"/>
      <c r="D81" s="9"/>
    </row>
    <row r="82" spans="1:4" ht="13.5" customHeight="1" x14ac:dyDescent="0.25">
      <c r="A82" s="46"/>
      <c r="B82" s="46"/>
      <c r="C82" s="9"/>
      <c r="D82" s="9"/>
    </row>
    <row r="83" spans="1:4" ht="13.5" customHeight="1" x14ac:dyDescent="0.25">
      <c r="A83" s="46"/>
      <c r="B83" s="46"/>
      <c r="C83" s="9"/>
      <c r="D83" s="9"/>
    </row>
    <row r="84" spans="1:4" ht="13.5" customHeight="1" x14ac:dyDescent="0.25">
      <c r="A84" s="46"/>
      <c r="B84" s="46"/>
    </row>
    <row r="85" spans="1:4" ht="13.5" customHeight="1" x14ac:dyDescent="0.25">
      <c r="A85" s="46"/>
      <c r="B85" s="46"/>
    </row>
    <row r="86" spans="1:4" ht="13.5" customHeight="1" x14ac:dyDescent="0.25">
      <c r="A86" s="46"/>
      <c r="B86" s="46"/>
    </row>
    <row r="87" spans="1:4" ht="13.5" customHeight="1" x14ac:dyDescent="0.25">
      <c r="A87" s="46"/>
      <c r="B87" s="46"/>
    </row>
    <row r="88" spans="1:4" ht="13.5" customHeight="1" x14ac:dyDescent="0.25">
      <c r="A88" s="46"/>
      <c r="B88" s="46"/>
    </row>
    <row r="89" spans="1:4" ht="13.5" customHeight="1" x14ac:dyDescent="0.25">
      <c r="A89" s="46"/>
      <c r="B89" s="46"/>
    </row>
    <row r="90" spans="1:4" ht="13.5" customHeight="1" x14ac:dyDescent="0.25">
      <c r="A90" s="46"/>
      <c r="B90" s="46"/>
    </row>
    <row r="91" spans="1:4" ht="13.5" customHeight="1" x14ac:dyDescent="0.25">
      <c r="A91" s="46"/>
      <c r="B91" s="46"/>
    </row>
    <row r="92" spans="1:4" ht="13.5" customHeight="1" x14ac:dyDescent="0.25">
      <c r="A92" s="46"/>
      <c r="B92" s="46"/>
    </row>
    <row r="93" spans="1:4" ht="13.5" customHeight="1" x14ac:dyDescent="0.25">
      <c r="A93" s="46"/>
      <c r="B93" s="46"/>
    </row>
    <row r="94" spans="1:4" ht="13.5" customHeight="1" x14ac:dyDescent="0.25">
      <c r="A94" s="46"/>
      <c r="B94" s="46"/>
    </row>
    <row r="95" spans="1:4" ht="13.5" customHeight="1" x14ac:dyDescent="0.25">
      <c r="A95" s="46"/>
      <c r="B95" s="46"/>
    </row>
    <row r="96" spans="1:4" ht="13.5" customHeight="1" x14ac:dyDescent="0.25">
      <c r="A96" s="46"/>
      <c r="B96" s="46"/>
    </row>
    <row r="97" spans="1:2" ht="13.5" customHeight="1" x14ac:dyDescent="0.25">
      <c r="A97" s="46"/>
      <c r="B97" s="46"/>
    </row>
    <row r="98" spans="1:2" ht="13.5" customHeight="1" x14ac:dyDescent="0.25">
      <c r="A98" s="46"/>
      <c r="B98" s="46"/>
    </row>
    <row r="99" spans="1:2" ht="15" customHeight="1" x14ac:dyDescent="0.25">
      <c r="A99" s="46"/>
      <c r="B99" s="46"/>
    </row>
  </sheetData>
  <mergeCells count="2">
    <mergeCell ref="A2:I2"/>
    <mergeCell ref="A1:L1"/>
  </mergeCells>
  <pageMargins left="0.7" right="0.7" top="0.75" bottom="0.75" header="0.3" footer="0.3"/>
  <pageSetup paperSize="9" scale="85" orientation="portrait" verticalDpi="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93"/>
  <sheetViews>
    <sheetView view="pageBreakPreview" zoomScale="60" zoomScaleNormal="100" workbookViewId="0">
      <selection activeCell="B4" sqref="B4:B93"/>
    </sheetView>
  </sheetViews>
  <sheetFormatPr defaultRowHeight="15" x14ac:dyDescent="0.25"/>
  <cols>
    <col min="1" max="1" width="4.85546875" customWidth="1"/>
    <col min="2" max="2" width="37.140625" customWidth="1"/>
    <col min="3" max="3" width="5.140625" customWidth="1"/>
    <col min="4" max="4" width="4" customWidth="1"/>
    <col min="5" max="5" width="11.42578125" customWidth="1"/>
    <col min="6" max="20" width="7.28515625" customWidth="1"/>
    <col min="21" max="21" width="38.28515625" customWidth="1"/>
    <col min="22" max="23" width="4.85546875" customWidth="1"/>
  </cols>
  <sheetData>
    <row r="1" spans="1:23" ht="20.25" customHeight="1" thickBot="1" x14ac:dyDescent="0.3">
      <c r="A1" s="341" t="s">
        <v>57</v>
      </c>
      <c r="B1" s="342"/>
      <c r="C1" s="342"/>
      <c r="D1" s="342"/>
      <c r="E1" s="342"/>
      <c r="F1" s="342"/>
      <c r="G1" s="342"/>
      <c r="H1" s="342"/>
      <c r="I1" s="342"/>
      <c r="J1" s="342"/>
      <c r="K1" s="342"/>
      <c r="L1" s="342"/>
      <c r="M1" s="342"/>
      <c r="N1" s="342"/>
      <c r="O1" s="342"/>
      <c r="P1" s="342"/>
      <c r="Q1" s="342"/>
      <c r="R1" s="342"/>
      <c r="S1" s="342"/>
      <c r="T1" s="343"/>
      <c r="U1" s="46"/>
    </row>
    <row r="2" spans="1:23" ht="15.75" customHeight="1" thickBot="1" x14ac:dyDescent="0.3">
      <c r="A2" s="344" t="s">
        <v>73</v>
      </c>
      <c r="B2" s="345"/>
      <c r="C2" s="345"/>
      <c r="D2" s="345"/>
      <c r="E2" s="345"/>
      <c r="F2" s="345"/>
      <c r="G2" s="345"/>
      <c r="H2" s="345"/>
      <c r="I2" s="345"/>
      <c r="J2" s="345"/>
      <c r="K2" s="345"/>
      <c r="L2" s="345"/>
      <c r="M2" s="345"/>
      <c r="N2" s="345"/>
      <c r="O2" s="345"/>
      <c r="P2" s="345"/>
      <c r="Q2" s="345"/>
      <c r="R2" s="345"/>
      <c r="S2" s="345"/>
      <c r="T2" s="344"/>
      <c r="U2" s="46"/>
    </row>
    <row r="3" spans="1:23" ht="54.75" customHeight="1" thickBot="1" x14ac:dyDescent="0.3">
      <c r="A3" s="51" t="s">
        <v>28</v>
      </c>
      <c r="B3" s="52" t="s">
        <v>1</v>
      </c>
      <c r="C3" s="52" t="s">
        <v>2</v>
      </c>
      <c r="D3" s="52" t="s">
        <v>3</v>
      </c>
      <c r="E3" s="53"/>
      <c r="F3" s="195" t="s">
        <v>4</v>
      </c>
      <c r="G3" s="195" t="s">
        <v>5</v>
      </c>
      <c r="H3" s="195" t="s">
        <v>6</v>
      </c>
      <c r="I3" s="195" t="s">
        <v>7</v>
      </c>
      <c r="J3" s="195" t="s">
        <v>8</v>
      </c>
      <c r="K3" s="195" t="s">
        <v>9</v>
      </c>
      <c r="L3" s="195" t="s">
        <v>12</v>
      </c>
      <c r="M3" s="195" t="s">
        <v>31</v>
      </c>
      <c r="N3" s="195" t="s">
        <v>13</v>
      </c>
      <c r="O3" s="195" t="s">
        <v>14</v>
      </c>
      <c r="P3" s="195" t="s">
        <v>15</v>
      </c>
      <c r="Q3" s="195" t="s">
        <v>16</v>
      </c>
      <c r="R3" s="195" t="s">
        <v>17</v>
      </c>
      <c r="S3" s="195" t="s">
        <v>18</v>
      </c>
      <c r="T3" s="196" t="s">
        <v>19</v>
      </c>
    </row>
    <row r="4" spans="1:23" ht="18.95" customHeight="1" x14ac:dyDescent="0.3">
      <c r="A4" s="295">
        <v>1</v>
      </c>
      <c r="B4" s="349"/>
      <c r="C4" s="349">
        <v>18</v>
      </c>
      <c r="D4" s="349" t="s">
        <v>20</v>
      </c>
      <c r="E4" s="32" t="s">
        <v>21</v>
      </c>
      <c r="F4" s="31">
        <f>'11B (N S) Sem1'!E4</f>
        <v>59</v>
      </c>
      <c r="G4" s="31">
        <f>'11B (N S) Sem1'!F4</f>
        <v>50</v>
      </c>
      <c r="H4" s="31">
        <f>'11B (N S) Sem1'!G4</f>
        <v>41</v>
      </c>
      <c r="I4" s="31">
        <f>'11B (N S) Sem1'!H4</f>
        <v>48</v>
      </c>
      <c r="J4" s="31">
        <f>'11B (N S) Sem1'!I4</f>
        <v>41</v>
      </c>
      <c r="K4" s="31">
        <f>'11B (N S) Sem1'!J4</f>
        <v>56</v>
      </c>
      <c r="L4" s="31">
        <f>'11B (N S) Sem1'!K4</f>
        <v>49</v>
      </c>
      <c r="M4" s="31">
        <f>'11B (N S) Sem1'!L4</f>
        <v>69</v>
      </c>
      <c r="N4" s="31">
        <f>'11B (N S) Sem1'!M4</f>
        <v>68</v>
      </c>
      <c r="O4" s="48">
        <f>'11B (N S) Sem1'!N4</f>
        <v>81</v>
      </c>
      <c r="P4" s="31">
        <f>'11B (N S) Sem1'!O4</f>
        <v>562</v>
      </c>
      <c r="Q4" s="30">
        <f>'11B (N S) Sem1'!P4</f>
        <v>56.2</v>
      </c>
      <c r="R4" s="30">
        <f>'11B (N S) Sem1'!Q4</f>
        <v>29</v>
      </c>
      <c r="S4" s="31">
        <f>'11B (N S) Sem1'!R4</f>
        <v>0</v>
      </c>
      <c r="T4" s="55">
        <f>'11B (N S) Sem1'!S4</f>
        <v>0</v>
      </c>
      <c r="U4" s="102"/>
    </row>
    <row r="5" spans="1:23" ht="18.95" customHeight="1" x14ac:dyDescent="0.3">
      <c r="A5" s="295"/>
      <c r="B5" s="304"/>
      <c r="C5" s="304">
        <v>18</v>
      </c>
      <c r="D5" s="304" t="s">
        <v>20</v>
      </c>
      <c r="E5" s="32" t="s">
        <v>22</v>
      </c>
      <c r="F5" s="31">
        <f>'11B (N S) Sem2'!E4</f>
        <v>71</v>
      </c>
      <c r="G5" s="31">
        <f>'11B (N S) Sem2'!F4</f>
        <v>54</v>
      </c>
      <c r="H5" s="31">
        <f>'11B (N S) Sem2'!G4</f>
        <v>44</v>
      </c>
      <c r="I5" s="31">
        <f>'11B (N S) Sem2'!H4</f>
        <v>60</v>
      </c>
      <c r="J5" s="31">
        <f>'11B (N S) Sem2'!I4</f>
        <v>56</v>
      </c>
      <c r="K5" s="31">
        <f>'11B (N S) Sem2'!J4</f>
        <v>67</v>
      </c>
      <c r="L5" s="31">
        <f>'11B (N S) Sem2'!K4</f>
        <v>56</v>
      </c>
      <c r="M5" s="31">
        <f>'11B (N S) Sem2'!L4</f>
        <v>66</v>
      </c>
      <c r="N5" s="31">
        <f>'11B (N S) Sem2'!M4</f>
        <v>75</v>
      </c>
      <c r="O5" s="48">
        <f>'11B (N S) Sem2'!N4</f>
        <v>97</v>
      </c>
      <c r="P5" s="31">
        <f>'11B (N S) Sem2'!O4</f>
        <v>646</v>
      </c>
      <c r="Q5" s="30">
        <f>'11B (N S) Sem2'!P4</f>
        <v>64.599999999999994</v>
      </c>
      <c r="R5" s="30">
        <f>'11B (N S) Sem2'!Q4</f>
        <v>29</v>
      </c>
      <c r="S5" s="31">
        <f>'11B (N S) Sem2'!R4</f>
        <v>0</v>
      </c>
      <c r="T5" s="55">
        <f>'11B (N S) Sem2'!S4</f>
        <v>0</v>
      </c>
      <c r="U5" s="102"/>
    </row>
    <row r="6" spans="1:23" ht="18.95" customHeight="1" x14ac:dyDescent="0.3">
      <c r="A6" s="295"/>
      <c r="B6" s="300"/>
      <c r="C6" s="300">
        <v>18</v>
      </c>
      <c r="D6" s="300" t="s">
        <v>20</v>
      </c>
      <c r="E6" s="32" t="s">
        <v>16</v>
      </c>
      <c r="F6" s="31">
        <f>AVERAGE(F4:F5)</f>
        <v>65</v>
      </c>
      <c r="G6" s="31">
        <f t="shared" ref="G6:P6" si="0">AVERAGE(G4:G5)</f>
        <v>52</v>
      </c>
      <c r="H6" s="31">
        <f t="shared" si="0"/>
        <v>42.5</v>
      </c>
      <c r="I6" s="31">
        <f t="shared" si="0"/>
        <v>54</v>
      </c>
      <c r="J6" s="31">
        <f t="shared" si="0"/>
        <v>48.5</v>
      </c>
      <c r="K6" s="31">
        <f t="shared" si="0"/>
        <v>61.5</v>
      </c>
      <c r="L6" s="31">
        <f t="shared" si="0"/>
        <v>52.5</v>
      </c>
      <c r="M6" s="31">
        <f t="shared" si="0"/>
        <v>67.5</v>
      </c>
      <c r="N6" s="31">
        <f t="shared" si="0"/>
        <v>71.5</v>
      </c>
      <c r="O6" s="31">
        <f t="shared" si="0"/>
        <v>89</v>
      </c>
      <c r="P6" s="31">
        <f t="shared" si="0"/>
        <v>604</v>
      </c>
      <c r="Q6" s="31">
        <f>AVERAGE(Q4:Q5)</f>
        <v>60.4</v>
      </c>
      <c r="R6" s="31">
        <f>'11B (N S) Avr'!$I$4</f>
        <v>29</v>
      </c>
      <c r="S6" s="31">
        <f>AVERAGE(S4:S5)</f>
        <v>0</v>
      </c>
      <c r="T6" s="31">
        <f>AVERAGE(T4:T5)</f>
        <v>0</v>
      </c>
      <c r="U6" s="102"/>
    </row>
    <row r="7" spans="1:23" ht="18.95" customHeight="1" x14ac:dyDescent="0.3">
      <c r="A7" s="295">
        <v>2</v>
      </c>
      <c r="B7" s="293"/>
      <c r="C7" s="348">
        <v>16</v>
      </c>
      <c r="D7" s="293" t="s">
        <v>20</v>
      </c>
      <c r="E7" s="32" t="s">
        <v>21</v>
      </c>
      <c r="F7" s="31">
        <f>'11B (N S) Sem1'!E5</f>
        <v>86</v>
      </c>
      <c r="G7" s="31">
        <f>'11B (N S) Sem1'!F5</f>
        <v>90</v>
      </c>
      <c r="H7" s="31">
        <f>'11B (N S) Sem1'!G5</f>
        <v>100</v>
      </c>
      <c r="I7" s="31">
        <f>'11B (N S) Sem1'!H5</f>
        <v>98</v>
      </c>
      <c r="J7" s="31">
        <f>'11B (N S) Sem1'!I5</f>
        <v>97</v>
      </c>
      <c r="K7" s="31">
        <f>'11B (N S) Sem1'!J5</f>
        <v>99</v>
      </c>
      <c r="L7" s="31">
        <f>'11B (N S) Sem1'!K5</f>
        <v>87</v>
      </c>
      <c r="M7" s="31">
        <f>'11B (N S) Sem1'!L5</f>
        <v>97</v>
      </c>
      <c r="N7" s="31">
        <f>'11B (N S) Sem1'!M5</f>
        <v>96</v>
      </c>
      <c r="O7" s="48">
        <f>'11B (N S) Sem1'!N5</f>
        <v>99</v>
      </c>
      <c r="P7" s="31">
        <f>'11B (N S) Sem1'!O5</f>
        <v>949</v>
      </c>
      <c r="Q7" s="30">
        <f>'11B (N S) Sem1'!P5</f>
        <v>94.9</v>
      </c>
      <c r="R7" s="30">
        <f>'11B (N S) Sem1'!Q5</f>
        <v>2</v>
      </c>
      <c r="S7" s="31">
        <f>'11B (N S) Sem1'!R5</f>
        <v>0</v>
      </c>
      <c r="T7" s="55">
        <f>'11B (N S) Sem1'!S5</f>
        <v>0</v>
      </c>
      <c r="U7" s="102"/>
    </row>
    <row r="8" spans="1:23" ht="18.95" customHeight="1" x14ac:dyDescent="0.3">
      <c r="A8" s="295"/>
      <c r="B8" s="293"/>
      <c r="C8" s="348">
        <v>16</v>
      </c>
      <c r="D8" s="293" t="s">
        <v>20</v>
      </c>
      <c r="E8" s="32" t="s">
        <v>22</v>
      </c>
      <c r="F8" s="31">
        <f>'11B (N S) Sem2'!E5</f>
        <v>96</v>
      </c>
      <c r="G8" s="31">
        <f>'11B (N S) Sem2'!F5</f>
        <v>90</v>
      </c>
      <c r="H8" s="31">
        <f>'11B (N S) Sem2'!G5</f>
        <v>100</v>
      </c>
      <c r="I8" s="31">
        <f>'11B (N S) Sem2'!H5</f>
        <v>100</v>
      </c>
      <c r="J8" s="31">
        <f>'11B (N S) Sem2'!I5</f>
        <v>100</v>
      </c>
      <c r="K8" s="31">
        <f>'11B (N S) Sem2'!J5</f>
        <v>100</v>
      </c>
      <c r="L8" s="31">
        <f>'11B (N S) Sem2'!K5</f>
        <v>99</v>
      </c>
      <c r="M8" s="31">
        <f>'11B (N S) Sem2'!L5</f>
        <v>100</v>
      </c>
      <c r="N8" s="31">
        <f>'11B (N S) Sem2'!M5</f>
        <v>94</v>
      </c>
      <c r="O8" s="48">
        <f>'11B (N S) Sem2'!N5</f>
        <v>100</v>
      </c>
      <c r="P8" s="31">
        <f>'11B (N S) Sem2'!O5</f>
        <v>979</v>
      </c>
      <c r="Q8" s="30">
        <f>'11B (N S) Sem2'!P5</f>
        <v>97.9</v>
      </c>
      <c r="R8" s="30">
        <f>'11B (N S) Sem2'!Q5</f>
        <v>2</v>
      </c>
      <c r="S8" s="31">
        <f>'11B (N S) Sem2'!R5</f>
        <v>0</v>
      </c>
      <c r="T8" s="55">
        <f>'11B (N S) Sem2'!S5</f>
        <v>0</v>
      </c>
      <c r="U8" s="102"/>
    </row>
    <row r="9" spans="1:23" ht="18.95" customHeight="1" x14ac:dyDescent="0.3">
      <c r="A9" s="295"/>
      <c r="B9" s="293"/>
      <c r="C9" s="348">
        <v>16</v>
      </c>
      <c r="D9" s="293" t="s">
        <v>20</v>
      </c>
      <c r="E9" s="32" t="s">
        <v>16</v>
      </c>
      <c r="F9" s="31">
        <f>AVERAGE(F7:F8)</f>
        <v>91</v>
      </c>
      <c r="G9" s="31">
        <f t="shared" ref="G9:Q9" si="1">AVERAGE(G7:G8)</f>
        <v>90</v>
      </c>
      <c r="H9" s="31">
        <f t="shared" si="1"/>
        <v>100</v>
      </c>
      <c r="I9" s="31">
        <f t="shared" si="1"/>
        <v>99</v>
      </c>
      <c r="J9" s="31">
        <f t="shared" si="1"/>
        <v>98.5</v>
      </c>
      <c r="K9" s="31">
        <f t="shared" si="1"/>
        <v>99.5</v>
      </c>
      <c r="L9" s="31">
        <f t="shared" si="1"/>
        <v>93</v>
      </c>
      <c r="M9" s="31">
        <f t="shared" si="1"/>
        <v>98.5</v>
      </c>
      <c r="N9" s="31">
        <f t="shared" si="1"/>
        <v>95</v>
      </c>
      <c r="O9" s="31">
        <f t="shared" si="1"/>
        <v>99.5</v>
      </c>
      <c r="P9" s="31">
        <f t="shared" si="1"/>
        <v>964</v>
      </c>
      <c r="Q9" s="31">
        <f t="shared" si="1"/>
        <v>96.4</v>
      </c>
      <c r="R9" s="31">
        <f>'11B (N S) Avr'!$I$5</f>
        <v>2</v>
      </c>
      <c r="S9" s="31">
        <f>AVERAGE(S7:S8)</f>
        <v>0</v>
      </c>
      <c r="T9" s="55">
        <f>AVERAGE(T7:T8)</f>
        <v>0</v>
      </c>
      <c r="U9" s="102"/>
    </row>
    <row r="10" spans="1:23" ht="18.95" customHeight="1" x14ac:dyDescent="0.3">
      <c r="A10" s="295">
        <v>3</v>
      </c>
      <c r="B10" s="293"/>
      <c r="C10" s="293">
        <v>16</v>
      </c>
      <c r="D10" s="293" t="s">
        <v>20</v>
      </c>
      <c r="E10" s="32" t="s">
        <v>21</v>
      </c>
      <c r="F10" s="31">
        <f>'11B (N S) Sem1'!E6</f>
        <v>89</v>
      </c>
      <c r="G10" s="31">
        <f>'11B (N S) Sem1'!F6</f>
        <v>92</v>
      </c>
      <c r="H10" s="31">
        <f>'11B (N S) Sem1'!G6</f>
        <v>94</v>
      </c>
      <c r="I10" s="31">
        <f>'11B (N S) Sem1'!H6</f>
        <v>100</v>
      </c>
      <c r="J10" s="31">
        <f>'11B (N S) Sem1'!I6</f>
        <v>100</v>
      </c>
      <c r="K10" s="31">
        <f>'11B (N S) Sem1'!J6</f>
        <v>93</v>
      </c>
      <c r="L10" s="31">
        <f>'11B (N S) Sem1'!K6</f>
        <v>90</v>
      </c>
      <c r="M10" s="31">
        <f>'11B (N S) Sem1'!L6</f>
        <v>92</v>
      </c>
      <c r="N10" s="31">
        <f>'11B (N S) Sem1'!M6</f>
        <v>95</v>
      </c>
      <c r="O10" s="48">
        <f>'11B (N S) Sem1'!N6</f>
        <v>98</v>
      </c>
      <c r="P10" s="31">
        <f>'11B (N S) Sem1'!O6</f>
        <v>943</v>
      </c>
      <c r="Q10" s="30">
        <f>'11B (N S) Sem1'!P6</f>
        <v>94.3</v>
      </c>
      <c r="R10" s="30">
        <f>'11B (N S) Sem1'!Q6</f>
        <v>3</v>
      </c>
      <c r="S10" s="31">
        <f>'11B (N S) Sem1'!R6</f>
        <v>0</v>
      </c>
      <c r="T10" s="55">
        <f>'11B (N S) Sem1'!S6</f>
        <v>0</v>
      </c>
      <c r="U10" s="102"/>
    </row>
    <row r="11" spans="1:23" ht="18.95" customHeight="1" x14ac:dyDescent="0.3">
      <c r="A11" s="295"/>
      <c r="B11" s="293"/>
      <c r="C11" s="293">
        <v>16</v>
      </c>
      <c r="D11" s="293" t="s">
        <v>20</v>
      </c>
      <c r="E11" s="32" t="s">
        <v>22</v>
      </c>
      <c r="F11" s="31">
        <f>'11B (N S) Sem2'!E6</f>
        <v>96</v>
      </c>
      <c r="G11" s="31">
        <f>'11B (N S) Sem2'!F6</f>
        <v>95</v>
      </c>
      <c r="H11" s="31">
        <f>'11B (N S) Sem2'!G6</f>
        <v>91</v>
      </c>
      <c r="I11" s="31">
        <f>'11B (N S) Sem2'!H6</f>
        <v>100</v>
      </c>
      <c r="J11" s="31">
        <f>'11B (N S) Sem2'!I6</f>
        <v>98</v>
      </c>
      <c r="K11" s="31">
        <f>'11B (N S) Sem2'!J6</f>
        <v>100</v>
      </c>
      <c r="L11" s="31">
        <f>'11B (N S) Sem2'!K6</f>
        <v>99</v>
      </c>
      <c r="M11" s="31">
        <f>'11B (N S) Sem2'!L6</f>
        <v>94</v>
      </c>
      <c r="N11" s="31">
        <f>'11B (N S) Sem2'!M6</f>
        <v>99</v>
      </c>
      <c r="O11" s="48">
        <f>'11B (N S) Sem2'!N6</f>
        <v>100</v>
      </c>
      <c r="P11" s="31">
        <f>'11B (N S) Sem2'!O6</f>
        <v>972</v>
      </c>
      <c r="Q11" s="30">
        <f>'11B (N S) Sem2'!P6</f>
        <v>97.2</v>
      </c>
      <c r="R11" s="30">
        <f>'11B (N S) Sem2'!Q6</f>
        <v>3</v>
      </c>
      <c r="S11" s="31">
        <f>'11B (N S) Sem2'!R6</f>
        <v>0</v>
      </c>
      <c r="T11" s="55">
        <f>'11B (N S) Sem2'!S6</f>
        <v>0</v>
      </c>
      <c r="U11" s="102"/>
    </row>
    <row r="12" spans="1:23" ht="18.95" customHeight="1" x14ac:dyDescent="0.3">
      <c r="A12" s="295"/>
      <c r="B12" s="293"/>
      <c r="C12" s="293">
        <v>16</v>
      </c>
      <c r="D12" s="293" t="s">
        <v>20</v>
      </c>
      <c r="E12" s="32" t="s">
        <v>16</v>
      </c>
      <c r="F12" s="31">
        <f>AVERAGE(F10:F11)</f>
        <v>92.5</v>
      </c>
      <c r="G12" s="31">
        <f t="shared" ref="G12:Q12" si="2">AVERAGE(G10:G11)</f>
        <v>93.5</v>
      </c>
      <c r="H12" s="31">
        <f t="shared" si="2"/>
        <v>92.5</v>
      </c>
      <c r="I12" s="31">
        <f t="shared" si="2"/>
        <v>100</v>
      </c>
      <c r="J12" s="31">
        <f t="shared" si="2"/>
        <v>99</v>
      </c>
      <c r="K12" s="31">
        <f t="shared" si="2"/>
        <v>96.5</v>
      </c>
      <c r="L12" s="31">
        <f t="shared" si="2"/>
        <v>94.5</v>
      </c>
      <c r="M12" s="31">
        <f t="shared" si="2"/>
        <v>93</v>
      </c>
      <c r="N12" s="31">
        <f t="shared" si="2"/>
        <v>97</v>
      </c>
      <c r="O12" s="31">
        <f t="shared" si="2"/>
        <v>99</v>
      </c>
      <c r="P12" s="31">
        <f t="shared" si="2"/>
        <v>957.5</v>
      </c>
      <c r="Q12" s="31">
        <f t="shared" si="2"/>
        <v>95.75</v>
      </c>
      <c r="R12" s="31">
        <f>'11B (N S) Avr'!$I$6</f>
        <v>3</v>
      </c>
      <c r="S12" s="31">
        <f>AVERAGE(S10:S11)</f>
        <v>0</v>
      </c>
      <c r="T12" s="55">
        <f>AVERAGE(T10:T11)</f>
        <v>0</v>
      </c>
      <c r="U12" s="102"/>
    </row>
    <row r="13" spans="1:23" ht="18.95" customHeight="1" x14ac:dyDescent="0.3">
      <c r="A13" s="295">
        <v>4</v>
      </c>
      <c r="B13" s="293"/>
      <c r="C13" s="293">
        <v>16</v>
      </c>
      <c r="D13" s="293" t="s">
        <v>20</v>
      </c>
      <c r="E13" s="32" t="s">
        <v>21</v>
      </c>
      <c r="F13" s="31">
        <f>'11B (N S) Sem1'!E7</f>
        <v>87</v>
      </c>
      <c r="G13" s="31">
        <f>'11B (N S) Sem1'!F7</f>
        <v>91</v>
      </c>
      <c r="H13" s="31">
        <f>'11B (N S) Sem1'!G7</f>
        <v>85</v>
      </c>
      <c r="I13" s="31">
        <f>'11B (N S) Sem1'!H7</f>
        <v>79</v>
      </c>
      <c r="J13" s="31">
        <f>'11B (N S) Sem1'!I7</f>
        <v>82</v>
      </c>
      <c r="K13" s="31">
        <f>'11B (N S) Sem1'!J7</f>
        <v>93</v>
      </c>
      <c r="L13" s="31">
        <f>'11B (N S) Sem1'!K7</f>
        <v>85</v>
      </c>
      <c r="M13" s="31">
        <f>'11B (N S) Sem1'!L7</f>
        <v>79</v>
      </c>
      <c r="N13" s="31">
        <f>'11B (N S) Sem1'!M7</f>
        <v>92</v>
      </c>
      <c r="O13" s="48">
        <f>'11B (N S) Sem1'!N7</f>
        <v>97</v>
      </c>
      <c r="P13" s="31">
        <f>'11B (N S) Sem1'!O7</f>
        <v>870</v>
      </c>
      <c r="Q13" s="30">
        <f>'11B (N S) Sem1'!P7</f>
        <v>87</v>
      </c>
      <c r="R13" s="30">
        <f>'11B (N S) Sem1'!Q7</f>
        <v>7</v>
      </c>
      <c r="S13" s="31">
        <f>'11B (N S) Sem1'!R7</f>
        <v>0</v>
      </c>
      <c r="T13" s="55">
        <f>'11B (N S) Sem1'!S7</f>
        <v>0</v>
      </c>
      <c r="U13" s="102"/>
    </row>
    <row r="14" spans="1:23" ht="18.95" customHeight="1" x14ac:dyDescent="0.3">
      <c r="A14" s="295"/>
      <c r="B14" s="293"/>
      <c r="C14" s="293">
        <v>16</v>
      </c>
      <c r="D14" s="293" t="s">
        <v>20</v>
      </c>
      <c r="E14" s="32" t="s">
        <v>22</v>
      </c>
      <c r="F14" s="31">
        <f>'11B (N S) Sem2'!E7</f>
        <v>93</v>
      </c>
      <c r="G14" s="31">
        <f>'11B (N S) Sem2'!F7</f>
        <v>95</v>
      </c>
      <c r="H14" s="31">
        <f>'11B (N S) Sem2'!G7</f>
        <v>90</v>
      </c>
      <c r="I14" s="31">
        <f>'11B (N S) Sem2'!H7</f>
        <v>85</v>
      </c>
      <c r="J14" s="31">
        <f>'11B (N S) Sem2'!I7</f>
        <v>83</v>
      </c>
      <c r="K14" s="31">
        <f>'11B (N S) Sem2'!J7</f>
        <v>91</v>
      </c>
      <c r="L14" s="31">
        <f>'11B (N S) Sem2'!K7</f>
        <v>97</v>
      </c>
      <c r="M14" s="31">
        <f>'11B (N S) Sem2'!L7</f>
        <v>55</v>
      </c>
      <c r="N14" s="31">
        <f>'11B (N S) Sem2'!M7</f>
        <v>98</v>
      </c>
      <c r="O14" s="48">
        <f>'11B (N S) Sem2'!N7</f>
        <v>93</v>
      </c>
      <c r="P14" s="31">
        <f>'11B (N S) Sem2'!O7</f>
        <v>880</v>
      </c>
      <c r="Q14" s="30">
        <f>'11B (N S) Sem2'!P7</f>
        <v>88</v>
      </c>
      <c r="R14" s="30">
        <f>'11B (N S) Sem2'!Q7</f>
        <v>7</v>
      </c>
      <c r="S14" s="31">
        <f>'11B (N S) Sem2'!R7</f>
        <v>0</v>
      </c>
      <c r="T14" s="55">
        <f>'11B (N S) Sem2'!S7</f>
        <v>0</v>
      </c>
      <c r="U14" s="102"/>
    </row>
    <row r="15" spans="1:23" ht="18.95" customHeight="1" x14ac:dyDescent="0.3">
      <c r="A15" s="295"/>
      <c r="B15" s="293"/>
      <c r="C15" s="293">
        <v>16</v>
      </c>
      <c r="D15" s="293" t="s">
        <v>20</v>
      </c>
      <c r="E15" s="32" t="s">
        <v>16</v>
      </c>
      <c r="F15" s="31">
        <f>AVERAGE(F13:F14)</f>
        <v>90</v>
      </c>
      <c r="G15" s="31">
        <f t="shared" ref="G15:Q15" si="3">AVERAGE(G13:G14)</f>
        <v>93</v>
      </c>
      <c r="H15" s="31">
        <f t="shared" si="3"/>
        <v>87.5</v>
      </c>
      <c r="I15" s="31">
        <f t="shared" si="3"/>
        <v>82</v>
      </c>
      <c r="J15" s="31">
        <f t="shared" si="3"/>
        <v>82.5</v>
      </c>
      <c r="K15" s="31">
        <f t="shared" si="3"/>
        <v>92</v>
      </c>
      <c r="L15" s="31">
        <f t="shared" si="3"/>
        <v>91</v>
      </c>
      <c r="M15" s="31">
        <f t="shared" si="3"/>
        <v>67</v>
      </c>
      <c r="N15" s="31">
        <f t="shared" si="3"/>
        <v>95</v>
      </c>
      <c r="O15" s="31">
        <f t="shared" si="3"/>
        <v>95</v>
      </c>
      <c r="P15" s="31">
        <f t="shared" si="3"/>
        <v>875</v>
      </c>
      <c r="Q15" s="31">
        <f t="shared" si="3"/>
        <v>87.5</v>
      </c>
      <c r="R15" s="31">
        <f>'11B (N S) Avr'!$I$7</f>
        <v>7</v>
      </c>
      <c r="S15" s="31">
        <f>AVERAGE(S13:S14)</f>
        <v>0</v>
      </c>
      <c r="T15" s="55">
        <f>AVERAGE(T13:T14)</f>
        <v>0</v>
      </c>
      <c r="U15" s="102"/>
    </row>
    <row r="16" spans="1:23" ht="18.95" customHeight="1" x14ac:dyDescent="0.3">
      <c r="A16" s="295">
        <v>5</v>
      </c>
      <c r="B16" s="293"/>
      <c r="C16" s="293">
        <v>17</v>
      </c>
      <c r="D16" s="293" t="s">
        <v>23</v>
      </c>
      <c r="E16" s="32" t="s">
        <v>21</v>
      </c>
      <c r="F16" s="31">
        <f>'11B (N S) Sem1'!E8</f>
        <v>70</v>
      </c>
      <c r="G16" s="31">
        <f>'11B (N S) Sem1'!F8</f>
        <v>69</v>
      </c>
      <c r="H16" s="31">
        <f>'11B (N S) Sem1'!G8</f>
        <v>53</v>
      </c>
      <c r="I16" s="31">
        <f>'11B (N S) Sem1'!H8</f>
        <v>59</v>
      </c>
      <c r="J16" s="31">
        <f>'11B (N S) Sem1'!I8</f>
        <v>61</v>
      </c>
      <c r="K16" s="31">
        <f>'11B (N S) Sem1'!J8</f>
        <v>75</v>
      </c>
      <c r="L16" s="31">
        <f>'11B (N S) Sem1'!K8</f>
        <v>67</v>
      </c>
      <c r="M16" s="31">
        <f>'11B (N S) Sem1'!L8</f>
        <v>91</v>
      </c>
      <c r="N16" s="31">
        <f>'11B (N S) Sem1'!M8</f>
        <v>78</v>
      </c>
      <c r="O16" s="48">
        <f>'11B (N S) Sem1'!N8</f>
        <v>91</v>
      </c>
      <c r="P16" s="31">
        <f>'11B (N S) Sem1'!O8</f>
        <v>714</v>
      </c>
      <c r="Q16" s="30">
        <f>'11B (N S) Sem1'!P8</f>
        <v>71.400000000000006</v>
      </c>
      <c r="R16" s="30">
        <f>'11B (N S) Sem1'!Q8</f>
        <v>22</v>
      </c>
      <c r="S16" s="31">
        <f>'11B (N S) Sem1'!R8</f>
        <v>0</v>
      </c>
      <c r="T16" s="55">
        <f>'11B (N S) Sem1'!S8</f>
        <v>0</v>
      </c>
      <c r="U16" s="104"/>
      <c r="V16" s="9"/>
      <c r="W16" s="9"/>
    </row>
    <row r="17" spans="1:23" ht="18.95" customHeight="1" x14ac:dyDescent="0.3">
      <c r="A17" s="295"/>
      <c r="B17" s="293"/>
      <c r="C17" s="293">
        <v>17</v>
      </c>
      <c r="D17" s="293" t="s">
        <v>23</v>
      </c>
      <c r="E17" s="32" t="s">
        <v>22</v>
      </c>
      <c r="F17" s="31">
        <f>'11B (N S) Sem2'!E8</f>
        <v>94</v>
      </c>
      <c r="G17" s="31">
        <f>'11B (N S) Sem2'!F8</f>
        <v>73</v>
      </c>
      <c r="H17" s="31">
        <f>'11B (N S) Sem2'!G8</f>
        <v>55</v>
      </c>
      <c r="I17" s="31">
        <f>'11B (N S) Sem2'!H8</f>
        <v>76</v>
      </c>
      <c r="J17" s="31">
        <f>'11B (N S) Sem2'!I8</f>
        <v>62</v>
      </c>
      <c r="K17" s="31">
        <f>'11B (N S) Sem2'!J8</f>
        <v>90</v>
      </c>
      <c r="L17" s="31">
        <f>'11B (N S) Sem2'!K8</f>
        <v>84</v>
      </c>
      <c r="M17" s="31">
        <f>'11B (N S) Sem2'!L8</f>
        <v>98</v>
      </c>
      <c r="N17" s="31">
        <f>'11B (N S) Sem2'!M8</f>
        <v>86</v>
      </c>
      <c r="O17" s="48">
        <f>'11B (N S) Sem2'!N8</f>
        <v>94</v>
      </c>
      <c r="P17" s="31">
        <f>'11B (N S) Sem2'!O8</f>
        <v>812</v>
      </c>
      <c r="Q17" s="30">
        <f>'11B (N S) Sem2'!P8</f>
        <v>81.2</v>
      </c>
      <c r="R17" s="30">
        <f>'11B (N S) Sem2'!Q8</f>
        <v>17</v>
      </c>
      <c r="S17" s="31">
        <f>'11B (N S) Sem2'!R8</f>
        <v>0</v>
      </c>
      <c r="T17" s="55">
        <f>'11B (N S) Sem2'!S8</f>
        <v>0</v>
      </c>
      <c r="U17" s="104"/>
      <c r="V17" s="9"/>
      <c r="W17" s="9"/>
    </row>
    <row r="18" spans="1:23" ht="18.95" customHeight="1" x14ac:dyDescent="0.3">
      <c r="A18" s="295"/>
      <c r="B18" s="293"/>
      <c r="C18" s="293">
        <v>17</v>
      </c>
      <c r="D18" s="293" t="s">
        <v>23</v>
      </c>
      <c r="E18" s="32" t="s">
        <v>16</v>
      </c>
      <c r="F18" s="31">
        <f>AVERAGE(F16:F17)</f>
        <v>82</v>
      </c>
      <c r="G18" s="31">
        <f t="shared" ref="G18:Q18" si="4">AVERAGE(G16:G17)</f>
        <v>71</v>
      </c>
      <c r="H18" s="31">
        <f t="shared" si="4"/>
        <v>54</v>
      </c>
      <c r="I18" s="31">
        <f t="shared" si="4"/>
        <v>67.5</v>
      </c>
      <c r="J18" s="31">
        <f t="shared" si="4"/>
        <v>61.5</v>
      </c>
      <c r="K18" s="31">
        <f t="shared" si="4"/>
        <v>82.5</v>
      </c>
      <c r="L18" s="31">
        <f t="shared" si="4"/>
        <v>75.5</v>
      </c>
      <c r="M18" s="31">
        <f t="shared" si="4"/>
        <v>94.5</v>
      </c>
      <c r="N18" s="31">
        <f t="shared" si="4"/>
        <v>82</v>
      </c>
      <c r="O18" s="31">
        <f t="shared" si="4"/>
        <v>92.5</v>
      </c>
      <c r="P18" s="31">
        <f t="shared" si="4"/>
        <v>763</v>
      </c>
      <c r="Q18" s="31">
        <f t="shared" si="4"/>
        <v>76.300000000000011</v>
      </c>
      <c r="R18" s="31">
        <f>'11B (N S) Avr'!$I$8</f>
        <v>19</v>
      </c>
      <c r="S18" s="31">
        <f>AVERAGE(S16:S17)</f>
        <v>0</v>
      </c>
      <c r="T18" s="55">
        <f>AVERAGE(T16:T17)</f>
        <v>0</v>
      </c>
      <c r="U18" s="104"/>
      <c r="V18" s="9"/>
      <c r="W18" s="9"/>
    </row>
    <row r="19" spans="1:23" ht="18.95" customHeight="1" x14ac:dyDescent="0.3">
      <c r="A19" s="295">
        <v>6</v>
      </c>
      <c r="B19" s="293"/>
      <c r="C19" s="293">
        <v>16</v>
      </c>
      <c r="D19" s="293" t="s">
        <v>23</v>
      </c>
      <c r="E19" s="32" t="s">
        <v>21</v>
      </c>
      <c r="F19" s="31">
        <f>'11B (N S) Sem1'!E9</f>
        <v>0</v>
      </c>
      <c r="G19" s="31">
        <f>'11B (N S) Sem1'!F9</f>
        <v>0</v>
      </c>
      <c r="H19" s="31">
        <f>'11B (N S) Sem1'!G9</f>
        <v>0</v>
      </c>
      <c r="I19" s="31">
        <f>'11B (N S) Sem1'!H9</f>
        <v>0</v>
      </c>
      <c r="J19" s="31">
        <f>'11B (N S) Sem1'!I9</f>
        <v>0</v>
      </c>
      <c r="K19" s="31">
        <f>'11B (N S) Sem1'!J9</f>
        <v>0</v>
      </c>
      <c r="L19" s="31">
        <f>'11B (N S) Sem1'!K9</f>
        <v>0</v>
      </c>
      <c r="M19" s="31">
        <f>'11B (N S) Sem1'!L9</f>
        <v>0</v>
      </c>
      <c r="N19" s="31">
        <f>'11B (N S) Sem1'!M9</f>
        <v>0</v>
      </c>
      <c r="O19" s="48">
        <f>'11B (N S) Sem1'!N9</f>
        <v>0</v>
      </c>
      <c r="P19" s="31">
        <f>'11B (N S) Sem1'!O9</f>
        <v>0</v>
      </c>
      <c r="Q19" s="30">
        <f>'11B (N S) Sem1'!P9</f>
        <v>0</v>
      </c>
      <c r="R19" s="30">
        <f>'11B (N S) Sem1'!Q9</f>
        <v>0</v>
      </c>
      <c r="S19" s="31">
        <f>'11B (N S) Sem1'!R9</f>
        <v>0</v>
      </c>
      <c r="T19" s="55">
        <f>'11B (N S) Sem1'!S9</f>
        <v>0</v>
      </c>
      <c r="U19" s="104"/>
      <c r="V19" s="9"/>
      <c r="W19" s="9"/>
    </row>
    <row r="20" spans="1:23" ht="18.95" customHeight="1" x14ac:dyDescent="0.3">
      <c r="A20" s="295"/>
      <c r="B20" s="293"/>
      <c r="C20" s="293">
        <v>16</v>
      </c>
      <c r="D20" s="293" t="s">
        <v>23</v>
      </c>
      <c r="E20" s="32" t="s">
        <v>22</v>
      </c>
      <c r="F20" s="31">
        <f>'11B (N S) Sem2'!E9</f>
        <v>0</v>
      </c>
      <c r="G20" s="31">
        <f>'11B (N S) Sem2'!F9</f>
        <v>0</v>
      </c>
      <c r="H20" s="31">
        <f>'11B (N S) Sem2'!G9</f>
        <v>0</v>
      </c>
      <c r="I20" s="31">
        <f>'11B (N S) Sem2'!H9</f>
        <v>0</v>
      </c>
      <c r="J20" s="31">
        <f>'11B (N S) Sem2'!I9</f>
        <v>0</v>
      </c>
      <c r="K20" s="31">
        <f>'11B (N S) Sem2'!J9</f>
        <v>0</v>
      </c>
      <c r="L20" s="31">
        <f>'11B (N S) Sem2'!K9</f>
        <v>0</v>
      </c>
      <c r="M20" s="31">
        <f>'11B (N S) Sem2'!L9</f>
        <v>0</v>
      </c>
      <c r="N20" s="31">
        <f>'11B (N S) Sem2'!M9</f>
        <v>0</v>
      </c>
      <c r="O20" s="48">
        <f>'11B (N S) Sem2'!N9</f>
        <v>0</v>
      </c>
      <c r="P20" s="31">
        <f>'11B (N S) Sem2'!O9</f>
        <v>0</v>
      </c>
      <c r="Q20" s="30">
        <f>'11B (N S) Sem2'!P9</f>
        <v>0</v>
      </c>
      <c r="R20" s="30">
        <f>'11B (N S) Sem2'!Q9</f>
        <v>0</v>
      </c>
      <c r="S20" s="31">
        <f>'11B (N S) Sem2'!R9</f>
        <v>0</v>
      </c>
      <c r="T20" s="55">
        <f>'11B (N S) Sem2'!S9</f>
        <v>0</v>
      </c>
      <c r="U20" s="104"/>
      <c r="V20" s="9"/>
      <c r="W20" s="9"/>
    </row>
    <row r="21" spans="1:23" ht="18.95" customHeight="1" x14ac:dyDescent="0.3">
      <c r="A21" s="295"/>
      <c r="B21" s="293"/>
      <c r="C21" s="293">
        <v>16</v>
      </c>
      <c r="D21" s="293" t="s">
        <v>23</v>
      </c>
      <c r="E21" s="32" t="s">
        <v>16</v>
      </c>
      <c r="F21" s="31">
        <f>AVERAGE(F19:F20)</f>
        <v>0</v>
      </c>
      <c r="G21" s="31">
        <f t="shared" ref="G21:Q21" si="5">AVERAGE(G19:G20)</f>
        <v>0</v>
      </c>
      <c r="H21" s="31">
        <f t="shared" si="5"/>
        <v>0</v>
      </c>
      <c r="I21" s="31">
        <f t="shared" si="5"/>
        <v>0</v>
      </c>
      <c r="J21" s="31">
        <f t="shared" si="5"/>
        <v>0</v>
      </c>
      <c r="K21" s="31">
        <f t="shared" si="5"/>
        <v>0</v>
      </c>
      <c r="L21" s="31">
        <f t="shared" si="5"/>
        <v>0</v>
      </c>
      <c r="M21" s="31">
        <f t="shared" si="5"/>
        <v>0</v>
      </c>
      <c r="N21" s="31">
        <f t="shared" si="5"/>
        <v>0</v>
      </c>
      <c r="O21" s="31">
        <f t="shared" si="5"/>
        <v>0</v>
      </c>
      <c r="P21" s="31">
        <f t="shared" si="5"/>
        <v>0</v>
      </c>
      <c r="Q21" s="31">
        <f t="shared" si="5"/>
        <v>0</v>
      </c>
      <c r="R21" s="31">
        <f>'11B (N S) Avr'!$I$9</f>
        <v>30</v>
      </c>
      <c r="S21" s="31">
        <f>AVERAGE(S19:S20)</f>
        <v>0</v>
      </c>
      <c r="T21" s="55">
        <f>AVERAGE(T19:T20)</f>
        <v>0</v>
      </c>
      <c r="U21" s="104"/>
      <c r="V21" s="9"/>
      <c r="W21" s="9"/>
    </row>
    <row r="22" spans="1:23" ht="18.95" customHeight="1" x14ac:dyDescent="0.3">
      <c r="A22" s="295">
        <v>7</v>
      </c>
      <c r="B22" s="293"/>
      <c r="C22" s="293">
        <v>16</v>
      </c>
      <c r="D22" s="293" t="s">
        <v>23</v>
      </c>
      <c r="E22" s="32" t="s">
        <v>21</v>
      </c>
      <c r="F22" s="31">
        <f>'11B (N S) Sem1'!E10</f>
        <v>76</v>
      </c>
      <c r="G22" s="31">
        <f>'11B (N S) Sem1'!F10</f>
        <v>90</v>
      </c>
      <c r="H22" s="31">
        <f>'11B (N S) Sem1'!G10</f>
        <v>45</v>
      </c>
      <c r="I22" s="31">
        <f>'11B (N S) Sem1'!H10</f>
        <v>48</v>
      </c>
      <c r="J22" s="31">
        <f>'11B (N S) Sem1'!I10</f>
        <v>53</v>
      </c>
      <c r="K22" s="31">
        <f>'11B (N S) Sem1'!J10</f>
        <v>70</v>
      </c>
      <c r="L22" s="31">
        <f>'11B (N S) Sem1'!K10</f>
        <v>76</v>
      </c>
      <c r="M22" s="31">
        <f>'11B (N S) Sem1'!L10</f>
        <v>89</v>
      </c>
      <c r="N22" s="31">
        <f>'11B (N S) Sem1'!M10</f>
        <v>92</v>
      </c>
      <c r="O22" s="48">
        <f>'11B (N S) Sem1'!N10</f>
        <v>85</v>
      </c>
      <c r="P22" s="31">
        <f>'11B (N S) Sem1'!O10</f>
        <v>724</v>
      </c>
      <c r="Q22" s="30">
        <f>'11B (N S) Sem1'!P10</f>
        <v>72.400000000000006</v>
      </c>
      <c r="R22" s="30">
        <f>'11B (N S) Sem1'!Q10</f>
        <v>20</v>
      </c>
      <c r="S22" s="31">
        <f>'11B (N S) Sem1'!R10</f>
        <v>0</v>
      </c>
      <c r="T22" s="55">
        <f>'11B (N S) Sem1'!S10</f>
        <v>0</v>
      </c>
      <c r="U22" s="104"/>
      <c r="V22" s="9"/>
      <c r="W22" s="9"/>
    </row>
    <row r="23" spans="1:23" ht="18.95" customHeight="1" x14ac:dyDescent="0.3">
      <c r="A23" s="295"/>
      <c r="B23" s="293"/>
      <c r="C23" s="293">
        <v>16</v>
      </c>
      <c r="D23" s="293" t="s">
        <v>23</v>
      </c>
      <c r="E23" s="32" t="s">
        <v>22</v>
      </c>
      <c r="F23" s="31">
        <f>'11B (N S) Sem2'!E10</f>
        <v>90</v>
      </c>
      <c r="G23" s="31">
        <f>'11B (N S) Sem2'!F10</f>
        <v>91</v>
      </c>
      <c r="H23" s="31">
        <f>'11B (N S) Sem2'!G10</f>
        <v>43</v>
      </c>
      <c r="I23" s="31">
        <f>'11B (N S) Sem2'!H10</f>
        <v>63</v>
      </c>
      <c r="J23" s="31">
        <f>'11B (N S) Sem2'!I10</f>
        <v>54</v>
      </c>
      <c r="K23" s="31">
        <f>'11B (N S) Sem2'!J10</f>
        <v>76</v>
      </c>
      <c r="L23" s="31">
        <f>'11B (N S) Sem2'!K10</f>
        <v>94</v>
      </c>
      <c r="M23" s="31">
        <f>'11B (N S) Sem2'!L10</f>
        <v>55</v>
      </c>
      <c r="N23" s="31">
        <f>'11B (N S) Sem2'!M10</f>
        <v>93</v>
      </c>
      <c r="O23" s="48">
        <f>'11B (N S) Sem2'!N10</f>
        <v>91</v>
      </c>
      <c r="P23" s="31">
        <f>'11B (N S) Sem2'!O10</f>
        <v>750</v>
      </c>
      <c r="Q23" s="30">
        <f>'11B (N S) Sem2'!P10</f>
        <v>75</v>
      </c>
      <c r="R23" s="30">
        <f>'11B (N S) Sem2'!Q10</f>
        <v>22</v>
      </c>
      <c r="S23" s="31">
        <f>'11B (N S) Sem2'!R10</f>
        <v>0</v>
      </c>
      <c r="T23" s="55">
        <f>'11B (N S) Sem2'!S10</f>
        <v>0</v>
      </c>
      <c r="U23" s="104"/>
      <c r="V23" s="9"/>
      <c r="W23" s="9"/>
    </row>
    <row r="24" spans="1:23" ht="18.95" customHeight="1" x14ac:dyDescent="0.3">
      <c r="A24" s="295"/>
      <c r="B24" s="293"/>
      <c r="C24" s="293">
        <v>16</v>
      </c>
      <c r="D24" s="293" t="s">
        <v>23</v>
      </c>
      <c r="E24" s="32" t="s">
        <v>16</v>
      </c>
      <c r="F24" s="31">
        <f>AVERAGE(F22:F23)</f>
        <v>83</v>
      </c>
      <c r="G24" s="31">
        <f t="shared" ref="G24:Q24" si="6">AVERAGE(G22:G23)</f>
        <v>90.5</v>
      </c>
      <c r="H24" s="31">
        <f t="shared" si="6"/>
        <v>44</v>
      </c>
      <c r="I24" s="31">
        <f t="shared" si="6"/>
        <v>55.5</v>
      </c>
      <c r="J24" s="31">
        <f t="shared" si="6"/>
        <v>53.5</v>
      </c>
      <c r="K24" s="31">
        <f t="shared" si="6"/>
        <v>73</v>
      </c>
      <c r="L24" s="31">
        <f t="shared" si="6"/>
        <v>85</v>
      </c>
      <c r="M24" s="31">
        <f t="shared" si="6"/>
        <v>72</v>
      </c>
      <c r="N24" s="31">
        <f t="shared" si="6"/>
        <v>92.5</v>
      </c>
      <c r="O24" s="31">
        <f t="shared" si="6"/>
        <v>88</v>
      </c>
      <c r="P24" s="31">
        <f t="shared" si="6"/>
        <v>737</v>
      </c>
      <c r="Q24" s="31">
        <f t="shared" si="6"/>
        <v>73.7</v>
      </c>
      <c r="R24" s="31">
        <f>'11B (N S) Avr'!$I$10</f>
        <v>21</v>
      </c>
      <c r="S24" s="31">
        <f>AVERAGE(S22:S23)</f>
        <v>0</v>
      </c>
      <c r="T24" s="55">
        <f>AVERAGE(T22:T23)</f>
        <v>0</v>
      </c>
      <c r="U24" s="104"/>
      <c r="V24" s="9"/>
      <c r="W24" s="9"/>
    </row>
    <row r="25" spans="1:23" ht="18.95" customHeight="1" x14ac:dyDescent="0.3">
      <c r="A25" s="295">
        <v>8</v>
      </c>
      <c r="B25" s="293"/>
      <c r="C25" s="293">
        <v>16</v>
      </c>
      <c r="D25" s="293" t="s">
        <v>23</v>
      </c>
      <c r="E25" s="32" t="s">
        <v>21</v>
      </c>
      <c r="F25" s="31">
        <f>'11B (N S) Sem1'!E11</f>
        <v>79</v>
      </c>
      <c r="G25" s="31">
        <f>'11B (N S) Sem1'!F11</f>
        <v>74</v>
      </c>
      <c r="H25" s="31">
        <f>'11B (N S) Sem1'!G11</f>
        <v>66</v>
      </c>
      <c r="I25" s="31">
        <f>'11B (N S) Sem1'!H11</f>
        <v>69</v>
      </c>
      <c r="J25" s="31">
        <f>'11B (N S) Sem1'!I11</f>
        <v>54</v>
      </c>
      <c r="K25" s="31">
        <f>'11B (N S) Sem1'!J11</f>
        <v>66</v>
      </c>
      <c r="L25" s="31">
        <f>'11B (N S) Sem1'!K11</f>
        <v>59</v>
      </c>
      <c r="M25" s="31">
        <f>'11B (N S) Sem1'!L11</f>
        <v>94</v>
      </c>
      <c r="N25" s="31">
        <f>'11B (N S) Sem1'!M11</f>
        <v>90</v>
      </c>
      <c r="O25" s="48">
        <f>'11B (N S) Sem1'!N11</f>
        <v>86</v>
      </c>
      <c r="P25" s="31">
        <f>'11B (N S) Sem1'!O11</f>
        <v>737</v>
      </c>
      <c r="Q25" s="30">
        <f>'11B (N S) Sem1'!P11</f>
        <v>73.7</v>
      </c>
      <c r="R25" s="30">
        <f>'11B (N S) Sem1'!Q11</f>
        <v>16</v>
      </c>
      <c r="S25" s="31">
        <f>'11B (N S) Sem1'!R11</f>
        <v>0</v>
      </c>
      <c r="T25" s="55">
        <f>'11B (N S) Sem1'!S11</f>
        <v>0</v>
      </c>
      <c r="U25" s="104"/>
      <c r="V25" s="9"/>
      <c r="W25" s="9"/>
    </row>
    <row r="26" spans="1:23" ht="18.95" customHeight="1" x14ac:dyDescent="0.3">
      <c r="A26" s="295"/>
      <c r="B26" s="293"/>
      <c r="C26" s="293">
        <v>16</v>
      </c>
      <c r="D26" s="293" t="s">
        <v>23</v>
      </c>
      <c r="E26" s="32" t="s">
        <v>22</v>
      </c>
      <c r="F26" s="31">
        <f>'11B (N S) Sem2'!E11</f>
        <v>93</v>
      </c>
      <c r="G26" s="31">
        <f>'11B (N S) Sem2'!F11</f>
        <v>68</v>
      </c>
      <c r="H26" s="31">
        <f>'11B (N S) Sem2'!G11</f>
        <v>69</v>
      </c>
      <c r="I26" s="31">
        <f>'11B (N S) Sem2'!H11</f>
        <v>72</v>
      </c>
      <c r="J26" s="31">
        <f>'11B (N S) Sem2'!I11</f>
        <v>71</v>
      </c>
      <c r="K26" s="31">
        <f>'11B (N S) Sem2'!J11</f>
        <v>89</v>
      </c>
      <c r="L26" s="31">
        <f>'11B (N S) Sem2'!K11</f>
        <v>85</v>
      </c>
      <c r="M26" s="31">
        <f>'11B (N S) Sem2'!L11</f>
        <v>98</v>
      </c>
      <c r="N26" s="31">
        <f>'11B (N S) Sem2'!M11</f>
        <v>83</v>
      </c>
      <c r="O26" s="48">
        <f>'11B (N S) Sem2'!N11</f>
        <v>95</v>
      </c>
      <c r="P26" s="31">
        <f>'11B (N S) Sem2'!O11</f>
        <v>823</v>
      </c>
      <c r="Q26" s="30">
        <f>'11B (N S) Sem2'!P11</f>
        <v>82.3</v>
      </c>
      <c r="R26" s="30">
        <f>'11B (N S) Sem2'!Q11</f>
        <v>14</v>
      </c>
      <c r="S26" s="31">
        <f>'11B (N S) Sem2'!R11</f>
        <v>0</v>
      </c>
      <c r="T26" s="55">
        <f>'11B (N S) Sem2'!S11</f>
        <v>0</v>
      </c>
      <c r="U26" s="104"/>
      <c r="V26" s="9"/>
      <c r="W26" s="9"/>
    </row>
    <row r="27" spans="1:23" ht="18.95" customHeight="1" x14ac:dyDescent="0.3">
      <c r="A27" s="295"/>
      <c r="B27" s="293"/>
      <c r="C27" s="293">
        <v>16</v>
      </c>
      <c r="D27" s="293" t="s">
        <v>23</v>
      </c>
      <c r="E27" s="32" t="s">
        <v>16</v>
      </c>
      <c r="F27" s="31">
        <f>AVERAGE(F25:F26)</f>
        <v>86</v>
      </c>
      <c r="G27" s="31">
        <f t="shared" ref="G27:Q27" si="7">AVERAGE(G25:G26)</f>
        <v>71</v>
      </c>
      <c r="H27" s="31">
        <f t="shared" si="7"/>
        <v>67.5</v>
      </c>
      <c r="I27" s="31">
        <f t="shared" si="7"/>
        <v>70.5</v>
      </c>
      <c r="J27" s="31">
        <f t="shared" si="7"/>
        <v>62.5</v>
      </c>
      <c r="K27" s="31">
        <f t="shared" si="7"/>
        <v>77.5</v>
      </c>
      <c r="L27" s="31">
        <f t="shared" si="7"/>
        <v>72</v>
      </c>
      <c r="M27" s="31">
        <f t="shared" si="7"/>
        <v>96</v>
      </c>
      <c r="N27" s="31">
        <f t="shared" si="7"/>
        <v>86.5</v>
      </c>
      <c r="O27" s="31">
        <f t="shared" si="7"/>
        <v>90.5</v>
      </c>
      <c r="P27" s="31">
        <f t="shared" si="7"/>
        <v>780</v>
      </c>
      <c r="Q27" s="31">
        <f t="shared" si="7"/>
        <v>78</v>
      </c>
      <c r="R27" s="31">
        <f>'11B (N S) Avr'!$I$11</f>
        <v>16</v>
      </c>
      <c r="S27" s="31">
        <f>AVERAGE(S25:S26)</f>
        <v>0</v>
      </c>
      <c r="T27" s="55">
        <f>AVERAGE(T25:T26)</f>
        <v>0</v>
      </c>
      <c r="U27" s="104"/>
      <c r="V27" s="9"/>
      <c r="W27" s="9"/>
    </row>
    <row r="28" spans="1:23" ht="18.95" customHeight="1" x14ac:dyDescent="0.3">
      <c r="A28" s="295">
        <v>9</v>
      </c>
      <c r="B28" s="293"/>
      <c r="C28" s="293">
        <v>16</v>
      </c>
      <c r="D28" s="293" t="s">
        <v>23</v>
      </c>
      <c r="E28" s="32" t="s">
        <v>21</v>
      </c>
      <c r="F28" s="31">
        <f>'11B (N S) Sem1'!E12</f>
        <v>87</v>
      </c>
      <c r="G28" s="31">
        <f>'11B (N S) Sem1'!F12</f>
        <v>97</v>
      </c>
      <c r="H28" s="31">
        <f>'11B (N S) Sem1'!G12</f>
        <v>82</v>
      </c>
      <c r="I28" s="31">
        <f>'11B (N S) Sem1'!H12</f>
        <v>80</v>
      </c>
      <c r="J28" s="31">
        <f>'11B (N S) Sem1'!I12</f>
        <v>93</v>
      </c>
      <c r="K28" s="31">
        <f>'11B (N S) Sem1'!J12</f>
        <v>97</v>
      </c>
      <c r="L28" s="31">
        <f>'11B (N S) Sem1'!K12</f>
        <v>83</v>
      </c>
      <c r="M28" s="31">
        <f>'11B (N S) Sem1'!L12</f>
        <v>98</v>
      </c>
      <c r="N28" s="31">
        <f>'11B (N S) Sem1'!M12</f>
        <v>92</v>
      </c>
      <c r="O28" s="48">
        <f>'11B (N S) Sem1'!N12</f>
        <v>100</v>
      </c>
      <c r="P28" s="31">
        <f>'11B (N S) Sem1'!O12</f>
        <v>909</v>
      </c>
      <c r="Q28" s="30">
        <f>'11B (N S) Sem1'!P12</f>
        <v>90.9</v>
      </c>
      <c r="R28" s="30">
        <f>'11B (N S) Sem1'!Q12</f>
        <v>5</v>
      </c>
      <c r="S28" s="31">
        <f>'11B (N S) Sem1'!R12</f>
        <v>0</v>
      </c>
      <c r="T28" s="55">
        <f>'11B (N S) Sem1'!S12</f>
        <v>0</v>
      </c>
      <c r="U28" s="104"/>
      <c r="V28" s="9"/>
      <c r="W28" s="9"/>
    </row>
    <row r="29" spans="1:23" ht="18.95" customHeight="1" x14ac:dyDescent="0.3">
      <c r="A29" s="295"/>
      <c r="B29" s="293"/>
      <c r="C29" s="293">
        <v>16</v>
      </c>
      <c r="D29" s="293" t="s">
        <v>23</v>
      </c>
      <c r="E29" s="32" t="s">
        <v>22</v>
      </c>
      <c r="F29" s="31">
        <f>'11B (N S) Sem2'!E12</f>
        <v>95</v>
      </c>
      <c r="G29" s="31">
        <f>'11B (N S) Sem2'!F12</f>
        <v>95</v>
      </c>
      <c r="H29" s="31">
        <f>'11B (N S) Sem2'!G12</f>
        <v>83</v>
      </c>
      <c r="I29" s="31">
        <f>'11B (N S) Sem2'!H12</f>
        <v>85</v>
      </c>
      <c r="J29" s="31">
        <f>'11B (N S) Sem2'!I12</f>
        <v>84</v>
      </c>
      <c r="K29" s="31">
        <f>'11B (N S) Sem2'!J12</f>
        <v>99</v>
      </c>
      <c r="L29" s="31">
        <f>'11B (N S) Sem2'!K12</f>
        <v>95</v>
      </c>
      <c r="M29" s="31">
        <f>'11B (N S) Sem2'!L12</f>
        <v>99</v>
      </c>
      <c r="N29" s="31">
        <f>'11B (N S) Sem2'!M12</f>
        <v>91</v>
      </c>
      <c r="O29" s="48">
        <f>'11B (N S) Sem2'!N12</f>
        <v>94</v>
      </c>
      <c r="P29" s="31">
        <f>'11B (N S) Sem2'!O12</f>
        <v>920</v>
      </c>
      <c r="Q29" s="30">
        <f>'11B (N S) Sem2'!P12</f>
        <v>92</v>
      </c>
      <c r="R29" s="30">
        <f>'11B (N S) Sem2'!Q12</f>
        <v>5</v>
      </c>
      <c r="S29" s="31">
        <f>'11B (N S) Sem2'!R12</f>
        <v>0</v>
      </c>
      <c r="T29" s="55">
        <f>'11B (N S) Sem2'!S12</f>
        <v>0</v>
      </c>
      <c r="U29" s="104"/>
      <c r="V29" s="9"/>
      <c r="W29" s="9"/>
    </row>
    <row r="30" spans="1:23" ht="18.95" customHeight="1" x14ac:dyDescent="0.3">
      <c r="A30" s="295"/>
      <c r="B30" s="293"/>
      <c r="C30" s="293">
        <v>16</v>
      </c>
      <c r="D30" s="293" t="s">
        <v>23</v>
      </c>
      <c r="E30" s="32" t="s">
        <v>16</v>
      </c>
      <c r="F30" s="31">
        <f>AVERAGE(F28:F29)</f>
        <v>91</v>
      </c>
      <c r="G30" s="31">
        <f t="shared" ref="G30:Q30" si="8">AVERAGE(G28:G29)</f>
        <v>96</v>
      </c>
      <c r="H30" s="31">
        <f t="shared" si="8"/>
        <v>82.5</v>
      </c>
      <c r="I30" s="31">
        <f t="shared" si="8"/>
        <v>82.5</v>
      </c>
      <c r="J30" s="31">
        <f t="shared" si="8"/>
        <v>88.5</v>
      </c>
      <c r="K30" s="31">
        <f t="shared" si="8"/>
        <v>98</v>
      </c>
      <c r="L30" s="31">
        <f t="shared" si="8"/>
        <v>89</v>
      </c>
      <c r="M30" s="31">
        <f t="shared" si="8"/>
        <v>98.5</v>
      </c>
      <c r="N30" s="31">
        <f t="shared" si="8"/>
        <v>91.5</v>
      </c>
      <c r="O30" s="31">
        <f t="shared" si="8"/>
        <v>97</v>
      </c>
      <c r="P30" s="31">
        <f t="shared" si="8"/>
        <v>914.5</v>
      </c>
      <c r="Q30" s="31">
        <f t="shared" si="8"/>
        <v>91.45</v>
      </c>
      <c r="R30" s="31">
        <f>'11B (N S) Avr'!$I$12</f>
        <v>5</v>
      </c>
      <c r="S30" s="31">
        <f>AVERAGE(S28:S29)</f>
        <v>0</v>
      </c>
      <c r="T30" s="55">
        <f>AVERAGE(T28:T29)</f>
        <v>0</v>
      </c>
      <c r="U30" s="104"/>
      <c r="V30" s="9"/>
      <c r="W30" s="9"/>
    </row>
    <row r="31" spans="1:23" ht="18.95" customHeight="1" x14ac:dyDescent="0.3">
      <c r="A31" s="295">
        <v>10</v>
      </c>
      <c r="B31" s="293"/>
      <c r="C31" s="293">
        <v>17</v>
      </c>
      <c r="D31" s="293" t="s">
        <v>20</v>
      </c>
      <c r="E31" s="32" t="s">
        <v>21</v>
      </c>
      <c r="F31" s="31">
        <f>'11B (N S) Sem1'!E13</f>
        <v>83</v>
      </c>
      <c r="G31" s="31">
        <f>'11B (N S) Sem1'!F13</f>
        <v>73</v>
      </c>
      <c r="H31" s="31">
        <f>'11B (N S) Sem1'!G13</f>
        <v>66</v>
      </c>
      <c r="I31" s="31">
        <f>'11B (N S) Sem1'!H13</f>
        <v>69</v>
      </c>
      <c r="J31" s="31">
        <f>'11B (N S) Sem1'!I13</f>
        <v>70</v>
      </c>
      <c r="K31" s="31">
        <f>'11B (N S) Sem1'!J13</f>
        <v>80</v>
      </c>
      <c r="L31" s="31">
        <f>'11B (N S) Sem1'!K13</f>
        <v>67</v>
      </c>
      <c r="M31" s="31">
        <f>'11B (N S) Sem1'!L13</f>
        <v>80</v>
      </c>
      <c r="N31" s="31">
        <f>'11B (N S) Sem1'!M13</f>
        <v>89</v>
      </c>
      <c r="O31" s="48">
        <f>'11B (N S) Sem1'!N13</f>
        <v>97</v>
      </c>
      <c r="P31" s="31">
        <f>'11B (N S) Sem1'!O13</f>
        <v>774</v>
      </c>
      <c r="Q31" s="30">
        <f>'11B (N S) Sem1'!P13</f>
        <v>77.400000000000006</v>
      </c>
      <c r="R31" s="30">
        <f>'11B (N S) Sem1'!Q13</f>
        <v>14</v>
      </c>
      <c r="S31" s="31">
        <f>'11B (N S) Sem1'!R13</f>
        <v>0</v>
      </c>
      <c r="T31" s="55">
        <f>'11B (N S) Sem1'!S13</f>
        <v>0</v>
      </c>
      <c r="U31" s="104"/>
      <c r="V31" s="9"/>
      <c r="W31" s="9"/>
    </row>
    <row r="32" spans="1:23" ht="18.95" customHeight="1" x14ac:dyDescent="0.3">
      <c r="A32" s="295"/>
      <c r="B32" s="293"/>
      <c r="C32" s="293">
        <v>17</v>
      </c>
      <c r="D32" s="293" t="s">
        <v>20</v>
      </c>
      <c r="E32" s="32" t="s">
        <v>22</v>
      </c>
      <c r="F32" s="31">
        <f>'11B (N S) Sem2'!E13</f>
        <v>91</v>
      </c>
      <c r="G32" s="31">
        <f>'11B (N S) Sem2'!F13</f>
        <v>80</v>
      </c>
      <c r="H32" s="31">
        <f>'11B (N S) Sem2'!G13</f>
        <v>64</v>
      </c>
      <c r="I32" s="31">
        <f>'11B (N S) Sem2'!H13</f>
        <v>77</v>
      </c>
      <c r="J32" s="31">
        <f>'11B (N S) Sem2'!I13</f>
        <v>57</v>
      </c>
      <c r="K32" s="31">
        <f>'11B (N S) Sem2'!J13</f>
        <v>89</v>
      </c>
      <c r="L32" s="31">
        <f>'11B (N S) Sem2'!K13</f>
        <v>91</v>
      </c>
      <c r="M32" s="31">
        <f>'11B (N S) Sem2'!L13</f>
        <v>45</v>
      </c>
      <c r="N32" s="31">
        <f>'11B (N S) Sem2'!M13</f>
        <v>89</v>
      </c>
      <c r="O32" s="48">
        <f>'11B (N S) Sem2'!N13</f>
        <v>97</v>
      </c>
      <c r="P32" s="31">
        <f>'11B (N S) Sem2'!O13</f>
        <v>780</v>
      </c>
      <c r="Q32" s="30">
        <f>'11B (N S) Sem2'!P13</f>
        <v>78</v>
      </c>
      <c r="R32" s="30">
        <f>'11B (N S) Sem2'!Q13</f>
        <v>19</v>
      </c>
      <c r="S32" s="31">
        <f>'11B (N S) Sem2'!R13</f>
        <v>0</v>
      </c>
      <c r="T32" s="55">
        <f>'11B (N S) Sem2'!S13</f>
        <v>0</v>
      </c>
      <c r="U32" s="104"/>
      <c r="V32" s="9"/>
      <c r="W32" s="9"/>
    </row>
    <row r="33" spans="1:23" ht="18.95" customHeight="1" x14ac:dyDescent="0.3">
      <c r="A33" s="295"/>
      <c r="B33" s="293"/>
      <c r="C33" s="293">
        <v>17</v>
      </c>
      <c r="D33" s="293" t="s">
        <v>20</v>
      </c>
      <c r="E33" s="32" t="s">
        <v>16</v>
      </c>
      <c r="F33" s="31">
        <f>AVERAGE(F31:F32)</f>
        <v>87</v>
      </c>
      <c r="G33" s="31">
        <f t="shared" ref="G33:Q33" si="9">AVERAGE(G31:G32)</f>
        <v>76.5</v>
      </c>
      <c r="H33" s="31">
        <f t="shared" si="9"/>
        <v>65</v>
      </c>
      <c r="I33" s="31">
        <f t="shared" si="9"/>
        <v>73</v>
      </c>
      <c r="J33" s="31">
        <f t="shared" si="9"/>
        <v>63.5</v>
      </c>
      <c r="K33" s="31">
        <f t="shared" si="9"/>
        <v>84.5</v>
      </c>
      <c r="L33" s="31">
        <f t="shared" si="9"/>
        <v>79</v>
      </c>
      <c r="M33" s="31">
        <f t="shared" si="9"/>
        <v>62.5</v>
      </c>
      <c r="N33" s="31">
        <f t="shared" si="9"/>
        <v>89</v>
      </c>
      <c r="O33" s="31">
        <f t="shared" si="9"/>
        <v>97</v>
      </c>
      <c r="P33" s="31">
        <f t="shared" si="9"/>
        <v>777</v>
      </c>
      <c r="Q33" s="31">
        <f t="shared" si="9"/>
        <v>77.7</v>
      </c>
      <c r="R33" s="31">
        <f>'11B (N S) Avr'!$I$13</f>
        <v>17</v>
      </c>
      <c r="S33" s="31">
        <f>AVERAGE(S31:S32)</f>
        <v>0</v>
      </c>
      <c r="T33" s="55">
        <f>AVERAGE(T31:T32)</f>
        <v>0</v>
      </c>
      <c r="U33" s="104"/>
      <c r="V33" s="9"/>
      <c r="W33" s="9"/>
    </row>
    <row r="34" spans="1:23" ht="18.95" customHeight="1" x14ac:dyDescent="0.3">
      <c r="A34" s="295">
        <v>11</v>
      </c>
      <c r="B34" s="293"/>
      <c r="C34" s="293">
        <v>17</v>
      </c>
      <c r="D34" s="293" t="s">
        <v>20</v>
      </c>
      <c r="E34" s="32" t="s">
        <v>21</v>
      </c>
      <c r="F34" s="31">
        <f>'11B (N S) Sem1'!E14</f>
        <v>68</v>
      </c>
      <c r="G34" s="31">
        <f>'11B (N S) Sem1'!F14</f>
        <v>67</v>
      </c>
      <c r="H34" s="31">
        <f>'11B (N S) Sem1'!G14</f>
        <v>40</v>
      </c>
      <c r="I34" s="31">
        <f>'11B (N S) Sem1'!H14</f>
        <v>47</v>
      </c>
      <c r="J34" s="31">
        <f>'11B (N S) Sem1'!I14</f>
        <v>48</v>
      </c>
      <c r="K34" s="31">
        <f>'11B (N S) Sem1'!J14</f>
        <v>47</v>
      </c>
      <c r="L34" s="31">
        <f>'11B (N S) Sem1'!K14</f>
        <v>59</v>
      </c>
      <c r="M34" s="31">
        <f>'11B (N S) Sem1'!L14</f>
        <v>64</v>
      </c>
      <c r="N34" s="31">
        <f>'11B (N S) Sem1'!M14</f>
        <v>79</v>
      </c>
      <c r="O34" s="48">
        <f>'11B (N S) Sem1'!N14</f>
        <v>84</v>
      </c>
      <c r="P34" s="31">
        <f>'11B (N S) Sem1'!O14</f>
        <v>603</v>
      </c>
      <c r="Q34" s="30">
        <f>'11B (N S) Sem1'!P14</f>
        <v>60.3</v>
      </c>
      <c r="R34" s="30">
        <f>'11B (N S) Sem1'!Q14</f>
        <v>28</v>
      </c>
      <c r="S34" s="31">
        <f>'11B (N S) Sem1'!R14</f>
        <v>0</v>
      </c>
      <c r="T34" s="55">
        <f>'11B (N S) Sem1'!S14</f>
        <v>0</v>
      </c>
      <c r="U34" s="104"/>
      <c r="V34" s="9"/>
      <c r="W34" s="9"/>
    </row>
    <row r="35" spans="1:23" ht="18.95" customHeight="1" x14ac:dyDescent="0.3">
      <c r="A35" s="295"/>
      <c r="B35" s="293"/>
      <c r="C35" s="293">
        <v>17</v>
      </c>
      <c r="D35" s="293" t="s">
        <v>20</v>
      </c>
      <c r="E35" s="32" t="s">
        <v>22</v>
      </c>
      <c r="F35" s="31">
        <f>'11B (N S) Sem2'!E14</f>
        <v>75</v>
      </c>
      <c r="G35" s="31">
        <f>'11B (N S) Sem2'!F14</f>
        <v>66</v>
      </c>
      <c r="H35" s="31">
        <f>'11B (N S) Sem2'!G14</f>
        <v>37</v>
      </c>
      <c r="I35" s="31">
        <f>'11B (N S) Sem2'!H14</f>
        <v>47</v>
      </c>
      <c r="J35" s="31">
        <f>'11B (N S) Sem2'!I14</f>
        <v>41</v>
      </c>
      <c r="K35" s="31">
        <f>'11B (N S) Sem2'!J14</f>
        <v>81</v>
      </c>
      <c r="L35" s="31">
        <f>'11B (N S) Sem2'!K14</f>
        <v>75</v>
      </c>
      <c r="M35" s="31">
        <f>'11B (N S) Sem2'!L14</f>
        <v>49</v>
      </c>
      <c r="N35" s="31">
        <f>'11B (N S) Sem2'!M14</f>
        <v>90</v>
      </c>
      <c r="O35" s="48">
        <f>'11B (N S) Sem2'!N14</f>
        <v>88</v>
      </c>
      <c r="P35" s="31">
        <f>'11B (N S) Sem2'!O14</f>
        <v>649</v>
      </c>
      <c r="Q35" s="30">
        <f>'11B (N S) Sem2'!P14</f>
        <v>64.900000000000006</v>
      </c>
      <c r="R35" s="30">
        <f>'11B (N S) Sem2'!Q14</f>
        <v>28</v>
      </c>
      <c r="S35" s="31">
        <f>'11B (N S) Sem2'!R14</f>
        <v>0</v>
      </c>
      <c r="T35" s="55">
        <f>'11B (N S) Sem2'!S14</f>
        <v>0</v>
      </c>
      <c r="U35" s="104"/>
      <c r="V35" s="9"/>
      <c r="W35" s="9"/>
    </row>
    <row r="36" spans="1:23" ht="18.95" customHeight="1" x14ac:dyDescent="0.3">
      <c r="A36" s="295"/>
      <c r="B36" s="293"/>
      <c r="C36" s="293">
        <v>17</v>
      </c>
      <c r="D36" s="293" t="s">
        <v>20</v>
      </c>
      <c r="E36" s="32" t="s">
        <v>16</v>
      </c>
      <c r="F36" s="31">
        <f>AVERAGE(F34:F35)</f>
        <v>71.5</v>
      </c>
      <c r="G36" s="31">
        <f t="shared" ref="G36:Q36" si="10">AVERAGE(G34:G35)</f>
        <v>66.5</v>
      </c>
      <c r="H36" s="31">
        <f t="shared" si="10"/>
        <v>38.5</v>
      </c>
      <c r="I36" s="31">
        <f t="shared" si="10"/>
        <v>47</v>
      </c>
      <c r="J36" s="31">
        <f t="shared" si="10"/>
        <v>44.5</v>
      </c>
      <c r="K36" s="31">
        <f t="shared" si="10"/>
        <v>64</v>
      </c>
      <c r="L36" s="31">
        <f t="shared" si="10"/>
        <v>67</v>
      </c>
      <c r="M36" s="31">
        <f t="shared" si="10"/>
        <v>56.5</v>
      </c>
      <c r="N36" s="31">
        <f t="shared" si="10"/>
        <v>84.5</v>
      </c>
      <c r="O36" s="31">
        <f t="shared" si="10"/>
        <v>86</v>
      </c>
      <c r="P36" s="31">
        <f t="shared" si="10"/>
        <v>626</v>
      </c>
      <c r="Q36" s="31">
        <f t="shared" si="10"/>
        <v>62.6</v>
      </c>
      <c r="R36" s="31">
        <f>'11B (N S) Avr'!$I$14</f>
        <v>28</v>
      </c>
      <c r="S36" s="31">
        <f>AVERAGE(S34:S35)</f>
        <v>0</v>
      </c>
      <c r="T36" s="55">
        <f>AVERAGE(T34:T35)</f>
        <v>0</v>
      </c>
      <c r="U36" s="104"/>
      <c r="V36" s="9"/>
      <c r="W36" s="9"/>
    </row>
    <row r="37" spans="1:23" ht="18.95" customHeight="1" x14ac:dyDescent="0.3">
      <c r="A37" s="295">
        <v>12</v>
      </c>
      <c r="B37" s="293"/>
      <c r="C37" s="293">
        <v>16</v>
      </c>
      <c r="D37" s="293" t="s">
        <v>20</v>
      </c>
      <c r="E37" s="32" t="s">
        <v>21</v>
      </c>
      <c r="F37" s="31">
        <f>'11B (N S) Sem1'!E15</f>
        <v>86</v>
      </c>
      <c r="G37" s="31">
        <f>'11B (N S) Sem1'!F15</f>
        <v>92</v>
      </c>
      <c r="H37" s="31">
        <f>'11B (N S) Sem1'!G15</f>
        <v>100</v>
      </c>
      <c r="I37" s="31">
        <f>'11B (N S) Sem1'!H15</f>
        <v>100</v>
      </c>
      <c r="J37" s="31">
        <f>'11B (N S) Sem1'!I15</f>
        <v>100</v>
      </c>
      <c r="K37" s="31">
        <f>'11B (N S) Sem1'!J15</f>
        <v>100</v>
      </c>
      <c r="L37" s="31">
        <f>'11B (N S) Sem1'!K15</f>
        <v>89</v>
      </c>
      <c r="M37" s="31">
        <f>'11B (N S) Sem1'!L15</f>
        <v>100</v>
      </c>
      <c r="N37" s="31">
        <f>'11B (N S) Sem1'!M15</f>
        <v>95</v>
      </c>
      <c r="O37" s="48">
        <f>'11B (N S) Sem1'!N15</f>
        <v>100</v>
      </c>
      <c r="P37" s="31">
        <f>'11B (N S) Sem1'!O15</f>
        <v>962</v>
      </c>
      <c r="Q37" s="30">
        <f>'11B (N S) Sem1'!P15</f>
        <v>96.2</v>
      </c>
      <c r="R37" s="30">
        <f>'11B (N S) Sem1'!Q15</f>
        <v>1</v>
      </c>
      <c r="S37" s="31">
        <f>'11B (N S) Sem1'!R15</f>
        <v>0</v>
      </c>
      <c r="T37" s="55">
        <f>'11B (N S) Sem1'!S15</f>
        <v>0</v>
      </c>
      <c r="U37" s="104"/>
      <c r="V37" s="9"/>
      <c r="W37" s="9"/>
    </row>
    <row r="38" spans="1:23" ht="18.95" customHeight="1" x14ac:dyDescent="0.3">
      <c r="A38" s="295"/>
      <c r="B38" s="293"/>
      <c r="C38" s="293">
        <v>16</v>
      </c>
      <c r="D38" s="293" t="s">
        <v>20</v>
      </c>
      <c r="E38" s="32" t="s">
        <v>22</v>
      </c>
      <c r="F38" s="31">
        <f>'11B (N S) Sem2'!E15</f>
        <v>97</v>
      </c>
      <c r="G38" s="31">
        <f>'11B (N S) Sem2'!F15</f>
        <v>97</v>
      </c>
      <c r="H38" s="31">
        <f>'11B (N S) Sem2'!G15</f>
        <v>100</v>
      </c>
      <c r="I38" s="31">
        <f>'11B (N S) Sem2'!H15</f>
        <v>100</v>
      </c>
      <c r="J38" s="31">
        <f>'11B (N S) Sem2'!I15</f>
        <v>100</v>
      </c>
      <c r="K38" s="31">
        <f>'11B (N S) Sem2'!J15</f>
        <v>100</v>
      </c>
      <c r="L38" s="31">
        <f>'11B (N S) Sem2'!K15</f>
        <v>97</v>
      </c>
      <c r="M38" s="31">
        <f>'11B (N S) Sem2'!L15</f>
        <v>100</v>
      </c>
      <c r="N38" s="31">
        <f>'11B (N S) Sem2'!M15</f>
        <v>94</v>
      </c>
      <c r="O38" s="48">
        <f>'11B (N S) Sem2'!N15</f>
        <v>100</v>
      </c>
      <c r="P38" s="31">
        <f>'11B (N S) Sem2'!O15</f>
        <v>985</v>
      </c>
      <c r="Q38" s="30">
        <f>'11B (N S) Sem2'!P15</f>
        <v>98.5</v>
      </c>
      <c r="R38" s="30">
        <f>'11B (N S) Sem2'!Q15</f>
        <v>1</v>
      </c>
      <c r="S38" s="31">
        <f>'11B (N S) Sem2'!R15</f>
        <v>0</v>
      </c>
      <c r="T38" s="55">
        <f>'11B (N S) Sem2'!S15</f>
        <v>0</v>
      </c>
      <c r="U38" s="104"/>
      <c r="V38" s="9"/>
      <c r="W38" s="9"/>
    </row>
    <row r="39" spans="1:23" ht="18.95" customHeight="1" x14ac:dyDescent="0.3">
      <c r="A39" s="295"/>
      <c r="B39" s="293"/>
      <c r="C39" s="293">
        <v>16</v>
      </c>
      <c r="D39" s="293" t="s">
        <v>20</v>
      </c>
      <c r="E39" s="32" t="s">
        <v>16</v>
      </c>
      <c r="F39" s="31">
        <f>AVERAGE(F37:F38)</f>
        <v>91.5</v>
      </c>
      <c r="G39" s="31">
        <f t="shared" ref="G39:Q39" si="11">AVERAGE(G37:G38)</f>
        <v>94.5</v>
      </c>
      <c r="H39" s="31">
        <f t="shared" si="11"/>
        <v>100</v>
      </c>
      <c r="I39" s="31">
        <f t="shared" si="11"/>
        <v>100</v>
      </c>
      <c r="J39" s="31">
        <f t="shared" si="11"/>
        <v>100</v>
      </c>
      <c r="K39" s="31">
        <f t="shared" si="11"/>
        <v>100</v>
      </c>
      <c r="L39" s="31">
        <f t="shared" si="11"/>
        <v>93</v>
      </c>
      <c r="M39" s="31">
        <f t="shared" si="11"/>
        <v>100</v>
      </c>
      <c r="N39" s="31">
        <f t="shared" si="11"/>
        <v>94.5</v>
      </c>
      <c r="O39" s="31">
        <f t="shared" si="11"/>
        <v>100</v>
      </c>
      <c r="P39" s="31">
        <f t="shared" si="11"/>
        <v>973.5</v>
      </c>
      <c r="Q39" s="31">
        <f t="shared" si="11"/>
        <v>97.35</v>
      </c>
      <c r="R39" s="31">
        <f>'11B (N S) Avr'!$I$15</f>
        <v>1</v>
      </c>
      <c r="S39" s="31">
        <f>AVERAGE(S37:S38)</f>
        <v>0</v>
      </c>
      <c r="T39" s="55">
        <f>AVERAGE(T37:T38)</f>
        <v>0</v>
      </c>
      <c r="U39" s="104"/>
      <c r="V39" s="9"/>
      <c r="W39" s="9"/>
    </row>
    <row r="40" spans="1:23" ht="18.95" customHeight="1" x14ac:dyDescent="0.3">
      <c r="A40" s="295">
        <v>13</v>
      </c>
      <c r="B40" s="293"/>
      <c r="C40" s="293">
        <v>17</v>
      </c>
      <c r="D40" s="293" t="s">
        <v>23</v>
      </c>
      <c r="E40" s="32" t="s">
        <v>21</v>
      </c>
      <c r="F40" s="31">
        <f>'11B (N S) Sem1'!E16</f>
        <v>86</v>
      </c>
      <c r="G40" s="31">
        <f>'11B (N S) Sem1'!F16</f>
        <v>82</v>
      </c>
      <c r="H40" s="31">
        <f>'11B (N S) Sem1'!G16</f>
        <v>54</v>
      </c>
      <c r="I40" s="31">
        <f>'11B (N S) Sem1'!H16</f>
        <v>59</v>
      </c>
      <c r="J40" s="31">
        <f>'11B (N S) Sem1'!I16</f>
        <v>58</v>
      </c>
      <c r="K40" s="31">
        <f>'11B (N S) Sem1'!J16</f>
        <v>72</v>
      </c>
      <c r="L40" s="31">
        <f>'11B (N S) Sem1'!K16</f>
        <v>58</v>
      </c>
      <c r="M40" s="31">
        <f>'11B (N S) Sem1'!L16</f>
        <v>83</v>
      </c>
      <c r="N40" s="31">
        <f>'11B (N S) Sem1'!M16</f>
        <v>88</v>
      </c>
      <c r="O40" s="48">
        <f>'11B (N S) Sem1'!N16</f>
        <v>90</v>
      </c>
      <c r="P40" s="31">
        <f>'11B (N S) Sem1'!O16</f>
        <v>730</v>
      </c>
      <c r="Q40" s="30">
        <f>'11B (N S) Sem1'!P16</f>
        <v>73</v>
      </c>
      <c r="R40" s="30">
        <f>'11B (N S) Sem1'!Q16</f>
        <v>18</v>
      </c>
      <c r="S40" s="31">
        <f>'11B (N S) Sem1'!R16</f>
        <v>0</v>
      </c>
      <c r="T40" s="55">
        <f>'11B (N S) Sem1'!S16</f>
        <v>0</v>
      </c>
      <c r="U40" s="104"/>
      <c r="V40" s="9"/>
      <c r="W40" s="9"/>
    </row>
    <row r="41" spans="1:23" ht="18.95" customHeight="1" x14ac:dyDescent="0.3">
      <c r="A41" s="295"/>
      <c r="B41" s="293"/>
      <c r="C41" s="293">
        <v>17</v>
      </c>
      <c r="D41" s="293" t="s">
        <v>23</v>
      </c>
      <c r="E41" s="32" t="s">
        <v>22</v>
      </c>
      <c r="F41" s="31">
        <f>'11B (N S) Sem2'!E16</f>
        <v>91</v>
      </c>
      <c r="G41" s="31">
        <f>'11B (N S) Sem2'!F16</f>
        <v>69</v>
      </c>
      <c r="H41" s="31">
        <f>'11B (N S) Sem2'!G16</f>
        <v>55</v>
      </c>
      <c r="I41" s="31">
        <f>'11B (N S) Sem2'!H16</f>
        <v>61</v>
      </c>
      <c r="J41" s="31">
        <f>'11B (N S) Sem2'!I16</f>
        <v>56</v>
      </c>
      <c r="K41" s="31">
        <f>'11B (N S) Sem2'!J16</f>
        <v>84</v>
      </c>
      <c r="L41" s="31">
        <f>'11B (N S) Sem2'!K16</f>
        <v>83</v>
      </c>
      <c r="M41" s="31">
        <f>'11B (N S) Sem2'!L16</f>
        <v>55</v>
      </c>
      <c r="N41" s="31">
        <f>'11B (N S) Sem2'!M16</f>
        <v>80</v>
      </c>
      <c r="O41" s="48">
        <f>'11B (N S) Sem2'!N16</f>
        <v>80</v>
      </c>
      <c r="P41" s="31">
        <f>'11B (N S) Sem2'!O16</f>
        <v>714</v>
      </c>
      <c r="Q41" s="30">
        <f>'11B (N S) Sem2'!P16</f>
        <v>71.400000000000006</v>
      </c>
      <c r="R41" s="30">
        <f>'11B (N S) Sem2'!Q16</f>
        <v>24</v>
      </c>
      <c r="S41" s="31">
        <f>'11B (N S) Sem2'!R16</f>
        <v>0</v>
      </c>
      <c r="T41" s="55">
        <f>'11B (N S) Sem2'!S16</f>
        <v>0</v>
      </c>
      <c r="U41" s="104"/>
      <c r="V41" s="9"/>
      <c r="W41" s="9"/>
    </row>
    <row r="42" spans="1:23" ht="18.95" customHeight="1" x14ac:dyDescent="0.3">
      <c r="A42" s="295"/>
      <c r="B42" s="293"/>
      <c r="C42" s="293">
        <v>17</v>
      </c>
      <c r="D42" s="293" t="s">
        <v>23</v>
      </c>
      <c r="E42" s="32" t="s">
        <v>16</v>
      </c>
      <c r="F42" s="31">
        <f>AVERAGE(F40:F41)</f>
        <v>88.5</v>
      </c>
      <c r="G42" s="31">
        <f t="shared" ref="G42:Q42" si="12">AVERAGE(G40:G41)</f>
        <v>75.5</v>
      </c>
      <c r="H42" s="31">
        <f t="shared" si="12"/>
        <v>54.5</v>
      </c>
      <c r="I42" s="31">
        <f t="shared" si="12"/>
        <v>60</v>
      </c>
      <c r="J42" s="31">
        <f t="shared" si="12"/>
        <v>57</v>
      </c>
      <c r="K42" s="31">
        <f t="shared" si="12"/>
        <v>78</v>
      </c>
      <c r="L42" s="31">
        <f t="shared" si="12"/>
        <v>70.5</v>
      </c>
      <c r="M42" s="31">
        <f t="shared" si="12"/>
        <v>69</v>
      </c>
      <c r="N42" s="31">
        <f t="shared" si="12"/>
        <v>84</v>
      </c>
      <c r="O42" s="31">
        <f t="shared" si="12"/>
        <v>85</v>
      </c>
      <c r="P42" s="31">
        <f t="shared" si="12"/>
        <v>722</v>
      </c>
      <c r="Q42" s="31">
        <f t="shared" si="12"/>
        <v>72.2</v>
      </c>
      <c r="R42" s="31">
        <f>'11B (N S) Avr'!$I$16</f>
        <v>23</v>
      </c>
      <c r="S42" s="31">
        <f>AVERAGE(S40:S41)</f>
        <v>0</v>
      </c>
      <c r="T42" s="55">
        <f>AVERAGE(T40:T41)</f>
        <v>0</v>
      </c>
      <c r="U42" s="104"/>
      <c r="V42" s="9"/>
      <c r="W42" s="9"/>
    </row>
    <row r="43" spans="1:23" ht="18.95" customHeight="1" x14ac:dyDescent="0.3">
      <c r="A43" s="295">
        <v>14</v>
      </c>
      <c r="B43" s="293"/>
      <c r="C43" s="293">
        <v>17</v>
      </c>
      <c r="D43" s="293" t="s">
        <v>20</v>
      </c>
      <c r="E43" s="32" t="s">
        <v>21</v>
      </c>
      <c r="F43" s="31">
        <f>'11B (N S) Sem1'!E17</f>
        <v>84</v>
      </c>
      <c r="G43" s="31">
        <f>'11B (N S) Sem1'!F17</f>
        <v>96</v>
      </c>
      <c r="H43" s="31">
        <f>'11B (N S) Sem1'!G17</f>
        <v>95</v>
      </c>
      <c r="I43" s="31">
        <f>'11B (N S) Sem1'!H17</f>
        <v>98</v>
      </c>
      <c r="J43" s="31">
        <f>'11B (N S) Sem1'!I17</f>
        <v>96</v>
      </c>
      <c r="K43" s="31">
        <f>'11B (N S) Sem1'!J17</f>
        <v>100</v>
      </c>
      <c r="L43" s="31">
        <f>'11B (N S) Sem1'!K17</f>
        <v>88</v>
      </c>
      <c r="M43" s="31">
        <f>'11B (N S) Sem1'!L17</f>
        <v>91</v>
      </c>
      <c r="N43" s="31">
        <f>'11B (N S) Sem1'!M17</f>
        <v>97</v>
      </c>
      <c r="O43" s="48">
        <f>'11B (N S) Sem1'!N17</f>
        <v>95</v>
      </c>
      <c r="P43" s="31">
        <f>'11B (N S) Sem1'!O17</f>
        <v>940</v>
      </c>
      <c r="Q43" s="30">
        <f>'11B (N S) Sem1'!P17</f>
        <v>94</v>
      </c>
      <c r="R43" s="30">
        <f>'11B (N S) Sem1'!Q17</f>
        <v>4</v>
      </c>
      <c r="S43" s="31">
        <f>'11B (N S) Sem1'!R17</f>
        <v>0</v>
      </c>
      <c r="T43" s="55">
        <f>'11B (N S) Sem1'!S17</f>
        <v>0</v>
      </c>
      <c r="U43" s="104"/>
      <c r="V43" s="9"/>
      <c r="W43" s="9"/>
    </row>
    <row r="44" spans="1:23" ht="18.95" customHeight="1" x14ac:dyDescent="0.3">
      <c r="A44" s="295"/>
      <c r="B44" s="293"/>
      <c r="C44" s="293">
        <v>17</v>
      </c>
      <c r="D44" s="293" t="s">
        <v>20</v>
      </c>
      <c r="E44" s="32" t="s">
        <v>22</v>
      </c>
      <c r="F44" s="31">
        <f>'11B (N S) Sem2'!E17</f>
        <v>90</v>
      </c>
      <c r="G44" s="31">
        <f>'11B (N S) Sem2'!F17</f>
        <v>97</v>
      </c>
      <c r="H44" s="31">
        <f>'11B (N S) Sem2'!G17</f>
        <v>100</v>
      </c>
      <c r="I44" s="31">
        <f>'11B (N S) Sem2'!H17</f>
        <v>100</v>
      </c>
      <c r="J44" s="31">
        <f>'11B (N S) Sem2'!I17</f>
        <v>96</v>
      </c>
      <c r="K44" s="31">
        <f>'11B (N S) Sem2'!J17</f>
        <v>95</v>
      </c>
      <c r="L44" s="31">
        <f>'11B (N S) Sem2'!K17</f>
        <v>96</v>
      </c>
      <c r="M44" s="31">
        <f>'11B (N S) Sem2'!L17</f>
        <v>100</v>
      </c>
      <c r="N44" s="31">
        <f>'11B (N S) Sem2'!M17</f>
        <v>95</v>
      </c>
      <c r="O44" s="48">
        <f>'11B (N S) Sem2'!N17</f>
        <v>99</v>
      </c>
      <c r="P44" s="31">
        <f>'11B (N S) Sem2'!O17</f>
        <v>968</v>
      </c>
      <c r="Q44" s="30">
        <f>'11B (N S) Sem2'!P17</f>
        <v>96.8</v>
      </c>
      <c r="R44" s="30">
        <f>'11B (N S) Sem2'!Q17</f>
        <v>4</v>
      </c>
      <c r="S44" s="31">
        <f>'11B (N S) Sem2'!R17</f>
        <v>0</v>
      </c>
      <c r="T44" s="55">
        <f>'11B (N S) Sem2'!S17</f>
        <v>0</v>
      </c>
      <c r="U44" s="104"/>
      <c r="V44" s="9"/>
      <c r="W44" s="9"/>
    </row>
    <row r="45" spans="1:23" ht="18.95" customHeight="1" x14ac:dyDescent="0.3">
      <c r="A45" s="295"/>
      <c r="B45" s="293"/>
      <c r="C45" s="293">
        <v>17</v>
      </c>
      <c r="D45" s="293" t="s">
        <v>20</v>
      </c>
      <c r="E45" s="32" t="s">
        <v>16</v>
      </c>
      <c r="F45" s="31">
        <f>AVERAGE(F43:F44)</f>
        <v>87</v>
      </c>
      <c r="G45" s="31">
        <f t="shared" ref="G45:Q45" si="13">AVERAGE(G43:G44)</f>
        <v>96.5</v>
      </c>
      <c r="H45" s="31">
        <f t="shared" si="13"/>
        <v>97.5</v>
      </c>
      <c r="I45" s="31">
        <f t="shared" si="13"/>
        <v>99</v>
      </c>
      <c r="J45" s="31">
        <f t="shared" si="13"/>
        <v>96</v>
      </c>
      <c r="K45" s="31">
        <f t="shared" si="13"/>
        <v>97.5</v>
      </c>
      <c r="L45" s="31">
        <f t="shared" si="13"/>
        <v>92</v>
      </c>
      <c r="M45" s="31">
        <f t="shared" si="13"/>
        <v>95.5</v>
      </c>
      <c r="N45" s="31">
        <f t="shared" si="13"/>
        <v>96</v>
      </c>
      <c r="O45" s="31">
        <f t="shared" si="13"/>
        <v>97</v>
      </c>
      <c r="P45" s="31">
        <f t="shared" si="13"/>
        <v>954</v>
      </c>
      <c r="Q45" s="31">
        <f t="shared" si="13"/>
        <v>95.4</v>
      </c>
      <c r="R45" s="31">
        <f>'11B (N S) Avr'!$I$17</f>
        <v>4</v>
      </c>
      <c r="S45" s="31">
        <f>AVERAGE(S43:S44)</f>
        <v>0</v>
      </c>
      <c r="T45" s="55">
        <f>AVERAGE(T43:T44)</f>
        <v>0</v>
      </c>
      <c r="U45" s="104"/>
      <c r="V45" s="9"/>
      <c r="W45" s="9"/>
    </row>
    <row r="46" spans="1:23" ht="18.95" customHeight="1" x14ac:dyDescent="0.3">
      <c r="A46" s="295">
        <v>15</v>
      </c>
      <c r="B46" s="293"/>
      <c r="C46" s="293">
        <v>16</v>
      </c>
      <c r="D46" s="293" t="s">
        <v>23</v>
      </c>
      <c r="E46" s="32" t="s">
        <v>21</v>
      </c>
      <c r="F46" s="31">
        <f>'11B (N S) Sem1'!E18</f>
        <v>71</v>
      </c>
      <c r="G46" s="31">
        <f>'11B (N S) Sem1'!F18</f>
        <v>84</v>
      </c>
      <c r="H46" s="31">
        <f>'11B (N S) Sem1'!G18</f>
        <v>70</v>
      </c>
      <c r="I46" s="31">
        <f>'11B (N S) Sem1'!H18</f>
        <v>81</v>
      </c>
      <c r="J46" s="31">
        <f>'11B (N S) Sem1'!I18</f>
        <v>85</v>
      </c>
      <c r="K46" s="31">
        <f>'11B (N S) Sem1'!J18</f>
        <v>95</v>
      </c>
      <c r="L46" s="31">
        <f>'11B (N S) Sem1'!K18</f>
        <v>76</v>
      </c>
      <c r="M46" s="31">
        <f>'11B (N S) Sem1'!L18</f>
        <v>76</v>
      </c>
      <c r="N46" s="31">
        <f>'11B (N S) Sem1'!M18</f>
        <v>91</v>
      </c>
      <c r="O46" s="48">
        <f>'11B (N S) Sem1'!N18</f>
        <v>98</v>
      </c>
      <c r="P46" s="31">
        <f>'11B (N S) Sem1'!O18</f>
        <v>827</v>
      </c>
      <c r="Q46" s="30">
        <f>'11B (N S) Sem1'!P18</f>
        <v>82.7</v>
      </c>
      <c r="R46" s="30">
        <f>'11B (N S) Sem1'!Q18</f>
        <v>9</v>
      </c>
      <c r="S46" s="31">
        <f>'11B (N S) Sem1'!R18</f>
        <v>0</v>
      </c>
      <c r="T46" s="55">
        <f>'11B (N S) Sem1'!S18</f>
        <v>0</v>
      </c>
      <c r="U46" s="104"/>
      <c r="V46" s="9"/>
      <c r="W46" s="9"/>
    </row>
    <row r="47" spans="1:23" ht="18.95" customHeight="1" x14ac:dyDescent="0.3">
      <c r="A47" s="295"/>
      <c r="B47" s="293"/>
      <c r="C47" s="293">
        <v>16</v>
      </c>
      <c r="D47" s="293" t="s">
        <v>23</v>
      </c>
      <c r="E47" s="32" t="s">
        <v>22</v>
      </c>
      <c r="F47" s="31">
        <f>'11B (N S) Sem2'!E18</f>
        <v>89</v>
      </c>
      <c r="G47" s="31">
        <f>'11B (N S) Sem2'!F18</f>
        <v>90</v>
      </c>
      <c r="H47" s="31">
        <f>'11B (N S) Sem2'!G18</f>
        <v>86</v>
      </c>
      <c r="I47" s="31">
        <f>'11B (N S) Sem2'!H18</f>
        <v>86</v>
      </c>
      <c r="J47" s="31">
        <f>'11B (N S) Sem2'!I18</f>
        <v>80</v>
      </c>
      <c r="K47" s="31">
        <f>'11B (N S) Sem2'!J18</f>
        <v>93</v>
      </c>
      <c r="L47" s="31">
        <f>'11B (N S) Sem2'!K18</f>
        <v>93</v>
      </c>
      <c r="M47" s="31">
        <f>'11B (N S) Sem2'!L18</f>
        <v>78</v>
      </c>
      <c r="N47" s="31">
        <f>'11B (N S) Sem2'!M18</f>
        <v>89</v>
      </c>
      <c r="O47" s="48">
        <f>'11B (N S) Sem2'!N18</f>
        <v>94</v>
      </c>
      <c r="P47" s="31">
        <f>'11B (N S) Sem2'!O18</f>
        <v>878</v>
      </c>
      <c r="Q47" s="30">
        <f>'11B (N S) Sem2'!P18</f>
        <v>87.8</v>
      </c>
      <c r="R47" s="30">
        <f>'11B (N S) Sem2'!Q18</f>
        <v>8</v>
      </c>
      <c r="S47" s="31">
        <f>'11B (N S) Sem2'!R18</f>
        <v>0</v>
      </c>
      <c r="T47" s="55">
        <f>'11B (N S) Sem2'!S18</f>
        <v>0</v>
      </c>
      <c r="U47" s="104"/>
      <c r="V47" s="9"/>
      <c r="W47" s="9"/>
    </row>
    <row r="48" spans="1:23" ht="18.95" customHeight="1" x14ac:dyDescent="0.3">
      <c r="A48" s="295"/>
      <c r="B48" s="293"/>
      <c r="C48" s="293">
        <v>16</v>
      </c>
      <c r="D48" s="293" t="s">
        <v>23</v>
      </c>
      <c r="E48" s="32" t="s">
        <v>16</v>
      </c>
      <c r="F48" s="31">
        <f>AVERAGE(F46:F47)</f>
        <v>80</v>
      </c>
      <c r="G48" s="31">
        <f t="shared" ref="G48:Q48" si="14">AVERAGE(G46:G47)</f>
        <v>87</v>
      </c>
      <c r="H48" s="31">
        <f t="shared" si="14"/>
        <v>78</v>
      </c>
      <c r="I48" s="31">
        <f t="shared" si="14"/>
        <v>83.5</v>
      </c>
      <c r="J48" s="31">
        <f t="shared" si="14"/>
        <v>82.5</v>
      </c>
      <c r="K48" s="31">
        <f t="shared" si="14"/>
        <v>94</v>
      </c>
      <c r="L48" s="31">
        <f t="shared" si="14"/>
        <v>84.5</v>
      </c>
      <c r="M48" s="31">
        <f t="shared" si="14"/>
        <v>77</v>
      </c>
      <c r="N48" s="31">
        <f t="shared" si="14"/>
        <v>90</v>
      </c>
      <c r="O48" s="31">
        <f t="shared" si="14"/>
        <v>96</v>
      </c>
      <c r="P48" s="31">
        <f t="shared" si="14"/>
        <v>852.5</v>
      </c>
      <c r="Q48" s="31">
        <f t="shared" si="14"/>
        <v>85.25</v>
      </c>
      <c r="R48" s="31">
        <f>'11B (N S) Avr'!$I$18</f>
        <v>8</v>
      </c>
      <c r="S48" s="31">
        <f>AVERAGE(S46:S47)</f>
        <v>0</v>
      </c>
      <c r="T48" s="55">
        <f>AVERAGE(T46:T47)</f>
        <v>0</v>
      </c>
      <c r="U48" s="104"/>
      <c r="V48" s="9"/>
      <c r="W48" s="9"/>
    </row>
    <row r="49" spans="1:23" ht="18.95" customHeight="1" x14ac:dyDescent="0.3">
      <c r="A49" s="295">
        <v>16</v>
      </c>
      <c r="B49" s="293"/>
      <c r="C49" s="293">
        <v>17</v>
      </c>
      <c r="D49" s="293" t="s">
        <v>20</v>
      </c>
      <c r="E49" s="32" t="s">
        <v>21</v>
      </c>
      <c r="F49" s="31">
        <f>'11B (N S) Sem1'!E19</f>
        <v>83</v>
      </c>
      <c r="G49" s="31">
        <f>'11B (N S) Sem1'!F19</f>
        <v>76</v>
      </c>
      <c r="H49" s="31">
        <f>'11B (N S) Sem1'!G19</f>
        <v>76</v>
      </c>
      <c r="I49" s="31">
        <f>'11B (N S) Sem1'!H19</f>
        <v>72</v>
      </c>
      <c r="J49" s="31">
        <f>'11B (N S) Sem1'!I19</f>
        <v>81</v>
      </c>
      <c r="K49" s="31">
        <f>'11B (N S) Sem1'!J19</f>
        <v>82</v>
      </c>
      <c r="L49" s="31">
        <f>'11B (N S) Sem1'!K19</f>
        <v>71</v>
      </c>
      <c r="M49" s="31">
        <f>'11B (N S) Sem1'!L19</f>
        <v>92</v>
      </c>
      <c r="N49" s="31">
        <f>'11B (N S) Sem1'!M19</f>
        <v>96</v>
      </c>
      <c r="O49" s="48">
        <f>'11B (N S) Sem1'!N19</f>
        <v>94</v>
      </c>
      <c r="P49" s="31">
        <f>'11B (N S) Sem1'!O19</f>
        <v>823</v>
      </c>
      <c r="Q49" s="30">
        <f>'11B (N S) Sem1'!P19</f>
        <v>82.3</v>
      </c>
      <c r="R49" s="30">
        <f>'11B (N S) Sem1'!Q19</f>
        <v>11</v>
      </c>
      <c r="S49" s="31">
        <f>'11B (N S) Sem1'!R19</f>
        <v>0</v>
      </c>
      <c r="T49" s="55">
        <f>'11B (N S) Sem1'!S19</f>
        <v>0</v>
      </c>
      <c r="U49" s="104"/>
      <c r="V49" s="9"/>
      <c r="W49" s="9"/>
    </row>
    <row r="50" spans="1:23" ht="18.95" customHeight="1" x14ac:dyDescent="0.3">
      <c r="A50" s="295"/>
      <c r="B50" s="293"/>
      <c r="C50" s="293">
        <v>17</v>
      </c>
      <c r="D50" s="293" t="s">
        <v>20</v>
      </c>
      <c r="E50" s="32" t="s">
        <v>22</v>
      </c>
      <c r="F50" s="31">
        <f>'11B (N S) Sem2'!E19</f>
        <v>91</v>
      </c>
      <c r="G50" s="31">
        <f>'11B (N S) Sem2'!F19</f>
        <v>76</v>
      </c>
      <c r="H50" s="31">
        <f>'11B (N S) Sem2'!G19</f>
        <v>69</v>
      </c>
      <c r="I50" s="31">
        <f>'11B (N S) Sem2'!H19</f>
        <v>80</v>
      </c>
      <c r="J50" s="31">
        <f>'11B (N S) Sem2'!I19</f>
        <v>71</v>
      </c>
      <c r="K50" s="31">
        <f>'11B (N S) Sem2'!J19</f>
        <v>87</v>
      </c>
      <c r="L50" s="31">
        <f>'11B (N S) Sem2'!K19</f>
        <v>82</v>
      </c>
      <c r="M50" s="31">
        <f>'11B (N S) Sem2'!L19</f>
        <v>70</v>
      </c>
      <c r="N50" s="31">
        <f>'11B (N S) Sem2'!M19</f>
        <v>86</v>
      </c>
      <c r="O50" s="48">
        <f>'11B (N S) Sem2'!N19</f>
        <v>100</v>
      </c>
      <c r="P50" s="31">
        <f>'11B (N S) Sem2'!O19</f>
        <v>812</v>
      </c>
      <c r="Q50" s="30">
        <f>'11B (N S) Sem2'!P19</f>
        <v>81.2</v>
      </c>
      <c r="R50" s="30">
        <f>'11B (N S) Sem2'!Q19</f>
        <v>17</v>
      </c>
      <c r="S50" s="31">
        <f>'11B (N S) Sem2'!R19</f>
        <v>0</v>
      </c>
      <c r="T50" s="55">
        <f>'11B (N S) Sem2'!S19</f>
        <v>0</v>
      </c>
      <c r="U50" s="104"/>
      <c r="V50" s="9"/>
      <c r="W50" s="9"/>
    </row>
    <row r="51" spans="1:23" ht="18.95" customHeight="1" x14ac:dyDescent="0.3">
      <c r="A51" s="295"/>
      <c r="B51" s="293"/>
      <c r="C51" s="293">
        <v>17</v>
      </c>
      <c r="D51" s="293" t="s">
        <v>20</v>
      </c>
      <c r="E51" s="32" t="s">
        <v>16</v>
      </c>
      <c r="F51" s="31">
        <f>AVERAGE(F49:F50)</f>
        <v>87</v>
      </c>
      <c r="G51" s="31">
        <f t="shared" ref="G51:Q51" si="15">AVERAGE(G49:G50)</f>
        <v>76</v>
      </c>
      <c r="H51" s="31">
        <f t="shared" si="15"/>
        <v>72.5</v>
      </c>
      <c r="I51" s="31">
        <f t="shared" si="15"/>
        <v>76</v>
      </c>
      <c r="J51" s="31">
        <f t="shared" si="15"/>
        <v>76</v>
      </c>
      <c r="K51" s="31">
        <f t="shared" si="15"/>
        <v>84.5</v>
      </c>
      <c r="L51" s="31">
        <f t="shared" si="15"/>
        <v>76.5</v>
      </c>
      <c r="M51" s="31">
        <f t="shared" si="15"/>
        <v>81</v>
      </c>
      <c r="N51" s="31">
        <f t="shared" si="15"/>
        <v>91</v>
      </c>
      <c r="O51" s="31">
        <f t="shared" si="15"/>
        <v>97</v>
      </c>
      <c r="P51" s="31">
        <f t="shared" si="15"/>
        <v>817.5</v>
      </c>
      <c r="Q51" s="31">
        <f t="shared" si="15"/>
        <v>81.75</v>
      </c>
      <c r="R51" s="31">
        <f>'11B (N S) Avr'!$I$19</f>
        <v>13</v>
      </c>
      <c r="S51" s="31">
        <f>AVERAGE(S49:S50)</f>
        <v>0</v>
      </c>
      <c r="T51" s="55">
        <f>AVERAGE(T49:T50)</f>
        <v>0</v>
      </c>
      <c r="U51" s="104"/>
      <c r="V51" s="9"/>
      <c r="W51" s="9"/>
    </row>
    <row r="52" spans="1:23" ht="18.95" customHeight="1" x14ac:dyDescent="0.3">
      <c r="A52" s="295">
        <v>17</v>
      </c>
      <c r="B52" s="293"/>
      <c r="C52" s="293">
        <v>16</v>
      </c>
      <c r="D52" s="293" t="s">
        <v>20</v>
      </c>
      <c r="E52" s="32" t="s">
        <v>21</v>
      </c>
      <c r="F52" s="31">
        <f>'11B (N S) Sem1'!E20</f>
        <v>81</v>
      </c>
      <c r="G52" s="31">
        <f>'11B (N S) Sem1'!F20</f>
        <v>85</v>
      </c>
      <c r="H52" s="31">
        <f>'11B (N S) Sem1'!G20</f>
        <v>77</v>
      </c>
      <c r="I52" s="31">
        <f>'11B (N S) Sem1'!H20</f>
        <v>80</v>
      </c>
      <c r="J52" s="31">
        <f>'11B (N S) Sem1'!I20</f>
        <v>80</v>
      </c>
      <c r="K52" s="31">
        <f>'11B (N S) Sem1'!J20</f>
        <v>95</v>
      </c>
      <c r="L52" s="31">
        <f>'11B (N S) Sem1'!K20</f>
        <v>66</v>
      </c>
      <c r="M52" s="31">
        <f>'11B (N S) Sem1'!L20</f>
        <v>95</v>
      </c>
      <c r="N52" s="31">
        <f>'11B (N S) Sem1'!M20</f>
        <v>93</v>
      </c>
      <c r="O52" s="48">
        <f>'11B (N S) Sem1'!N20</f>
        <v>92</v>
      </c>
      <c r="P52" s="31">
        <f>'11B (N S) Sem1'!O20</f>
        <v>844</v>
      </c>
      <c r="Q52" s="30">
        <f>'11B (N S) Sem1'!P20</f>
        <v>84.4</v>
      </c>
      <c r="R52" s="30">
        <f>'11B (N S) Sem1'!Q20</f>
        <v>8</v>
      </c>
      <c r="S52" s="31">
        <f>'11B (N S) Sem1'!R20</f>
        <v>0</v>
      </c>
      <c r="T52" s="55">
        <f>'11B (N S) Sem1'!S20</f>
        <v>0</v>
      </c>
      <c r="U52" s="104"/>
      <c r="V52" s="9"/>
      <c r="W52" s="9"/>
    </row>
    <row r="53" spans="1:23" ht="18.95" customHeight="1" x14ac:dyDescent="0.3">
      <c r="A53" s="295"/>
      <c r="B53" s="293"/>
      <c r="C53" s="293">
        <v>16</v>
      </c>
      <c r="D53" s="293" t="s">
        <v>20</v>
      </c>
      <c r="E53" s="32" t="s">
        <v>22</v>
      </c>
      <c r="F53" s="31">
        <f>'11B (N S) Sem2'!E20</f>
        <v>83</v>
      </c>
      <c r="G53" s="31">
        <f>'11B (N S) Sem2'!F20</f>
        <v>80</v>
      </c>
      <c r="H53" s="31">
        <f>'11B (N S) Sem2'!G20</f>
        <v>77</v>
      </c>
      <c r="I53" s="31">
        <f>'11B (N S) Sem2'!H20</f>
        <v>82</v>
      </c>
      <c r="J53" s="31">
        <f>'11B (N S) Sem2'!I20</f>
        <v>70</v>
      </c>
      <c r="K53" s="31">
        <f>'11B (N S) Sem2'!J20</f>
        <v>95</v>
      </c>
      <c r="L53" s="31">
        <f>'11B (N S) Sem2'!K20</f>
        <v>88</v>
      </c>
      <c r="M53" s="31">
        <f>'11B (N S) Sem2'!L20</f>
        <v>96</v>
      </c>
      <c r="N53" s="31">
        <f>'11B (N S) Sem2'!M20</f>
        <v>86</v>
      </c>
      <c r="O53" s="48">
        <f>'11B (N S) Sem2'!N20</f>
        <v>100</v>
      </c>
      <c r="P53" s="31">
        <f>'11B (N S) Sem2'!O20</f>
        <v>857</v>
      </c>
      <c r="Q53" s="30">
        <f>'11B (N S) Sem2'!P20</f>
        <v>85.7</v>
      </c>
      <c r="R53" s="30">
        <f>'11B (N S) Sem2'!Q20</f>
        <v>12</v>
      </c>
      <c r="S53" s="31">
        <f>'11B (N S) Sem2'!R20</f>
        <v>0</v>
      </c>
      <c r="T53" s="55">
        <f>'11B (N S) Sem2'!S20</f>
        <v>0</v>
      </c>
      <c r="U53" s="104"/>
      <c r="V53" s="9"/>
      <c r="W53" s="9"/>
    </row>
    <row r="54" spans="1:23" ht="18.95" customHeight="1" x14ac:dyDescent="0.3">
      <c r="A54" s="295"/>
      <c r="B54" s="293"/>
      <c r="C54" s="293">
        <v>16</v>
      </c>
      <c r="D54" s="293" t="s">
        <v>20</v>
      </c>
      <c r="E54" s="32" t="s">
        <v>16</v>
      </c>
      <c r="F54" s="31">
        <f>AVERAGE(F52:F53)</f>
        <v>82</v>
      </c>
      <c r="G54" s="31">
        <f t="shared" ref="G54:Q54" si="16">AVERAGE(G52:G53)</f>
        <v>82.5</v>
      </c>
      <c r="H54" s="31">
        <f t="shared" si="16"/>
        <v>77</v>
      </c>
      <c r="I54" s="31">
        <f t="shared" si="16"/>
        <v>81</v>
      </c>
      <c r="J54" s="31">
        <f t="shared" si="16"/>
        <v>75</v>
      </c>
      <c r="K54" s="31">
        <f t="shared" si="16"/>
        <v>95</v>
      </c>
      <c r="L54" s="31">
        <f t="shared" si="16"/>
        <v>77</v>
      </c>
      <c r="M54" s="31">
        <f t="shared" si="16"/>
        <v>95.5</v>
      </c>
      <c r="N54" s="31">
        <f t="shared" si="16"/>
        <v>89.5</v>
      </c>
      <c r="O54" s="31">
        <f t="shared" si="16"/>
        <v>96</v>
      </c>
      <c r="P54" s="31">
        <f t="shared" si="16"/>
        <v>850.5</v>
      </c>
      <c r="Q54" s="31">
        <f t="shared" si="16"/>
        <v>85.050000000000011</v>
      </c>
      <c r="R54" s="31">
        <f>'11B (N S) Avr'!$I$20</f>
        <v>9</v>
      </c>
      <c r="S54" s="31">
        <f>AVERAGE(S52:S53)</f>
        <v>0</v>
      </c>
      <c r="T54" s="55">
        <f>AVERAGE(T52:T53)</f>
        <v>0</v>
      </c>
      <c r="U54" s="104"/>
      <c r="V54" s="9"/>
      <c r="W54" s="9"/>
    </row>
    <row r="55" spans="1:23" ht="18.95" customHeight="1" x14ac:dyDescent="0.3">
      <c r="A55" s="295">
        <v>18</v>
      </c>
      <c r="B55" s="293"/>
      <c r="C55" s="293">
        <v>17</v>
      </c>
      <c r="D55" s="293" t="s">
        <v>20</v>
      </c>
      <c r="E55" s="32" t="s">
        <v>21</v>
      </c>
      <c r="F55" s="31">
        <f>'11B (N S) Sem1'!E21</f>
        <v>86</v>
      </c>
      <c r="G55" s="31">
        <f>'11B (N S) Sem1'!F21</f>
        <v>79</v>
      </c>
      <c r="H55" s="31">
        <f>'11B (N S) Sem1'!G21</f>
        <v>80</v>
      </c>
      <c r="I55" s="31">
        <f>'11B (N S) Sem1'!H21</f>
        <v>80</v>
      </c>
      <c r="J55" s="31">
        <f>'11B (N S) Sem1'!I21</f>
        <v>69</v>
      </c>
      <c r="K55" s="31">
        <f>'11B (N S) Sem1'!J21</f>
        <v>89</v>
      </c>
      <c r="L55" s="31">
        <f>'11B (N S) Sem1'!K21</f>
        <v>68</v>
      </c>
      <c r="M55" s="31">
        <f>'11B (N S) Sem1'!L21</f>
        <v>100</v>
      </c>
      <c r="N55" s="31">
        <f>'11B (N S) Sem1'!M21</f>
        <v>88</v>
      </c>
      <c r="O55" s="48">
        <f>'11B (N S) Sem1'!N21</f>
        <v>87</v>
      </c>
      <c r="P55" s="31">
        <f>'11B (N S) Sem1'!O21</f>
        <v>826</v>
      </c>
      <c r="Q55" s="30">
        <f>'11B (N S) Sem1'!P21</f>
        <v>82.6</v>
      </c>
      <c r="R55" s="30">
        <f>'11B (N S) Sem1'!Q21</f>
        <v>10</v>
      </c>
      <c r="S55" s="31">
        <f>'11B (N S) Sem1'!R21</f>
        <v>0</v>
      </c>
      <c r="T55" s="55">
        <f>'11B (N S) Sem1'!S21</f>
        <v>0</v>
      </c>
      <c r="U55" s="102"/>
    </row>
    <row r="56" spans="1:23" ht="18.95" customHeight="1" x14ac:dyDescent="0.3">
      <c r="A56" s="295"/>
      <c r="B56" s="293"/>
      <c r="C56" s="293">
        <v>17</v>
      </c>
      <c r="D56" s="293" t="s">
        <v>20</v>
      </c>
      <c r="E56" s="32" t="s">
        <v>22</v>
      </c>
      <c r="F56" s="31">
        <f>'11B (N S) Sem2'!E21</f>
        <v>84</v>
      </c>
      <c r="G56" s="31">
        <f>'11B (N S) Sem2'!F21</f>
        <v>84</v>
      </c>
      <c r="H56" s="31">
        <f>'11B (N S) Sem2'!G21</f>
        <v>75</v>
      </c>
      <c r="I56" s="31">
        <f>'11B (N S) Sem2'!H21</f>
        <v>74</v>
      </c>
      <c r="J56" s="31">
        <f>'11B (N S) Sem2'!I21</f>
        <v>70</v>
      </c>
      <c r="K56" s="31">
        <f>'11B (N S) Sem2'!J21</f>
        <v>87</v>
      </c>
      <c r="L56" s="31">
        <f>'11B (N S) Sem2'!K21</f>
        <v>93</v>
      </c>
      <c r="M56" s="31">
        <f>'11B (N S) Sem2'!L21</f>
        <v>68</v>
      </c>
      <c r="N56" s="31">
        <f>'11B (N S) Sem2'!M21</f>
        <v>92</v>
      </c>
      <c r="O56" s="48">
        <f>'11B (N S) Sem2'!N21</f>
        <v>90</v>
      </c>
      <c r="P56" s="31">
        <f>'11B (N S) Sem2'!O21</f>
        <v>817</v>
      </c>
      <c r="Q56" s="30">
        <f>'11B (N S) Sem2'!P21</f>
        <v>81.7</v>
      </c>
      <c r="R56" s="30">
        <f>'11B (N S) Sem2'!Q21</f>
        <v>16</v>
      </c>
      <c r="S56" s="31">
        <f>'11B (N S) Sem2'!R21</f>
        <v>0</v>
      </c>
      <c r="T56" s="55">
        <f>'11B (N S) Sem2'!S21</f>
        <v>0</v>
      </c>
      <c r="U56" s="102"/>
    </row>
    <row r="57" spans="1:23" ht="18.95" customHeight="1" x14ac:dyDescent="0.3">
      <c r="A57" s="295"/>
      <c r="B57" s="293"/>
      <c r="C57" s="293">
        <v>17</v>
      </c>
      <c r="D57" s="293" t="s">
        <v>20</v>
      </c>
      <c r="E57" s="32" t="s">
        <v>16</v>
      </c>
      <c r="F57" s="31">
        <f>AVERAGE(F55:F56)</f>
        <v>85</v>
      </c>
      <c r="G57" s="31">
        <f t="shared" ref="G57:Q57" si="17">AVERAGE(G55:G56)</f>
        <v>81.5</v>
      </c>
      <c r="H57" s="31">
        <f t="shared" si="17"/>
        <v>77.5</v>
      </c>
      <c r="I57" s="31">
        <f t="shared" si="17"/>
        <v>77</v>
      </c>
      <c r="J57" s="31">
        <f t="shared" si="17"/>
        <v>69.5</v>
      </c>
      <c r="K57" s="31">
        <f t="shared" si="17"/>
        <v>88</v>
      </c>
      <c r="L57" s="31">
        <f t="shared" si="17"/>
        <v>80.5</v>
      </c>
      <c r="M57" s="31">
        <f t="shared" si="17"/>
        <v>84</v>
      </c>
      <c r="N57" s="31">
        <f t="shared" si="17"/>
        <v>90</v>
      </c>
      <c r="O57" s="31">
        <f t="shared" si="17"/>
        <v>88.5</v>
      </c>
      <c r="P57" s="31">
        <f t="shared" si="17"/>
        <v>821.5</v>
      </c>
      <c r="Q57" s="31">
        <f t="shared" si="17"/>
        <v>82.15</v>
      </c>
      <c r="R57" s="31">
        <f>'11B (N S) Avr'!$I$21</f>
        <v>12</v>
      </c>
      <c r="S57" s="31">
        <f>AVERAGE(S55:S56)</f>
        <v>0</v>
      </c>
      <c r="T57" s="55">
        <f>AVERAGE(T55:T56)</f>
        <v>0</v>
      </c>
      <c r="U57" s="102"/>
    </row>
    <row r="58" spans="1:23" ht="18.95" customHeight="1" x14ac:dyDescent="0.3">
      <c r="A58" s="295">
        <v>19</v>
      </c>
      <c r="B58" s="293"/>
      <c r="C58" s="293">
        <v>16</v>
      </c>
      <c r="D58" s="293" t="s">
        <v>20</v>
      </c>
      <c r="E58" s="32" t="s">
        <v>21</v>
      </c>
      <c r="F58" s="31">
        <f>'11B (N S) Sem1'!E22</f>
        <v>86</v>
      </c>
      <c r="G58" s="31">
        <f>'11B (N S) Sem1'!F22</f>
        <v>73</v>
      </c>
      <c r="H58" s="31">
        <f>'11B (N S) Sem1'!G22</f>
        <v>54</v>
      </c>
      <c r="I58" s="31">
        <f>'11B (N S) Sem1'!H22</f>
        <v>60</v>
      </c>
      <c r="J58" s="31">
        <f>'11B (N S) Sem1'!I22</f>
        <v>48</v>
      </c>
      <c r="K58" s="31">
        <f>'11B (N S) Sem1'!J22</f>
        <v>74</v>
      </c>
      <c r="L58" s="31">
        <f>'11B (N S) Sem1'!K22</f>
        <v>58</v>
      </c>
      <c r="M58" s="31">
        <f>'11B (N S) Sem1'!L22</f>
        <v>64</v>
      </c>
      <c r="N58" s="31">
        <f>'11B (N S) Sem1'!M22</f>
        <v>96</v>
      </c>
      <c r="O58" s="48">
        <f>'11B (N S) Sem1'!N22</f>
        <v>82</v>
      </c>
      <c r="P58" s="31">
        <f>'11B (N S) Sem1'!O22</f>
        <v>695</v>
      </c>
      <c r="Q58" s="30">
        <f>'11B (N S) Sem1'!P22</f>
        <v>69.5</v>
      </c>
      <c r="R58" s="30">
        <f>'11B (N S) Sem1'!Q22</f>
        <v>25</v>
      </c>
      <c r="S58" s="31">
        <f>'11B (N S) Sem1'!R22</f>
        <v>0</v>
      </c>
      <c r="T58" s="55">
        <f>'11B (N S) Sem1'!S22</f>
        <v>0</v>
      </c>
      <c r="U58" s="102"/>
    </row>
    <row r="59" spans="1:23" ht="18.95" customHeight="1" x14ac:dyDescent="0.3">
      <c r="A59" s="295"/>
      <c r="B59" s="293"/>
      <c r="C59" s="293">
        <v>16</v>
      </c>
      <c r="D59" s="293" t="s">
        <v>20</v>
      </c>
      <c r="E59" s="32" t="s">
        <v>22</v>
      </c>
      <c r="F59" s="31">
        <f>'11B (N S) Sem2'!E22</f>
        <v>76</v>
      </c>
      <c r="G59" s="31">
        <f>'11B (N S) Sem2'!F22</f>
        <v>76</v>
      </c>
      <c r="H59" s="31">
        <f>'11B (N S) Sem2'!G22</f>
        <v>54</v>
      </c>
      <c r="I59" s="31">
        <f>'11B (N S) Sem2'!H22</f>
        <v>61</v>
      </c>
      <c r="J59" s="31">
        <f>'11B (N S) Sem2'!I22</f>
        <v>47</v>
      </c>
      <c r="K59" s="31">
        <f>'11B (N S) Sem2'!J22</f>
        <v>71</v>
      </c>
      <c r="L59" s="31">
        <f>'11B (N S) Sem2'!K22</f>
        <v>87</v>
      </c>
      <c r="M59" s="31">
        <f>'11B (N S) Sem2'!L22</f>
        <v>49</v>
      </c>
      <c r="N59" s="31">
        <f>'11B (N S) Sem2'!M22</f>
        <v>95</v>
      </c>
      <c r="O59" s="48">
        <f>'11B (N S) Sem2'!N22</f>
        <v>91</v>
      </c>
      <c r="P59" s="31">
        <f>'11B (N S) Sem2'!O22</f>
        <v>707</v>
      </c>
      <c r="Q59" s="30">
        <f>'11B (N S) Sem2'!P22</f>
        <v>70.7</v>
      </c>
      <c r="R59" s="30">
        <f>'11B (N S) Sem2'!Q22</f>
        <v>26</v>
      </c>
      <c r="S59" s="31">
        <f>'11B (N S) Sem2'!R22</f>
        <v>0</v>
      </c>
      <c r="T59" s="55">
        <f>'11B (N S) Sem2'!S22</f>
        <v>0</v>
      </c>
      <c r="U59" s="102"/>
    </row>
    <row r="60" spans="1:23" ht="18.95" customHeight="1" x14ac:dyDescent="0.3">
      <c r="A60" s="295"/>
      <c r="B60" s="293"/>
      <c r="C60" s="293">
        <v>16</v>
      </c>
      <c r="D60" s="293" t="s">
        <v>20</v>
      </c>
      <c r="E60" s="32" t="s">
        <v>16</v>
      </c>
      <c r="F60" s="31">
        <f>AVERAGE(F58:F59)</f>
        <v>81</v>
      </c>
      <c r="G60" s="31">
        <f t="shared" ref="G60:Q60" si="18">AVERAGE(G58:G59)</f>
        <v>74.5</v>
      </c>
      <c r="H60" s="31">
        <f t="shared" si="18"/>
        <v>54</v>
      </c>
      <c r="I60" s="31">
        <f t="shared" si="18"/>
        <v>60.5</v>
      </c>
      <c r="J60" s="31">
        <f t="shared" si="18"/>
        <v>47.5</v>
      </c>
      <c r="K60" s="31">
        <f t="shared" si="18"/>
        <v>72.5</v>
      </c>
      <c r="L60" s="31">
        <f t="shared" si="18"/>
        <v>72.5</v>
      </c>
      <c r="M60" s="31">
        <f t="shared" si="18"/>
        <v>56.5</v>
      </c>
      <c r="N60" s="31">
        <f t="shared" si="18"/>
        <v>95.5</v>
      </c>
      <c r="O60" s="31">
        <f t="shared" si="18"/>
        <v>86.5</v>
      </c>
      <c r="P60" s="31">
        <f t="shared" si="18"/>
        <v>701</v>
      </c>
      <c r="Q60" s="31">
        <f t="shared" si="18"/>
        <v>70.099999999999994</v>
      </c>
      <c r="R60" s="31">
        <f>'11B (N S) Avr'!$I$22</f>
        <v>25</v>
      </c>
      <c r="S60" s="31">
        <f>AVERAGE(S58:S59)</f>
        <v>0</v>
      </c>
      <c r="T60" s="55">
        <f>AVERAGE(T58:T59)</f>
        <v>0</v>
      </c>
      <c r="U60" s="102"/>
    </row>
    <row r="61" spans="1:23" ht="18.95" customHeight="1" x14ac:dyDescent="0.3">
      <c r="A61" s="295">
        <v>20</v>
      </c>
      <c r="B61" s="293"/>
      <c r="C61" s="293">
        <v>17</v>
      </c>
      <c r="D61" s="293" t="s">
        <v>20</v>
      </c>
      <c r="E61" s="32" t="s">
        <v>21</v>
      </c>
      <c r="F61" s="31">
        <f>'11B (N S) Sem1'!E23</f>
        <v>73</v>
      </c>
      <c r="G61" s="31">
        <f>'11B (N S) Sem1'!F23</f>
        <v>62</v>
      </c>
      <c r="H61" s="31">
        <f>'11B (N S) Sem1'!G23</f>
        <v>79</v>
      </c>
      <c r="I61" s="31">
        <f>'11B (N S) Sem1'!H23</f>
        <v>56</v>
      </c>
      <c r="J61" s="31">
        <f>'11B (N S) Sem1'!I23</f>
        <v>50</v>
      </c>
      <c r="K61" s="31">
        <f>'11B (N S) Sem1'!J23</f>
        <v>57</v>
      </c>
      <c r="L61" s="31">
        <f>'11B (N S) Sem1'!K23</f>
        <v>51</v>
      </c>
      <c r="M61" s="31">
        <f>'11B (N S) Sem1'!L23</f>
        <v>65</v>
      </c>
      <c r="N61" s="31">
        <f>'11B (N S) Sem1'!M23</f>
        <v>82</v>
      </c>
      <c r="O61" s="48">
        <f>'11B (N S) Sem1'!N23</f>
        <v>90</v>
      </c>
      <c r="P61" s="31">
        <f>'11B (N S) Sem1'!O23</f>
        <v>665</v>
      </c>
      <c r="Q61" s="30">
        <f>'11B (N S) Sem1'!P23</f>
        <v>66.5</v>
      </c>
      <c r="R61" s="30">
        <f>'11B (N S) Sem1'!Q23</f>
        <v>26</v>
      </c>
      <c r="S61" s="31">
        <f>'11B (N S) Sem1'!R23</f>
        <v>0</v>
      </c>
      <c r="T61" s="55">
        <f>'11B (N S) Sem1'!S23</f>
        <v>0</v>
      </c>
      <c r="U61" s="102"/>
    </row>
    <row r="62" spans="1:23" ht="18.95" customHeight="1" x14ac:dyDescent="0.3">
      <c r="A62" s="295"/>
      <c r="B62" s="293"/>
      <c r="C62" s="293">
        <v>17</v>
      </c>
      <c r="D62" s="293" t="s">
        <v>20</v>
      </c>
      <c r="E62" s="32" t="s">
        <v>22</v>
      </c>
      <c r="F62" s="31">
        <f>'11B (N S) Sem2'!E23</f>
        <v>84</v>
      </c>
      <c r="G62" s="31">
        <f>'11B (N S) Sem2'!F23</f>
        <v>72</v>
      </c>
      <c r="H62" s="31">
        <f>'11B (N S) Sem2'!G23</f>
        <v>41</v>
      </c>
      <c r="I62" s="31">
        <f>'11B (N S) Sem2'!H23</f>
        <v>69</v>
      </c>
      <c r="J62" s="31">
        <f>'11B (N S) Sem2'!I23</f>
        <v>59</v>
      </c>
      <c r="K62" s="31">
        <f>'11B (N S) Sem2'!J23</f>
        <v>79</v>
      </c>
      <c r="L62" s="31">
        <f>'11B (N S) Sem2'!K23</f>
        <v>73</v>
      </c>
      <c r="M62" s="31">
        <f>'11B (N S) Sem2'!L23</f>
        <v>54</v>
      </c>
      <c r="N62" s="31">
        <f>'11B (N S) Sem2'!M23</f>
        <v>82</v>
      </c>
      <c r="O62" s="48">
        <f>'11B (N S) Sem2'!N23</f>
        <v>96</v>
      </c>
      <c r="P62" s="31">
        <f>'11B (N S) Sem2'!O23</f>
        <v>709</v>
      </c>
      <c r="Q62" s="30">
        <f>'11B (N S) Sem2'!P23</f>
        <v>70.900000000000006</v>
      </c>
      <c r="R62" s="30">
        <f>'11B (N S) Sem2'!Q23</f>
        <v>25</v>
      </c>
      <c r="S62" s="31">
        <f>'11B (N S) Sem2'!R23</f>
        <v>0</v>
      </c>
      <c r="T62" s="55">
        <f>'11B (N S) Sem2'!S23</f>
        <v>0</v>
      </c>
      <c r="U62" s="102"/>
    </row>
    <row r="63" spans="1:23" ht="18.95" customHeight="1" x14ac:dyDescent="0.3">
      <c r="A63" s="295"/>
      <c r="B63" s="293"/>
      <c r="C63" s="293">
        <v>17</v>
      </c>
      <c r="D63" s="293" t="s">
        <v>20</v>
      </c>
      <c r="E63" s="32" t="s">
        <v>16</v>
      </c>
      <c r="F63" s="31">
        <f>AVERAGE(F61:F62)</f>
        <v>78.5</v>
      </c>
      <c r="G63" s="31">
        <f t="shared" ref="G63:Q63" si="19">AVERAGE(G61:G62)</f>
        <v>67</v>
      </c>
      <c r="H63" s="31">
        <f t="shared" si="19"/>
        <v>60</v>
      </c>
      <c r="I63" s="31">
        <f t="shared" si="19"/>
        <v>62.5</v>
      </c>
      <c r="J63" s="31">
        <f t="shared" si="19"/>
        <v>54.5</v>
      </c>
      <c r="K63" s="31">
        <f t="shared" si="19"/>
        <v>68</v>
      </c>
      <c r="L63" s="31">
        <f t="shared" si="19"/>
        <v>62</v>
      </c>
      <c r="M63" s="31">
        <f t="shared" si="19"/>
        <v>59.5</v>
      </c>
      <c r="N63" s="31">
        <f t="shared" si="19"/>
        <v>82</v>
      </c>
      <c r="O63" s="31">
        <f t="shared" si="19"/>
        <v>93</v>
      </c>
      <c r="P63" s="31">
        <f t="shared" si="19"/>
        <v>687</v>
      </c>
      <c r="Q63" s="31">
        <f t="shared" si="19"/>
        <v>68.7</v>
      </c>
      <c r="R63" s="31">
        <f>'11B (N S) Avr'!$I$23</f>
        <v>26</v>
      </c>
      <c r="S63" s="31">
        <f>AVERAGE(S61:S62)</f>
        <v>0</v>
      </c>
      <c r="T63" s="55">
        <f>AVERAGE(T61:T62)</f>
        <v>0</v>
      </c>
      <c r="U63" s="102"/>
    </row>
    <row r="64" spans="1:23" ht="18.95" customHeight="1" x14ac:dyDescent="0.3">
      <c r="A64" s="295">
        <v>21</v>
      </c>
      <c r="B64" s="293"/>
      <c r="C64" s="293">
        <v>17</v>
      </c>
      <c r="D64" s="293" t="s">
        <v>23</v>
      </c>
      <c r="E64" s="32" t="s">
        <v>21</v>
      </c>
      <c r="F64" s="31">
        <f>'11B (N S) Sem1'!E24</f>
        <v>77</v>
      </c>
      <c r="G64" s="31">
        <f>'11B (N S) Sem1'!F24</f>
        <v>72</v>
      </c>
      <c r="H64" s="31">
        <f>'11B (N S) Sem1'!G24</f>
        <v>56</v>
      </c>
      <c r="I64" s="31">
        <f>'11B (N S) Sem1'!H24</f>
        <v>58</v>
      </c>
      <c r="J64" s="31">
        <f>'11B (N S) Sem1'!I24</f>
        <v>55</v>
      </c>
      <c r="K64" s="31">
        <f>'11B (N S) Sem1'!J24</f>
        <v>64</v>
      </c>
      <c r="L64" s="31">
        <f>'11B (N S) Sem1'!K24</f>
        <v>82</v>
      </c>
      <c r="M64" s="31">
        <f>'11B (N S) Sem1'!L24</f>
        <v>95</v>
      </c>
      <c r="N64" s="31">
        <f>'11B (N S) Sem1'!M24</f>
        <v>85</v>
      </c>
      <c r="O64" s="48">
        <f>'11B (N S) Sem1'!N24</f>
        <v>85</v>
      </c>
      <c r="P64" s="31">
        <f>'11B (N S) Sem1'!O24</f>
        <v>729</v>
      </c>
      <c r="Q64" s="30">
        <f>'11B (N S) Sem1'!P24</f>
        <v>72.900000000000006</v>
      </c>
      <c r="R64" s="30">
        <f>'11B (N S) Sem1'!Q24</f>
        <v>19</v>
      </c>
      <c r="S64" s="31">
        <f>'11B (N S) Sem1'!R24</f>
        <v>0</v>
      </c>
      <c r="T64" s="55">
        <f>'11B (N S) Sem1'!S24</f>
        <v>0</v>
      </c>
      <c r="U64" s="102"/>
    </row>
    <row r="65" spans="1:21" ht="18.95" customHeight="1" x14ac:dyDescent="0.3">
      <c r="A65" s="295"/>
      <c r="B65" s="293"/>
      <c r="C65" s="293">
        <v>17</v>
      </c>
      <c r="D65" s="293" t="s">
        <v>23</v>
      </c>
      <c r="E65" s="32" t="s">
        <v>22</v>
      </c>
      <c r="F65" s="31">
        <f>'11B (N S) Sem2'!E24</f>
        <v>97</v>
      </c>
      <c r="G65" s="31">
        <f>'11B (N S) Sem2'!F24</f>
        <v>76</v>
      </c>
      <c r="H65" s="31">
        <f>'11B (N S) Sem2'!G24</f>
        <v>58</v>
      </c>
      <c r="I65" s="31">
        <f>'11B (N S) Sem2'!H24</f>
        <v>78</v>
      </c>
      <c r="J65" s="31">
        <f>'11B (N S) Sem2'!I24</f>
        <v>63</v>
      </c>
      <c r="K65" s="31">
        <f>'11B (N S) Sem2'!J24</f>
        <v>84</v>
      </c>
      <c r="L65" s="31">
        <f>'11B (N S) Sem2'!K24</f>
        <v>81</v>
      </c>
      <c r="M65" s="31">
        <f>'11B (N S) Sem2'!L24</f>
        <v>98</v>
      </c>
      <c r="N65" s="31">
        <f>'11B (N S) Sem2'!M24</f>
        <v>90</v>
      </c>
      <c r="O65" s="48">
        <f>'11B (N S) Sem2'!N24</f>
        <v>97</v>
      </c>
      <c r="P65" s="31">
        <f>'11B (N S) Sem2'!O24</f>
        <v>822</v>
      </c>
      <c r="Q65" s="30">
        <f>'11B (N S) Sem2'!P24</f>
        <v>82.2</v>
      </c>
      <c r="R65" s="30">
        <f>'11B (N S) Sem2'!Q24</f>
        <v>15</v>
      </c>
      <c r="S65" s="31">
        <f>'11B (N S) Sem2'!R24</f>
        <v>0</v>
      </c>
      <c r="T65" s="55">
        <f>'11B (N S) Sem2'!S24</f>
        <v>0</v>
      </c>
      <c r="U65" s="102"/>
    </row>
    <row r="66" spans="1:21" ht="18.95" customHeight="1" x14ac:dyDescent="0.3">
      <c r="A66" s="295"/>
      <c r="B66" s="293"/>
      <c r="C66" s="293">
        <v>17</v>
      </c>
      <c r="D66" s="293" t="s">
        <v>23</v>
      </c>
      <c r="E66" s="32" t="s">
        <v>16</v>
      </c>
      <c r="F66" s="31">
        <f>AVERAGE(F64:F65)</f>
        <v>87</v>
      </c>
      <c r="G66" s="31">
        <f t="shared" ref="G66:Q66" si="20">AVERAGE(G64:G65)</f>
        <v>74</v>
      </c>
      <c r="H66" s="31">
        <f t="shared" si="20"/>
        <v>57</v>
      </c>
      <c r="I66" s="31">
        <f t="shared" si="20"/>
        <v>68</v>
      </c>
      <c r="J66" s="31">
        <f t="shared" si="20"/>
        <v>59</v>
      </c>
      <c r="K66" s="31">
        <f t="shared" si="20"/>
        <v>74</v>
      </c>
      <c r="L66" s="31">
        <f t="shared" si="20"/>
        <v>81.5</v>
      </c>
      <c r="M66" s="31">
        <f t="shared" si="20"/>
        <v>96.5</v>
      </c>
      <c r="N66" s="31">
        <f t="shared" si="20"/>
        <v>87.5</v>
      </c>
      <c r="O66" s="31">
        <f t="shared" si="20"/>
        <v>91</v>
      </c>
      <c r="P66" s="31">
        <f t="shared" si="20"/>
        <v>775.5</v>
      </c>
      <c r="Q66" s="31">
        <f t="shared" si="20"/>
        <v>77.550000000000011</v>
      </c>
      <c r="R66" s="31">
        <f>'11B (N S) Avr'!$I$24</f>
        <v>18</v>
      </c>
      <c r="S66" s="31">
        <f>AVERAGE(S64:S65)</f>
        <v>0</v>
      </c>
      <c r="T66" s="55">
        <f>AVERAGE(T64:T65)</f>
        <v>0</v>
      </c>
      <c r="U66" s="102"/>
    </row>
    <row r="67" spans="1:21" ht="18.95" customHeight="1" x14ac:dyDescent="0.3">
      <c r="A67" s="295">
        <v>22</v>
      </c>
      <c r="B67" s="293"/>
      <c r="C67" s="293">
        <v>17</v>
      </c>
      <c r="D67" s="293" t="s">
        <v>23</v>
      </c>
      <c r="E67" s="32" t="s">
        <v>21</v>
      </c>
      <c r="F67" s="31">
        <f>'11B (N S) Sem1'!E25</f>
        <v>82</v>
      </c>
      <c r="G67" s="31">
        <f>'11B (N S) Sem1'!F25</f>
        <v>62</v>
      </c>
      <c r="H67" s="31">
        <f>'11B (N S) Sem1'!G25</f>
        <v>59</v>
      </c>
      <c r="I67" s="31">
        <f>'11B (N S) Sem1'!H25</f>
        <v>58</v>
      </c>
      <c r="J67" s="31">
        <f>'11B (N S) Sem1'!I25</f>
        <v>62</v>
      </c>
      <c r="K67" s="31">
        <f>'11B (N S) Sem1'!J25</f>
        <v>69</v>
      </c>
      <c r="L67" s="31">
        <f>'11B (N S) Sem1'!K25</f>
        <v>62</v>
      </c>
      <c r="M67" s="31">
        <f>'11B (N S) Sem1'!L25</f>
        <v>83</v>
      </c>
      <c r="N67" s="31">
        <f>'11B (N S) Sem1'!M25</f>
        <v>81</v>
      </c>
      <c r="O67" s="48">
        <f>'11B (N S) Sem1'!N25</f>
        <v>92</v>
      </c>
      <c r="P67" s="31">
        <f>'11B (N S) Sem1'!O25</f>
        <v>710</v>
      </c>
      <c r="Q67" s="30">
        <f>'11B (N S) Sem1'!P25</f>
        <v>71</v>
      </c>
      <c r="R67" s="30">
        <f>'11B (N S) Sem1'!Q25</f>
        <v>23</v>
      </c>
      <c r="S67" s="31">
        <f>'11B (N S) Sem1'!R25</f>
        <v>0</v>
      </c>
      <c r="T67" s="55">
        <f>'11B (N S) Sem1'!S25</f>
        <v>0</v>
      </c>
      <c r="U67" s="102"/>
    </row>
    <row r="68" spans="1:21" ht="18.95" customHeight="1" x14ac:dyDescent="0.3">
      <c r="A68" s="295"/>
      <c r="B68" s="293"/>
      <c r="C68" s="293">
        <v>17</v>
      </c>
      <c r="D68" s="293" t="s">
        <v>23</v>
      </c>
      <c r="E68" s="32" t="s">
        <v>22</v>
      </c>
      <c r="F68" s="31">
        <f>'11B (N S) Sem2'!E25</f>
        <v>92</v>
      </c>
      <c r="G68" s="31">
        <f>'11B (N S) Sem2'!F25</f>
        <v>67</v>
      </c>
      <c r="H68" s="31">
        <f>'11B (N S) Sem2'!G25</f>
        <v>66</v>
      </c>
      <c r="I68" s="31">
        <f>'11B (N S) Sem2'!H25</f>
        <v>61</v>
      </c>
      <c r="J68" s="31">
        <f>'11B (N S) Sem2'!I25</f>
        <v>55</v>
      </c>
      <c r="K68" s="31">
        <f>'11B (N S) Sem2'!J25</f>
        <v>81</v>
      </c>
      <c r="L68" s="31">
        <f>'11B (N S) Sem2'!K25</f>
        <v>74</v>
      </c>
      <c r="M68" s="31">
        <f>'11B (N S) Sem2'!L25</f>
        <v>70</v>
      </c>
      <c r="N68" s="31">
        <f>'11B (N S) Sem2'!M25</f>
        <v>90</v>
      </c>
      <c r="O68" s="48">
        <f>'11B (N S) Sem2'!N25</f>
        <v>99</v>
      </c>
      <c r="P68" s="31">
        <f>'11B (N S) Sem2'!O25</f>
        <v>755</v>
      </c>
      <c r="Q68" s="30">
        <f>'11B (N S) Sem2'!P25</f>
        <v>75.5</v>
      </c>
      <c r="R68" s="30">
        <f>'11B (N S) Sem2'!Q25</f>
        <v>21</v>
      </c>
      <c r="S68" s="31">
        <f>'11B (N S) Sem2'!R25</f>
        <v>0</v>
      </c>
      <c r="T68" s="55">
        <f>'11B (N S) Sem2'!S25</f>
        <v>0</v>
      </c>
      <c r="U68" s="102"/>
    </row>
    <row r="69" spans="1:21" ht="18.95" customHeight="1" x14ac:dyDescent="0.3">
      <c r="A69" s="295"/>
      <c r="B69" s="293"/>
      <c r="C69" s="293">
        <v>17</v>
      </c>
      <c r="D69" s="293" t="s">
        <v>23</v>
      </c>
      <c r="E69" s="32" t="s">
        <v>16</v>
      </c>
      <c r="F69" s="31">
        <f>AVERAGE(F67:F68)</f>
        <v>87</v>
      </c>
      <c r="G69" s="31">
        <f t="shared" ref="G69:Q69" si="21">AVERAGE(G67:G68)</f>
        <v>64.5</v>
      </c>
      <c r="H69" s="31">
        <f t="shared" si="21"/>
        <v>62.5</v>
      </c>
      <c r="I69" s="31">
        <f t="shared" si="21"/>
        <v>59.5</v>
      </c>
      <c r="J69" s="31">
        <f t="shared" si="21"/>
        <v>58.5</v>
      </c>
      <c r="K69" s="31">
        <f t="shared" si="21"/>
        <v>75</v>
      </c>
      <c r="L69" s="31">
        <f t="shared" si="21"/>
        <v>68</v>
      </c>
      <c r="M69" s="31">
        <f t="shared" si="21"/>
        <v>76.5</v>
      </c>
      <c r="N69" s="31">
        <f t="shared" si="21"/>
        <v>85.5</v>
      </c>
      <c r="O69" s="31">
        <f t="shared" si="21"/>
        <v>95.5</v>
      </c>
      <c r="P69" s="31">
        <f t="shared" si="21"/>
        <v>732.5</v>
      </c>
      <c r="Q69" s="31">
        <f t="shared" si="21"/>
        <v>73.25</v>
      </c>
      <c r="R69" s="31">
        <f>'11B (N S) Avr'!$I$25</f>
        <v>22</v>
      </c>
      <c r="S69" s="31">
        <f>AVERAGE(S67:S68)</f>
        <v>0</v>
      </c>
      <c r="T69" s="55">
        <f>AVERAGE(T67:T68)</f>
        <v>0</v>
      </c>
      <c r="U69" s="102"/>
    </row>
    <row r="70" spans="1:21" ht="18.95" customHeight="1" x14ac:dyDescent="0.3">
      <c r="A70" s="295">
        <v>23</v>
      </c>
      <c r="B70" s="293"/>
      <c r="C70" s="293">
        <v>16</v>
      </c>
      <c r="D70" s="293" t="s">
        <v>23</v>
      </c>
      <c r="E70" s="32" t="s">
        <v>21</v>
      </c>
      <c r="F70" s="31">
        <f>'11B (N S) Sem1'!E26</f>
        <v>73</v>
      </c>
      <c r="G70" s="31">
        <f>'11B (N S) Sem1'!F26</f>
        <v>82</v>
      </c>
      <c r="H70" s="31">
        <f>'11B (N S) Sem1'!G26</f>
        <v>59</v>
      </c>
      <c r="I70" s="31">
        <f>'11B (N S) Sem1'!H26</f>
        <v>53</v>
      </c>
      <c r="J70" s="31">
        <f>'11B (N S) Sem1'!I26</f>
        <v>57</v>
      </c>
      <c r="K70" s="31">
        <f>'11B (N S) Sem1'!J26</f>
        <v>67</v>
      </c>
      <c r="L70" s="31">
        <f>'11B (N S) Sem1'!K26</f>
        <v>70</v>
      </c>
      <c r="M70" s="31">
        <f>'11B (N S) Sem1'!L26</f>
        <v>84</v>
      </c>
      <c r="N70" s="31">
        <f>'11B (N S) Sem1'!M26</f>
        <v>91</v>
      </c>
      <c r="O70" s="48">
        <f>'11B (N S) Sem1'!N26</f>
        <v>88</v>
      </c>
      <c r="P70" s="31">
        <f>'11B (N S) Sem1'!O26</f>
        <v>724</v>
      </c>
      <c r="Q70" s="30">
        <f>'11B (N S) Sem1'!P26</f>
        <v>72.400000000000006</v>
      </c>
      <c r="R70" s="30">
        <f>'11B (N S) Sem1'!Q26</f>
        <v>20</v>
      </c>
      <c r="S70" s="31">
        <f>'11B (N S) Sem1'!R26</f>
        <v>0</v>
      </c>
      <c r="T70" s="55">
        <f>'11B (N S) Sem1'!S26</f>
        <v>0</v>
      </c>
      <c r="U70" s="102"/>
    </row>
    <row r="71" spans="1:21" ht="18.95" customHeight="1" x14ac:dyDescent="0.3">
      <c r="A71" s="295"/>
      <c r="B71" s="293"/>
      <c r="C71" s="293">
        <v>16</v>
      </c>
      <c r="D71" s="293" t="s">
        <v>23</v>
      </c>
      <c r="E71" s="32" t="s">
        <v>22</v>
      </c>
      <c r="F71" s="31">
        <f>'11B (N S) Sem2'!E26</f>
        <v>88</v>
      </c>
      <c r="G71" s="31">
        <f>'11B (N S) Sem2'!F26</f>
        <v>87</v>
      </c>
      <c r="H71" s="31">
        <f>'11B (N S) Sem2'!G26</f>
        <v>52</v>
      </c>
      <c r="I71" s="31">
        <f>'11B (N S) Sem2'!H26</f>
        <v>60</v>
      </c>
      <c r="J71" s="31">
        <f>'11B (N S) Sem2'!I26</f>
        <v>60</v>
      </c>
      <c r="K71" s="31">
        <f>'11B (N S) Sem2'!J26</f>
        <v>77</v>
      </c>
      <c r="L71" s="31">
        <f>'11B (N S) Sem2'!K26</f>
        <v>91</v>
      </c>
      <c r="M71" s="31">
        <f>'11B (N S) Sem2'!L26</f>
        <v>90</v>
      </c>
      <c r="N71" s="31">
        <f>'11B (N S) Sem2'!M26</f>
        <v>81</v>
      </c>
      <c r="O71" s="48">
        <f>'11B (N S) Sem2'!N26</f>
        <v>94</v>
      </c>
      <c r="P71" s="31">
        <f>'11B (N S) Sem2'!O26</f>
        <v>780</v>
      </c>
      <c r="Q71" s="30">
        <f>'11B (N S) Sem2'!P26</f>
        <v>78</v>
      </c>
      <c r="R71" s="30">
        <f>'11B (N S) Sem2'!Q26</f>
        <v>19</v>
      </c>
      <c r="S71" s="31">
        <f>'11B (N S) Sem2'!R26</f>
        <v>0</v>
      </c>
      <c r="T71" s="55">
        <f>'11B (N S) Sem2'!S26</f>
        <v>0</v>
      </c>
      <c r="U71" s="102"/>
    </row>
    <row r="72" spans="1:21" ht="18.95" customHeight="1" x14ac:dyDescent="0.3">
      <c r="A72" s="295"/>
      <c r="B72" s="293"/>
      <c r="C72" s="293">
        <v>16</v>
      </c>
      <c r="D72" s="293" t="s">
        <v>23</v>
      </c>
      <c r="E72" s="32" t="s">
        <v>16</v>
      </c>
      <c r="F72" s="31">
        <f>AVERAGE(F70:F71)</f>
        <v>80.5</v>
      </c>
      <c r="G72" s="31">
        <f t="shared" ref="G72:Q72" si="22">AVERAGE(G70:G71)</f>
        <v>84.5</v>
      </c>
      <c r="H72" s="31">
        <f t="shared" si="22"/>
        <v>55.5</v>
      </c>
      <c r="I72" s="31">
        <f t="shared" si="22"/>
        <v>56.5</v>
      </c>
      <c r="J72" s="31">
        <f t="shared" si="22"/>
        <v>58.5</v>
      </c>
      <c r="K72" s="31">
        <f t="shared" si="22"/>
        <v>72</v>
      </c>
      <c r="L72" s="31">
        <f t="shared" si="22"/>
        <v>80.5</v>
      </c>
      <c r="M72" s="31">
        <f t="shared" si="22"/>
        <v>87</v>
      </c>
      <c r="N72" s="31">
        <f t="shared" si="22"/>
        <v>86</v>
      </c>
      <c r="O72" s="31">
        <f t="shared" si="22"/>
        <v>91</v>
      </c>
      <c r="P72" s="31">
        <f t="shared" si="22"/>
        <v>752</v>
      </c>
      <c r="Q72" s="31">
        <f t="shared" si="22"/>
        <v>75.2</v>
      </c>
      <c r="R72" s="31">
        <f>'11B (N S) Avr'!$I$26</f>
        <v>20</v>
      </c>
      <c r="S72" s="31">
        <f>AVERAGE(S70:S71)</f>
        <v>0</v>
      </c>
      <c r="T72" s="55">
        <f>AVERAGE(T70:T71)</f>
        <v>0</v>
      </c>
      <c r="U72" s="102"/>
    </row>
    <row r="73" spans="1:21" ht="18.95" customHeight="1" x14ac:dyDescent="0.3">
      <c r="A73" s="295">
        <v>24</v>
      </c>
      <c r="B73" s="293"/>
      <c r="C73" s="293">
        <v>17</v>
      </c>
      <c r="D73" s="293" t="s">
        <v>23</v>
      </c>
      <c r="E73" s="32" t="s">
        <v>21</v>
      </c>
      <c r="F73" s="31">
        <f>'11B (N S) Sem1'!E27</f>
        <v>79</v>
      </c>
      <c r="G73" s="31">
        <f>'11B (N S) Sem1'!F27</f>
        <v>84</v>
      </c>
      <c r="H73" s="31">
        <f>'11B (N S) Sem1'!G27</f>
        <v>57</v>
      </c>
      <c r="I73" s="31">
        <f>'11B (N S) Sem1'!H27</f>
        <v>74</v>
      </c>
      <c r="J73" s="31">
        <f>'11B (N S) Sem1'!I27</f>
        <v>57</v>
      </c>
      <c r="K73" s="31">
        <f>'11B (N S) Sem1'!J27</f>
        <v>83</v>
      </c>
      <c r="L73" s="31">
        <f>'11B (N S) Sem1'!K27</f>
        <v>67</v>
      </c>
      <c r="M73" s="31">
        <f>'11B (N S) Sem1'!L27</f>
        <v>82</v>
      </c>
      <c r="N73" s="31">
        <f>'11B (N S) Sem1'!M27</f>
        <v>85</v>
      </c>
      <c r="O73" s="48">
        <f>'11B (N S) Sem1'!N27</f>
        <v>94</v>
      </c>
      <c r="P73" s="31">
        <f>'11B (N S) Sem1'!O27</f>
        <v>762</v>
      </c>
      <c r="Q73" s="30">
        <f>'11B (N S) Sem1'!P27</f>
        <v>76.2</v>
      </c>
      <c r="R73" s="30">
        <f>'11B (N S) Sem1'!Q27</f>
        <v>15</v>
      </c>
      <c r="S73" s="31">
        <f>'11B (N S) Sem1'!R27</f>
        <v>0</v>
      </c>
      <c r="T73" s="55">
        <f>'11B (N S) Sem1'!S27</f>
        <v>0</v>
      </c>
      <c r="U73" s="102"/>
    </row>
    <row r="74" spans="1:21" ht="18.95" customHeight="1" x14ac:dyDescent="0.3">
      <c r="A74" s="295"/>
      <c r="B74" s="293"/>
      <c r="C74" s="293">
        <v>17</v>
      </c>
      <c r="D74" s="293" t="s">
        <v>23</v>
      </c>
      <c r="E74" s="32" t="s">
        <v>22</v>
      </c>
      <c r="F74" s="31">
        <f>'11B (N S) Sem2'!E27</f>
        <v>89</v>
      </c>
      <c r="G74" s="31">
        <f>'11B (N S) Sem2'!F27</f>
        <v>86</v>
      </c>
      <c r="H74" s="31">
        <f>'11B (N S) Sem2'!G27</f>
        <v>60</v>
      </c>
      <c r="I74" s="31">
        <f>'11B (N S) Sem2'!H27</f>
        <v>75</v>
      </c>
      <c r="J74" s="31">
        <f>'11B (N S) Sem2'!I27</f>
        <v>67</v>
      </c>
      <c r="K74" s="31">
        <f>'11B (N S) Sem2'!J27</f>
        <v>91</v>
      </c>
      <c r="L74" s="31">
        <f>'11B (N S) Sem2'!K27</f>
        <v>88</v>
      </c>
      <c r="M74" s="31">
        <f>'11B (N S) Sem2'!L27</f>
        <v>91</v>
      </c>
      <c r="N74" s="31">
        <f>'11B (N S) Sem2'!M27</f>
        <v>89</v>
      </c>
      <c r="O74" s="48">
        <f>'11B (N S) Sem2'!N27</f>
        <v>94</v>
      </c>
      <c r="P74" s="31">
        <f>'11B (N S) Sem2'!O27</f>
        <v>830</v>
      </c>
      <c r="Q74" s="30">
        <f>'11B (N S) Sem2'!P27</f>
        <v>83</v>
      </c>
      <c r="R74" s="30">
        <f>'11B (N S) Sem2'!Q27</f>
        <v>13</v>
      </c>
      <c r="S74" s="31">
        <f>'11B (N S) Sem2'!R27</f>
        <v>0</v>
      </c>
      <c r="T74" s="55">
        <f>'11B (N S) Sem2'!S27</f>
        <v>0</v>
      </c>
      <c r="U74" s="102"/>
    </row>
    <row r="75" spans="1:21" ht="18.95" customHeight="1" x14ac:dyDescent="0.3">
      <c r="A75" s="295"/>
      <c r="B75" s="293"/>
      <c r="C75" s="293">
        <v>17</v>
      </c>
      <c r="D75" s="293" t="s">
        <v>23</v>
      </c>
      <c r="E75" s="32" t="s">
        <v>16</v>
      </c>
      <c r="F75" s="31">
        <f>AVERAGE(F73:F74)</f>
        <v>84</v>
      </c>
      <c r="G75" s="31">
        <f t="shared" ref="G75:Q75" si="23">AVERAGE(G73:G74)</f>
        <v>85</v>
      </c>
      <c r="H75" s="31">
        <f t="shared" si="23"/>
        <v>58.5</v>
      </c>
      <c r="I75" s="31">
        <f t="shared" si="23"/>
        <v>74.5</v>
      </c>
      <c r="J75" s="31">
        <f t="shared" si="23"/>
        <v>62</v>
      </c>
      <c r="K75" s="31">
        <f t="shared" si="23"/>
        <v>87</v>
      </c>
      <c r="L75" s="31">
        <f t="shared" si="23"/>
        <v>77.5</v>
      </c>
      <c r="M75" s="31">
        <f t="shared" si="23"/>
        <v>86.5</v>
      </c>
      <c r="N75" s="31">
        <f t="shared" si="23"/>
        <v>87</v>
      </c>
      <c r="O75" s="31">
        <f t="shared" si="23"/>
        <v>94</v>
      </c>
      <c r="P75" s="31">
        <f t="shared" si="23"/>
        <v>796</v>
      </c>
      <c r="Q75" s="31">
        <f t="shared" si="23"/>
        <v>79.599999999999994</v>
      </c>
      <c r="R75" s="31">
        <f>'11B (N S) Avr'!$I$27</f>
        <v>15</v>
      </c>
      <c r="S75" s="31">
        <f>AVERAGE(S73:S74)</f>
        <v>0</v>
      </c>
      <c r="T75" s="55">
        <f>AVERAGE(T73:T74)</f>
        <v>0</v>
      </c>
      <c r="U75" s="102"/>
    </row>
    <row r="76" spans="1:21" ht="18.95" customHeight="1" x14ac:dyDescent="0.3">
      <c r="A76" s="295">
        <v>25</v>
      </c>
      <c r="B76" s="295"/>
      <c r="C76" s="295">
        <v>16</v>
      </c>
      <c r="D76" s="295" t="s">
        <v>20</v>
      </c>
      <c r="E76" s="32" t="s">
        <v>21</v>
      </c>
      <c r="F76" s="31">
        <f>'11B (N S) Sem1'!E28</f>
        <v>75</v>
      </c>
      <c r="G76" s="31">
        <f>'11B (N S) Sem1'!F28</f>
        <v>86</v>
      </c>
      <c r="H76" s="31">
        <f>'11B (N S) Sem1'!G28</f>
        <v>68</v>
      </c>
      <c r="I76" s="31">
        <f>'11B (N S) Sem1'!H28</f>
        <v>77</v>
      </c>
      <c r="J76" s="31">
        <f>'11B (N S) Sem1'!I28</f>
        <v>73</v>
      </c>
      <c r="K76" s="31">
        <f>'11B (N S) Sem1'!J28</f>
        <v>99</v>
      </c>
      <c r="L76" s="31">
        <f>'11B (N S) Sem1'!K28</f>
        <v>68</v>
      </c>
      <c r="M76" s="31">
        <f>'11B (N S) Sem1'!L28</f>
        <v>87</v>
      </c>
      <c r="N76" s="31">
        <f>'11B (N S) Sem1'!M28</f>
        <v>86</v>
      </c>
      <c r="O76" s="48">
        <f>'11B (N S) Sem1'!N28</f>
        <v>96</v>
      </c>
      <c r="P76" s="31">
        <f>'11B (N S) Sem1'!O28</f>
        <v>815</v>
      </c>
      <c r="Q76" s="30">
        <f>'11B (N S) Sem1'!P28</f>
        <v>81.5</v>
      </c>
      <c r="R76" s="30">
        <f>'11B (N S) Sem1'!Q28</f>
        <v>13</v>
      </c>
      <c r="S76" s="31">
        <f>'11B (N S) Sem1'!R28</f>
        <v>0</v>
      </c>
      <c r="T76" s="55">
        <f>'11B (N S) Sem1'!S28</f>
        <v>0</v>
      </c>
      <c r="U76" s="102"/>
    </row>
    <row r="77" spans="1:21" ht="18.95" customHeight="1" x14ac:dyDescent="0.3">
      <c r="A77" s="295"/>
      <c r="B77" s="295"/>
      <c r="C77" s="295">
        <v>16</v>
      </c>
      <c r="D77" s="295" t="s">
        <v>20</v>
      </c>
      <c r="E77" s="32" t="s">
        <v>22</v>
      </c>
      <c r="F77" s="31">
        <f>'11B (N S) Sem2'!E28</f>
        <v>79</v>
      </c>
      <c r="G77" s="31">
        <f>'11B (N S) Sem2'!F28</f>
        <v>80</v>
      </c>
      <c r="H77" s="31">
        <f>'11B (N S) Sem2'!G28</f>
        <v>79</v>
      </c>
      <c r="I77" s="31">
        <f>'11B (N S) Sem2'!H28</f>
        <v>81</v>
      </c>
      <c r="J77" s="31">
        <f>'11B (N S) Sem2'!I28</f>
        <v>73</v>
      </c>
      <c r="K77" s="31">
        <f>'11B (N S) Sem2'!J28</f>
        <v>97</v>
      </c>
      <c r="L77" s="31">
        <f>'11B (N S) Sem2'!K28</f>
        <v>93</v>
      </c>
      <c r="M77" s="31">
        <f>'11B (N S) Sem2'!L28</f>
        <v>100</v>
      </c>
      <c r="N77" s="31">
        <f>'11B (N S) Sem2'!M28</f>
        <v>91</v>
      </c>
      <c r="O77" s="48">
        <f>'11B (N S) Sem2'!N28</f>
        <v>96</v>
      </c>
      <c r="P77" s="31">
        <f>'11B (N S) Sem2'!O28</f>
        <v>869</v>
      </c>
      <c r="Q77" s="30">
        <f>'11B (N S) Sem2'!P28</f>
        <v>86.9</v>
      </c>
      <c r="R77" s="30">
        <f>'11B (N S) Sem2'!Q28</f>
        <v>10</v>
      </c>
      <c r="S77" s="31">
        <f>'11B (N S) Sem2'!R28</f>
        <v>0</v>
      </c>
      <c r="T77" s="55">
        <f>'11B (N S) Sem2'!S28</f>
        <v>0</v>
      </c>
      <c r="U77" s="102"/>
    </row>
    <row r="78" spans="1:21" ht="18.95" customHeight="1" x14ac:dyDescent="0.3">
      <c r="A78" s="295"/>
      <c r="B78" s="295"/>
      <c r="C78" s="295">
        <v>16</v>
      </c>
      <c r="D78" s="295" t="s">
        <v>20</v>
      </c>
      <c r="E78" s="32" t="s">
        <v>16</v>
      </c>
      <c r="F78" s="31">
        <f>AVERAGE(F76:F77)</f>
        <v>77</v>
      </c>
      <c r="G78" s="31">
        <f t="shared" ref="G78:Q78" si="24">AVERAGE(G76:G77)</f>
        <v>83</v>
      </c>
      <c r="H78" s="31">
        <f t="shared" si="24"/>
        <v>73.5</v>
      </c>
      <c r="I78" s="31">
        <f t="shared" si="24"/>
        <v>79</v>
      </c>
      <c r="J78" s="31">
        <f t="shared" si="24"/>
        <v>73</v>
      </c>
      <c r="K78" s="31">
        <f t="shared" si="24"/>
        <v>98</v>
      </c>
      <c r="L78" s="31">
        <f t="shared" si="24"/>
        <v>80.5</v>
      </c>
      <c r="M78" s="31">
        <f t="shared" si="24"/>
        <v>93.5</v>
      </c>
      <c r="N78" s="31">
        <f t="shared" si="24"/>
        <v>88.5</v>
      </c>
      <c r="O78" s="31">
        <f t="shared" si="24"/>
        <v>96</v>
      </c>
      <c r="P78" s="31">
        <f t="shared" si="24"/>
        <v>842</v>
      </c>
      <c r="Q78" s="31">
        <f t="shared" si="24"/>
        <v>84.2</v>
      </c>
      <c r="R78" s="31">
        <f>'11B (N S) Avr'!$I$28</f>
        <v>11</v>
      </c>
      <c r="S78" s="31">
        <f>AVERAGE(S76:S77)</f>
        <v>0</v>
      </c>
      <c r="T78" s="55">
        <f>AVERAGE(T76:T77)</f>
        <v>0</v>
      </c>
      <c r="U78" s="102"/>
    </row>
    <row r="79" spans="1:21" ht="18.95" customHeight="1" x14ac:dyDescent="0.3">
      <c r="A79" s="295">
        <v>26</v>
      </c>
      <c r="B79" s="293"/>
      <c r="C79" s="293">
        <v>17</v>
      </c>
      <c r="D79" s="293" t="s">
        <v>20</v>
      </c>
      <c r="E79" s="32" t="s">
        <v>21</v>
      </c>
      <c r="F79" s="31">
        <f>'11B (N S) Sem1'!E29</f>
        <v>70</v>
      </c>
      <c r="G79" s="31">
        <f>'11B (N S) Sem1'!F29</f>
        <v>80</v>
      </c>
      <c r="H79" s="31">
        <f>'11B (N S) Sem1'!G29</f>
        <v>51</v>
      </c>
      <c r="I79" s="31">
        <f>'11B (N S) Sem1'!H29</f>
        <v>68</v>
      </c>
      <c r="J79" s="31">
        <f>'11B (N S) Sem1'!I29</f>
        <v>56</v>
      </c>
      <c r="K79" s="31">
        <f>'11B (N S) Sem1'!J29</f>
        <v>84</v>
      </c>
      <c r="L79" s="31">
        <f>'11B (N S) Sem1'!K29</f>
        <v>68</v>
      </c>
      <c r="M79" s="31">
        <f>'11B (N S) Sem1'!L29</f>
        <v>72</v>
      </c>
      <c r="N79" s="31">
        <f>'11B (N S) Sem1'!M29</f>
        <v>91</v>
      </c>
      <c r="O79" s="48">
        <f>'11B (N S) Sem1'!N29</f>
        <v>95</v>
      </c>
      <c r="P79" s="31">
        <f>'11B (N S) Sem1'!O29</f>
        <v>735</v>
      </c>
      <c r="Q79" s="30">
        <f>'11B (N S) Sem1'!P29</f>
        <v>73.5</v>
      </c>
      <c r="R79" s="30">
        <f>'11B (N S) Sem1'!Q29</f>
        <v>17</v>
      </c>
      <c r="S79" s="31">
        <f>'11B (N S) Sem1'!R29</f>
        <v>0</v>
      </c>
      <c r="T79" s="55">
        <f>'11B (N S) Sem1'!S29</f>
        <v>0</v>
      </c>
      <c r="U79" s="102"/>
    </row>
    <row r="80" spans="1:21" ht="18.95" customHeight="1" x14ac:dyDescent="0.3">
      <c r="A80" s="295"/>
      <c r="B80" s="293"/>
      <c r="C80" s="293">
        <v>17</v>
      </c>
      <c r="D80" s="293" t="s">
        <v>20</v>
      </c>
      <c r="E80" s="32" t="s">
        <v>22</v>
      </c>
      <c r="F80" s="31">
        <f>'11B (N S) Sem2'!E29</f>
        <v>82</v>
      </c>
      <c r="G80" s="31">
        <f>'11B (N S) Sem2'!F29</f>
        <v>84</v>
      </c>
      <c r="H80" s="31">
        <f>'11B (N S) Sem2'!G29</f>
        <v>90</v>
      </c>
      <c r="I80" s="31">
        <f>'11B (N S) Sem2'!H29</f>
        <v>82</v>
      </c>
      <c r="J80" s="31">
        <f>'11B (N S) Sem2'!I29</f>
        <v>79</v>
      </c>
      <c r="K80" s="31">
        <f>'11B (N S) Sem2'!J29</f>
        <v>97</v>
      </c>
      <c r="L80" s="31">
        <f>'11B (N S) Sem2'!K29</f>
        <v>95</v>
      </c>
      <c r="M80" s="31">
        <f>'11B (N S) Sem2'!L29</f>
        <v>60</v>
      </c>
      <c r="N80" s="31">
        <f>'11B (N S) Sem2'!M29</f>
        <v>96</v>
      </c>
      <c r="O80" s="48">
        <f>'11B (N S) Sem2'!N29</f>
        <v>99</v>
      </c>
      <c r="P80" s="31">
        <f>'11B (N S) Sem2'!O29</f>
        <v>864</v>
      </c>
      <c r="Q80" s="30">
        <f>'11B (N S) Sem2'!P29</f>
        <v>86.4</v>
      </c>
      <c r="R80" s="30">
        <f>'11B (N S) Sem2'!Q29</f>
        <v>11</v>
      </c>
      <c r="S80" s="31">
        <f>'11B (N S) Sem2'!R29</f>
        <v>0</v>
      </c>
      <c r="T80" s="55">
        <f>'11B (N S) Sem2'!S29</f>
        <v>0</v>
      </c>
      <c r="U80" s="102"/>
    </row>
    <row r="81" spans="1:21" ht="18.95" customHeight="1" x14ac:dyDescent="0.3">
      <c r="A81" s="295"/>
      <c r="B81" s="293"/>
      <c r="C81" s="293">
        <v>17</v>
      </c>
      <c r="D81" s="293" t="s">
        <v>20</v>
      </c>
      <c r="E81" s="32" t="s">
        <v>16</v>
      </c>
      <c r="F81" s="31">
        <f>AVERAGE(F79:F80)</f>
        <v>76</v>
      </c>
      <c r="G81" s="31">
        <f t="shared" ref="G81:Q81" si="25">AVERAGE(G79:G80)</f>
        <v>82</v>
      </c>
      <c r="H81" s="31">
        <f t="shared" si="25"/>
        <v>70.5</v>
      </c>
      <c r="I81" s="31">
        <f t="shared" si="25"/>
        <v>75</v>
      </c>
      <c r="J81" s="31">
        <f t="shared" si="25"/>
        <v>67.5</v>
      </c>
      <c r="K81" s="31">
        <f t="shared" si="25"/>
        <v>90.5</v>
      </c>
      <c r="L81" s="31">
        <f t="shared" si="25"/>
        <v>81.5</v>
      </c>
      <c r="M81" s="31">
        <f t="shared" si="25"/>
        <v>66</v>
      </c>
      <c r="N81" s="31">
        <f t="shared" si="25"/>
        <v>93.5</v>
      </c>
      <c r="O81" s="31">
        <f t="shared" si="25"/>
        <v>97</v>
      </c>
      <c r="P81" s="31">
        <f t="shared" si="25"/>
        <v>799.5</v>
      </c>
      <c r="Q81" s="31">
        <f t="shared" si="25"/>
        <v>79.95</v>
      </c>
      <c r="R81" s="31">
        <f>'11B (N S) Avr'!$I$29</f>
        <v>14</v>
      </c>
      <c r="S81" s="31">
        <f>AVERAGE(S79:S80)</f>
        <v>0</v>
      </c>
      <c r="T81" s="55">
        <f>AVERAGE(T79:T80)</f>
        <v>0</v>
      </c>
      <c r="U81" s="102"/>
    </row>
    <row r="82" spans="1:21" ht="18.95" customHeight="1" x14ac:dyDescent="0.3">
      <c r="A82" s="295">
        <v>27</v>
      </c>
      <c r="B82" s="300"/>
      <c r="C82" s="300">
        <v>16</v>
      </c>
      <c r="D82" s="300" t="s">
        <v>20</v>
      </c>
      <c r="E82" s="32" t="s">
        <v>21</v>
      </c>
      <c r="F82" s="31">
        <f>'11B (N S) Sem1'!E30</f>
        <v>65</v>
      </c>
      <c r="G82" s="31">
        <f>'11B (N S) Sem1'!F30</f>
        <v>71</v>
      </c>
      <c r="H82" s="31">
        <f>'11B (N S) Sem1'!G30</f>
        <v>38</v>
      </c>
      <c r="I82" s="31">
        <f>'11B (N S) Sem1'!H30</f>
        <v>43</v>
      </c>
      <c r="J82" s="31">
        <f>'11B (N S) Sem1'!I30</f>
        <v>48</v>
      </c>
      <c r="K82" s="31">
        <f>'11B (N S) Sem1'!J30</f>
        <v>60</v>
      </c>
      <c r="L82" s="31">
        <f>'11B (N S) Sem1'!K30</f>
        <v>51</v>
      </c>
      <c r="M82" s="31">
        <f>'11B (N S) Sem1'!L30</f>
        <v>72</v>
      </c>
      <c r="N82" s="31">
        <f>'11B (N S) Sem1'!M30</f>
        <v>82</v>
      </c>
      <c r="O82" s="48">
        <f>'11B (N S) Sem1'!N30</f>
        <v>86</v>
      </c>
      <c r="P82" s="31">
        <f>'11B (N S) Sem1'!O30</f>
        <v>616</v>
      </c>
      <c r="Q82" s="30">
        <f>'11B (N S) Sem1'!P30</f>
        <v>61.6</v>
      </c>
      <c r="R82" s="30">
        <f>'11B (N S) Sem1'!Q30</f>
        <v>27</v>
      </c>
      <c r="S82" s="31">
        <f>'11B (N S) Sem1'!R30</f>
        <v>0</v>
      </c>
      <c r="T82" s="55">
        <f>'11B (N S) Sem1'!S30</f>
        <v>0</v>
      </c>
      <c r="U82" s="102"/>
    </row>
    <row r="83" spans="1:21" ht="18.95" customHeight="1" x14ac:dyDescent="0.3">
      <c r="A83" s="295"/>
      <c r="B83" s="293"/>
      <c r="C83" s="293">
        <v>16</v>
      </c>
      <c r="D83" s="293" t="s">
        <v>20</v>
      </c>
      <c r="E83" s="32" t="s">
        <v>22</v>
      </c>
      <c r="F83" s="38">
        <f>'11B (N S) Sem2'!E30</f>
        <v>68</v>
      </c>
      <c r="G83" s="38">
        <f>'11B (N S) Sem2'!F30</f>
        <v>74</v>
      </c>
      <c r="H83" s="38">
        <f>'11B (N S) Sem2'!G30</f>
        <v>37</v>
      </c>
      <c r="I83" s="38">
        <f>'11B (N S) Sem2'!H30</f>
        <v>72</v>
      </c>
      <c r="J83" s="38">
        <f>'11B (N S) Sem2'!I30</f>
        <v>50</v>
      </c>
      <c r="K83" s="38">
        <f>'11B (N S) Sem2'!J30</f>
        <v>82</v>
      </c>
      <c r="L83" s="38">
        <f>'11B (N S) Sem2'!K30</f>
        <v>70</v>
      </c>
      <c r="M83" s="38">
        <f>'11B (N S) Sem2'!L30</f>
        <v>53</v>
      </c>
      <c r="N83" s="38">
        <f>'11B (N S) Sem2'!M30</f>
        <v>87</v>
      </c>
      <c r="O83" s="48">
        <f>'11B (N S) Sem2'!N30</f>
        <v>95</v>
      </c>
      <c r="P83" s="31">
        <f>'11B (N S) Sem2'!O30</f>
        <v>688</v>
      </c>
      <c r="Q83" s="30">
        <f>'11B (N S) Sem2'!P30</f>
        <v>68.8</v>
      </c>
      <c r="R83" s="30">
        <f>'11B (N S) Sem2'!Q30</f>
        <v>27</v>
      </c>
      <c r="S83" s="38">
        <f>'11B (N S) Sem2'!R30</f>
        <v>0</v>
      </c>
      <c r="T83" s="38">
        <f>'11B (N S) Sem2'!S30</f>
        <v>0</v>
      </c>
      <c r="U83" s="102"/>
    </row>
    <row r="84" spans="1:21" ht="18.95" customHeight="1" x14ac:dyDescent="0.3">
      <c r="A84" s="295"/>
      <c r="B84" s="293"/>
      <c r="C84" s="293">
        <v>16</v>
      </c>
      <c r="D84" s="293" t="s">
        <v>20</v>
      </c>
      <c r="E84" s="32" t="s">
        <v>16</v>
      </c>
      <c r="F84" s="38">
        <f>AVERAGE(F82:F83)</f>
        <v>66.5</v>
      </c>
      <c r="G84" s="38">
        <f t="shared" ref="G84:Q84" si="26">AVERAGE(G82:G83)</f>
        <v>72.5</v>
      </c>
      <c r="H84" s="38">
        <f t="shared" si="26"/>
        <v>37.5</v>
      </c>
      <c r="I84" s="38">
        <f t="shared" si="26"/>
        <v>57.5</v>
      </c>
      <c r="J84" s="38">
        <f t="shared" si="26"/>
        <v>49</v>
      </c>
      <c r="K84" s="38">
        <f t="shared" si="26"/>
        <v>71</v>
      </c>
      <c r="L84" s="38">
        <f t="shared" si="26"/>
        <v>60.5</v>
      </c>
      <c r="M84" s="38">
        <f t="shared" si="26"/>
        <v>62.5</v>
      </c>
      <c r="N84" s="38">
        <f t="shared" si="26"/>
        <v>84.5</v>
      </c>
      <c r="O84" s="38">
        <f t="shared" si="26"/>
        <v>90.5</v>
      </c>
      <c r="P84" s="38">
        <f t="shared" si="26"/>
        <v>652</v>
      </c>
      <c r="Q84" s="38">
        <f t="shared" si="26"/>
        <v>65.2</v>
      </c>
      <c r="R84" s="38">
        <f>'11B (N S) Avr'!$I$30</f>
        <v>27</v>
      </c>
      <c r="S84" s="38">
        <f>AVERAGE(S82:S83)</f>
        <v>0</v>
      </c>
      <c r="T84" s="38">
        <f>AVERAGE(T82:T83)</f>
        <v>0</v>
      </c>
      <c r="U84" s="102"/>
    </row>
    <row r="85" spans="1:21" ht="18.95" customHeight="1" x14ac:dyDescent="0.3">
      <c r="A85" s="295">
        <v>28</v>
      </c>
      <c r="B85" s="293"/>
      <c r="C85" s="348">
        <v>16</v>
      </c>
      <c r="D85" s="293" t="s">
        <v>20</v>
      </c>
      <c r="E85" s="32" t="s">
        <v>21</v>
      </c>
      <c r="F85" s="31">
        <f>'11B (N S) Sem1'!E31</f>
        <v>86</v>
      </c>
      <c r="G85" s="31">
        <f>'11B (N S) Sem1'!F31</f>
        <v>81</v>
      </c>
      <c r="H85" s="31">
        <f>'11B (N S) Sem1'!G31</f>
        <v>80</v>
      </c>
      <c r="I85" s="31">
        <f>'11B (N S) Sem1'!H31</f>
        <v>79</v>
      </c>
      <c r="J85" s="31">
        <f>'11B (N S) Sem1'!I31</f>
        <v>76</v>
      </c>
      <c r="K85" s="31">
        <f>'11B (N S) Sem1'!J31</f>
        <v>81</v>
      </c>
      <c r="L85" s="31">
        <f>'11B (N S) Sem1'!K31</f>
        <v>69</v>
      </c>
      <c r="M85" s="31">
        <f>'11B (N S) Sem1'!L31</f>
        <v>85</v>
      </c>
      <c r="N85" s="31">
        <f>'11B (N S) Sem1'!M31</f>
        <v>92</v>
      </c>
      <c r="O85" s="48">
        <f>'11B (N S) Sem1'!N31</f>
        <v>93</v>
      </c>
      <c r="P85" s="31">
        <f>'11B (N S) Sem1'!O31</f>
        <v>822</v>
      </c>
      <c r="Q85" s="30">
        <f>'11B (N S) Sem1'!P31</f>
        <v>82.2</v>
      </c>
      <c r="R85" s="30">
        <f>'11B (N S) Sem1'!Q31</f>
        <v>12</v>
      </c>
      <c r="S85" s="31">
        <f>'11B (N S) Sem1'!R31</f>
        <v>0</v>
      </c>
      <c r="T85" s="38">
        <f>'11B (N S) Sem1'!S31</f>
        <v>0</v>
      </c>
      <c r="U85" s="102"/>
    </row>
    <row r="86" spans="1:21" ht="18.95" customHeight="1" x14ac:dyDescent="0.3">
      <c r="A86" s="295"/>
      <c r="B86" s="293"/>
      <c r="C86" s="348">
        <v>16</v>
      </c>
      <c r="D86" s="293" t="s">
        <v>20</v>
      </c>
      <c r="E86" s="32" t="s">
        <v>22</v>
      </c>
      <c r="F86" s="31">
        <f>'11B (N S) Sem2'!E31</f>
        <v>91</v>
      </c>
      <c r="G86" s="31">
        <f>'11B (N S) Sem2'!F31</f>
        <v>87</v>
      </c>
      <c r="H86" s="31">
        <f>'11B (N S) Sem2'!G31</f>
        <v>94</v>
      </c>
      <c r="I86" s="31">
        <f>'11B (N S) Sem2'!H31</f>
        <v>84</v>
      </c>
      <c r="J86" s="31">
        <f>'11B (N S) Sem2'!I31</f>
        <v>79</v>
      </c>
      <c r="K86" s="31">
        <f>'11B (N S) Sem2'!J31</f>
        <v>94</v>
      </c>
      <c r="L86" s="31">
        <f>'11B (N S) Sem2'!K31</f>
        <v>91</v>
      </c>
      <c r="M86" s="31">
        <f>'11B (N S) Sem2'!L31</f>
        <v>60</v>
      </c>
      <c r="N86" s="31">
        <f>'11B (N S) Sem2'!M31</f>
        <v>95</v>
      </c>
      <c r="O86" s="48">
        <f>'11B (N S) Sem2'!N31</f>
        <v>100</v>
      </c>
      <c r="P86" s="31">
        <f>'11B (N S) Sem2'!O31</f>
        <v>875</v>
      </c>
      <c r="Q86" s="30">
        <f>'11B (N S) Sem2'!P31</f>
        <v>87.5</v>
      </c>
      <c r="R86" s="30">
        <f>'11B (N S) Sem2'!Q31</f>
        <v>9</v>
      </c>
      <c r="S86" s="31">
        <f>'11B (N S) Sem2'!R31</f>
        <v>0</v>
      </c>
      <c r="T86" s="38">
        <f>'11B (N S) Sem2'!S31</f>
        <v>0</v>
      </c>
      <c r="U86" s="102"/>
    </row>
    <row r="87" spans="1:21" ht="18.95" customHeight="1" x14ac:dyDescent="0.3">
      <c r="A87" s="295"/>
      <c r="B87" s="293"/>
      <c r="C87" s="348">
        <v>16</v>
      </c>
      <c r="D87" s="293" t="s">
        <v>20</v>
      </c>
      <c r="E87" s="32" t="s">
        <v>16</v>
      </c>
      <c r="F87" s="31">
        <f>AVERAGE(F85:F86)</f>
        <v>88.5</v>
      </c>
      <c r="G87" s="31">
        <f t="shared" ref="G87:Q87" si="27">AVERAGE(G85:G86)</f>
        <v>84</v>
      </c>
      <c r="H87" s="31">
        <f t="shared" si="27"/>
        <v>87</v>
      </c>
      <c r="I87" s="31">
        <f t="shared" si="27"/>
        <v>81.5</v>
      </c>
      <c r="J87" s="31">
        <f t="shared" si="27"/>
        <v>77.5</v>
      </c>
      <c r="K87" s="31">
        <f t="shared" si="27"/>
        <v>87.5</v>
      </c>
      <c r="L87" s="31">
        <f t="shared" si="27"/>
        <v>80</v>
      </c>
      <c r="M87" s="31">
        <f t="shared" si="27"/>
        <v>72.5</v>
      </c>
      <c r="N87" s="31">
        <f t="shared" si="27"/>
        <v>93.5</v>
      </c>
      <c r="O87" s="31">
        <f t="shared" si="27"/>
        <v>96.5</v>
      </c>
      <c r="P87" s="31">
        <f t="shared" si="27"/>
        <v>848.5</v>
      </c>
      <c r="Q87" s="31">
        <f t="shared" si="27"/>
        <v>84.85</v>
      </c>
      <c r="R87" s="31">
        <f>'11B (N S) Avr'!$I$31</f>
        <v>10</v>
      </c>
      <c r="S87" s="31">
        <f>AVERAGE(S85:S86)</f>
        <v>0</v>
      </c>
      <c r="T87" s="38">
        <f>AVERAGE(T85:T86)</f>
        <v>0</v>
      </c>
      <c r="U87" s="102"/>
    </row>
    <row r="88" spans="1:21" ht="23.25" customHeight="1" x14ac:dyDescent="0.3">
      <c r="A88" s="295">
        <v>29</v>
      </c>
      <c r="B88" s="293"/>
      <c r="C88" s="293">
        <v>16</v>
      </c>
      <c r="D88" s="293" t="s">
        <v>20</v>
      </c>
      <c r="E88" s="32" t="s">
        <v>21</v>
      </c>
      <c r="F88" s="31">
        <f>'11B (N S) Sem1'!E32</f>
        <v>79</v>
      </c>
      <c r="G88" s="31">
        <f>'11B (N S) Sem1'!F32</f>
        <v>67</v>
      </c>
      <c r="H88" s="31">
        <f>'11B (N S) Sem1'!G32</f>
        <v>68</v>
      </c>
      <c r="I88" s="31">
        <f>'11B (N S) Sem1'!H32</f>
        <v>53</v>
      </c>
      <c r="J88" s="31">
        <f>'11B (N S) Sem1'!I32</f>
        <v>50</v>
      </c>
      <c r="K88" s="31">
        <f>'11B (N S) Sem1'!J32</f>
        <v>64</v>
      </c>
      <c r="L88" s="31">
        <f>'11B (N S) Sem1'!K32</f>
        <v>58</v>
      </c>
      <c r="M88" s="31">
        <f>'11B (N S) Sem1'!L32</f>
        <v>83</v>
      </c>
      <c r="N88" s="31">
        <f>'11B (N S) Sem1'!M32</f>
        <v>89</v>
      </c>
      <c r="O88" s="48">
        <f>'11B (N S) Sem1'!N32</f>
        <v>91</v>
      </c>
      <c r="P88" s="31">
        <f>'11B (N S) Sem1'!O32</f>
        <v>702</v>
      </c>
      <c r="Q88" s="30">
        <f>'11B (N S) Sem1'!P32</f>
        <v>70.2</v>
      </c>
      <c r="R88" s="30">
        <f>'11B (N S) Sem1'!Q32</f>
        <v>24</v>
      </c>
      <c r="S88" s="31">
        <f>'11B (N S) Sem1'!R32</f>
        <v>0</v>
      </c>
      <c r="T88" s="38">
        <f>'11B (N S) Sem1'!S32</f>
        <v>0</v>
      </c>
      <c r="U88" s="102"/>
    </row>
    <row r="89" spans="1:21" ht="21" customHeight="1" x14ac:dyDescent="0.3">
      <c r="A89" s="295"/>
      <c r="B89" s="293"/>
      <c r="C89" s="293">
        <v>16</v>
      </c>
      <c r="D89" s="293" t="s">
        <v>20</v>
      </c>
      <c r="E89" s="32" t="s">
        <v>22</v>
      </c>
      <c r="F89" s="38">
        <f>'11B (N S) Sem2'!E32</f>
        <v>89</v>
      </c>
      <c r="G89" s="38">
        <f>'11B (N S) Sem2'!F32</f>
        <v>65</v>
      </c>
      <c r="H89" s="38">
        <f>'11B (N S) Sem2'!G32</f>
        <v>55</v>
      </c>
      <c r="I89" s="38">
        <f>'11B (N S) Sem2'!H32</f>
        <v>60</v>
      </c>
      <c r="J89" s="38">
        <f>'11B (N S) Sem2'!I32</f>
        <v>53</v>
      </c>
      <c r="K89" s="38">
        <f>'11B (N S) Sem2'!J32</f>
        <v>69</v>
      </c>
      <c r="L89" s="38">
        <f>'11B (N S) Sem2'!K32</f>
        <v>69</v>
      </c>
      <c r="M89" s="38">
        <f>'11B (N S) Sem2'!L32</f>
        <v>86</v>
      </c>
      <c r="N89" s="38">
        <f>'11B (N S) Sem2'!M32</f>
        <v>93</v>
      </c>
      <c r="O89" s="48">
        <f>'11B (N S) Sem2'!N32</f>
        <v>95</v>
      </c>
      <c r="P89" s="31">
        <f>'11B (N S) Sem2'!O32</f>
        <v>734</v>
      </c>
      <c r="Q89" s="30">
        <f>'11B (N S) Sem2'!P32</f>
        <v>73.400000000000006</v>
      </c>
      <c r="R89" s="30">
        <f>'11B (N S) Sem2'!Q32</f>
        <v>23</v>
      </c>
      <c r="S89" s="38">
        <f>'11B (N S) Sem2'!R32</f>
        <v>0</v>
      </c>
      <c r="T89" s="38">
        <f>'11B (N S) Sem2'!S32</f>
        <v>0</v>
      </c>
      <c r="U89" s="102"/>
    </row>
    <row r="90" spans="1:21" ht="17.25" x14ac:dyDescent="0.3">
      <c r="A90" s="295"/>
      <c r="B90" s="293"/>
      <c r="C90" s="293">
        <v>16</v>
      </c>
      <c r="D90" s="293" t="s">
        <v>20</v>
      </c>
      <c r="E90" s="32" t="s">
        <v>16</v>
      </c>
      <c r="F90" s="38">
        <f>AVERAGE(F88:F89)</f>
        <v>84</v>
      </c>
      <c r="G90" s="38">
        <f t="shared" ref="G90:Q90" si="28">AVERAGE(G88:G89)</f>
        <v>66</v>
      </c>
      <c r="H90" s="38">
        <f t="shared" si="28"/>
        <v>61.5</v>
      </c>
      <c r="I90" s="38">
        <f t="shared" si="28"/>
        <v>56.5</v>
      </c>
      <c r="J90" s="38">
        <f t="shared" si="28"/>
        <v>51.5</v>
      </c>
      <c r="K90" s="38">
        <f t="shared" si="28"/>
        <v>66.5</v>
      </c>
      <c r="L90" s="38">
        <f t="shared" si="28"/>
        <v>63.5</v>
      </c>
      <c r="M90" s="38">
        <f t="shared" si="28"/>
        <v>84.5</v>
      </c>
      <c r="N90" s="38">
        <f t="shared" si="28"/>
        <v>91</v>
      </c>
      <c r="O90" s="38">
        <f t="shared" si="28"/>
        <v>93</v>
      </c>
      <c r="P90" s="38">
        <f t="shared" si="28"/>
        <v>718</v>
      </c>
      <c r="Q90" s="38">
        <f t="shared" si="28"/>
        <v>71.800000000000011</v>
      </c>
      <c r="R90" s="38">
        <f>'11B (N S) Avr'!$I$32</f>
        <v>24</v>
      </c>
      <c r="S90" s="38">
        <f>AVERAGE(S88:S89)</f>
        <v>0</v>
      </c>
      <c r="T90" s="38">
        <f>AVERAGE(T88:T89)</f>
        <v>0</v>
      </c>
      <c r="U90" s="102"/>
    </row>
    <row r="91" spans="1:21" ht="18.75" customHeight="1" x14ac:dyDescent="0.3">
      <c r="A91" s="295">
        <v>30</v>
      </c>
      <c r="B91" s="293"/>
      <c r="C91" s="293">
        <v>18</v>
      </c>
      <c r="D91" s="293" t="s">
        <v>20</v>
      </c>
      <c r="E91" s="32" t="s">
        <v>21</v>
      </c>
      <c r="F91" s="31">
        <f>'11B (N S) Sem1'!E33</f>
        <v>89</v>
      </c>
      <c r="G91" s="31">
        <f>'11B (N S) Sem1'!F33</f>
        <v>86</v>
      </c>
      <c r="H91" s="31">
        <f>'11B (N S) Sem1'!G33</f>
        <v>97</v>
      </c>
      <c r="I91" s="31">
        <f>'11B (N S) Sem1'!H33</f>
        <v>84</v>
      </c>
      <c r="J91" s="31">
        <f>'11B (N S) Sem1'!I33</f>
        <v>83</v>
      </c>
      <c r="K91" s="31">
        <f>'11B (N S) Sem1'!J33</f>
        <v>95</v>
      </c>
      <c r="L91" s="31">
        <f>'11B (N S) Sem1'!K33</f>
        <v>79</v>
      </c>
      <c r="M91" s="31">
        <f>'11B (N S) Sem1'!L33</f>
        <v>100</v>
      </c>
      <c r="N91" s="31">
        <f>'11B (N S) Sem1'!M33</f>
        <v>98</v>
      </c>
      <c r="O91" s="48">
        <f>'11B (N S) Sem1'!N33</f>
        <v>94</v>
      </c>
      <c r="P91" s="31">
        <f>'11B (N S) Sem1'!O33</f>
        <v>905</v>
      </c>
      <c r="Q91" s="30">
        <f>'11B (N S) Sem1'!P33</f>
        <v>90.5</v>
      </c>
      <c r="R91" s="30">
        <f>'11B (N S) Sem1'!Q33</f>
        <v>6</v>
      </c>
      <c r="S91" s="31">
        <f>'11B (N S) Sem1'!R33</f>
        <v>0</v>
      </c>
      <c r="T91" s="38">
        <f>'11B (N S) Sem1'!S33</f>
        <v>0</v>
      </c>
      <c r="U91" s="102"/>
    </row>
    <row r="92" spans="1:21" ht="20.25" customHeight="1" x14ac:dyDescent="0.3">
      <c r="A92" s="295"/>
      <c r="B92" s="293"/>
      <c r="C92" s="293">
        <v>18</v>
      </c>
      <c r="D92" s="293" t="s">
        <v>20</v>
      </c>
      <c r="E92" s="32" t="s">
        <v>22</v>
      </c>
      <c r="F92" s="31">
        <f>'11B (N S) Sem2'!E33</f>
        <v>91</v>
      </c>
      <c r="G92" s="31">
        <f>'11B (N S) Sem2'!F33</f>
        <v>85</v>
      </c>
      <c r="H92" s="31">
        <f>'11B (N S) Sem2'!G33</f>
        <v>80</v>
      </c>
      <c r="I92" s="31">
        <f>'11B (N S) Sem2'!H33</f>
        <v>85</v>
      </c>
      <c r="J92" s="31">
        <f>'11B (N S) Sem2'!I33</f>
        <v>81</v>
      </c>
      <c r="K92" s="31">
        <f>'11B (N S) Sem2'!J33</f>
        <v>91</v>
      </c>
      <c r="L92" s="31">
        <f>'11B (N S) Sem2'!K33</f>
        <v>75</v>
      </c>
      <c r="M92" s="31">
        <f>'11B (N S) Sem2'!L33</f>
        <v>100</v>
      </c>
      <c r="N92" s="31">
        <f>'11B (N S) Sem2'!M33</f>
        <v>100</v>
      </c>
      <c r="O92" s="48">
        <f>'11B (N S) Sem2'!N33</f>
        <v>99</v>
      </c>
      <c r="P92" s="31">
        <f>'11B (N S) Sem2'!O33</f>
        <v>887</v>
      </c>
      <c r="Q92" s="30">
        <f>'11B (N S) Sem2'!P33</f>
        <v>88.7</v>
      </c>
      <c r="R92" s="30">
        <f>'11B (N S) Sem2'!Q33</f>
        <v>6</v>
      </c>
      <c r="S92" s="31">
        <f>'11B (N S) Sem2'!R33</f>
        <v>0</v>
      </c>
      <c r="T92" s="38">
        <f>'11B (N S) Sem2'!S33</f>
        <v>0</v>
      </c>
      <c r="U92" s="102"/>
    </row>
    <row r="93" spans="1:21" ht="20.25" customHeight="1" x14ac:dyDescent="0.3">
      <c r="A93" s="295"/>
      <c r="B93" s="293"/>
      <c r="C93" s="293">
        <v>18</v>
      </c>
      <c r="D93" s="293" t="s">
        <v>20</v>
      </c>
      <c r="E93" s="32" t="s">
        <v>16</v>
      </c>
      <c r="F93" s="31">
        <f>AVERAGE(F91:F92)</f>
        <v>90</v>
      </c>
      <c r="G93" s="31">
        <f t="shared" ref="G93:Q93" si="29">AVERAGE(G91:G92)</f>
        <v>85.5</v>
      </c>
      <c r="H93" s="31">
        <f t="shared" si="29"/>
        <v>88.5</v>
      </c>
      <c r="I93" s="31">
        <f t="shared" si="29"/>
        <v>84.5</v>
      </c>
      <c r="J93" s="31">
        <f t="shared" si="29"/>
        <v>82</v>
      </c>
      <c r="K93" s="31">
        <f t="shared" si="29"/>
        <v>93</v>
      </c>
      <c r="L93" s="31">
        <f t="shared" si="29"/>
        <v>77</v>
      </c>
      <c r="M93" s="31">
        <f t="shared" si="29"/>
        <v>100</v>
      </c>
      <c r="N93" s="31">
        <f t="shared" si="29"/>
        <v>99</v>
      </c>
      <c r="O93" s="31">
        <f t="shared" si="29"/>
        <v>96.5</v>
      </c>
      <c r="P93" s="31">
        <f t="shared" si="29"/>
        <v>896</v>
      </c>
      <c r="Q93" s="31">
        <f t="shared" si="29"/>
        <v>89.6</v>
      </c>
      <c r="R93" s="31">
        <f>'11B (N S) Avr'!$I$33</f>
        <v>6</v>
      </c>
      <c r="S93" s="31">
        <f>AVERAGE(S91:S92)</f>
        <v>0</v>
      </c>
      <c r="T93" s="38">
        <f>AVERAGE(T91:T92)</f>
        <v>0</v>
      </c>
      <c r="U93" s="102"/>
    </row>
  </sheetData>
  <mergeCells count="122">
    <mergeCell ref="A91:A93"/>
    <mergeCell ref="B91:B93"/>
    <mergeCell ref="C91:C93"/>
    <mergeCell ref="D91:D93"/>
    <mergeCell ref="A85:A87"/>
    <mergeCell ref="B85:B87"/>
    <mergeCell ref="C85:C87"/>
    <mergeCell ref="D85:D87"/>
    <mergeCell ref="A88:A90"/>
    <mergeCell ref="B88:B90"/>
    <mergeCell ref="C88:C90"/>
    <mergeCell ref="D88:D90"/>
    <mergeCell ref="A79:A81"/>
    <mergeCell ref="B79:B81"/>
    <mergeCell ref="C79:C81"/>
    <mergeCell ref="D79:D81"/>
    <mergeCell ref="A82:A84"/>
    <mergeCell ref="B82:B84"/>
    <mergeCell ref="C82:C84"/>
    <mergeCell ref="D82:D84"/>
    <mergeCell ref="A73:A75"/>
    <mergeCell ref="B73:B75"/>
    <mergeCell ref="C73:C75"/>
    <mergeCell ref="D73:D75"/>
    <mergeCell ref="A76:A78"/>
    <mergeCell ref="B76:B78"/>
    <mergeCell ref="C76:C78"/>
    <mergeCell ref="D76:D78"/>
    <mergeCell ref="A67:A69"/>
    <mergeCell ref="B67:B69"/>
    <mergeCell ref="C67:C69"/>
    <mergeCell ref="D67:D69"/>
    <mergeCell ref="A70:A72"/>
    <mergeCell ref="B70:B72"/>
    <mergeCell ref="C70:C72"/>
    <mergeCell ref="D70:D72"/>
    <mergeCell ref="A61:A63"/>
    <mergeCell ref="B61:B63"/>
    <mergeCell ref="C61:C63"/>
    <mergeCell ref="D61:D63"/>
    <mergeCell ref="A64:A66"/>
    <mergeCell ref="B64:B66"/>
    <mergeCell ref="C64:C66"/>
    <mergeCell ref="D64:D66"/>
    <mergeCell ref="A55:A57"/>
    <mergeCell ref="B55:B57"/>
    <mergeCell ref="C55:C57"/>
    <mergeCell ref="D55:D57"/>
    <mergeCell ref="A58:A60"/>
    <mergeCell ref="B58:B60"/>
    <mergeCell ref="C58:C60"/>
    <mergeCell ref="D58:D60"/>
    <mergeCell ref="A49:A51"/>
    <mergeCell ref="B49:B51"/>
    <mergeCell ref="C49:C51"/>
    <mergeCell ref="D49:D51"/>
    <mergeCell ref="A52:A54"/>
    <mergeCell ref="B52:B54"/>
    <mergeCell ref="C52:C54"/>
    <mergeCell ref="D52:D54"/>
    <mergeCell ref="A43:A45"/>
    <mergeCell ref="B43:B45"/>
    <mergeCell ref="C43:C45"/>
    <mergeCell ref="D43:D45"/>
    <mergeCell ref="A46:A48"/>
    <mergeCell ref="B46:B48"/>
    <mergeCell ref="C46:C48"/>
    <mergeCell ref="D46:D48"/>
    <mergeCell ref="A37:A39"/>
    <mergeCell ref="B37:B39"/>
    <mergeCell ref="C37:C39"/>
    <mergeCell ref="D37:D39"/>
    <mergeCell ref="A40:A42"/>
    <mergeCell ref="B40:B42"/>
    <mergeCell ref="C40:C42"/>
    <mergeCell ref="D40:D42"/>
    <mergeCell ref="A31:A33"/>
    <mergeCell ref="B31:B33"/>
    <mergeCell ref="C31:C33"/>
    <mergeCell ref="D31:D33"/>
    <mergeCell ref="A34:A36"/>
    <mergeCell ref="B34:B36"/>
    <mergeCell ref="C34:C36"/>
    <mergeCell ref="D34:D36"/>
    <mergeCell ref="A25:A27"/>
    <mergeCell ref="B25:B27"/>
    <mergeCell ref="C25:C27"/>
    <mergeCell ref="D25:D27"/>
    <mergeCell ref="A28:A30"/>
    <mergeCell ref="B28:B30"/>
    <mergeCell ref="C28:C30"/>
    <mergeCell ref="D28:D30"/>
    <mergeCell ref="A19:A21"/>
    <mergeCell ref="B19:B21"/>
    <mergeCell ref="C19:C21"/>
    <mergeCell ref="D19:D21"/>
    <mergeCell ref="A22:A24"/>
    <mergeCell ref="B22:B24"/>
    <mergeCell ref="C22:C24"/>
    <mergeCell ref="D22:D24"/>
    <mergeCell ref="A13:A15"/>
    <mergeCell ref="B13:B15"/>
    <mergeCell ref="C13:C15"/>
    <mergeCell ref="D13:D15"/>
    <mergeCell ref="A16:A18"/>
    <mergeCell ref="B16:B18"/>
    <mergeCell ref="C16:C18"/>
    <mergeCell ref="D16:D18"/>
    <mergeCell ref="A7:A9"/>
    <mergeCell ref="B7:B9"/>
    <mergeCell ref="C7:C9"/>
    <mergeCell ref="D7:D9"/>
    <mergeCell ref="A10:A12"/>
    <mergeCell ref="B10:B12"/>
    <mergeCell ref="C10:C12"/>
    <mergeCell ref="D10:D12"/>
    <mergeCell ref="A1:T1"/>
    <mergeCell ref="A2:T2"/>
    <mergeCell ref="A4:A6"/>
    <mergeCell ref="B4:B6"/>
    <mergeCell ref="C4:C6"/>
    <mergeCell ref="D4:D6"/>
  </mergeCells>
  <pageMargins left="0.7" right="0.7" top="0.75" bottom="0.75" header="0.3" footer="0.3"/>
  <pageSetup paperSize="9" scale="76" fitToHeight="0" orientation="landscape" r:id="rId1"/>
  <ignoredErrors>
    <ignoredError sqref="R4:R93" formula="1"/>
  </ignoredError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99"/>
  <sheetViews>
    <sheetView workbookViewId="0">
      <selection activeCell="B4" sqref="B4:B33"/>
    </sheetView>
  </sheetViews>
  <sheetFormatPr defaultRowHeight="15" x14ac:dyDescent="0.25"/>
  <cols>
    <col min="1" max="1" width="4.85546875" customWidth="1"/>
    <col min="2" max="2" width="37.140625" customWidth="1"/>
    <col min="3" max="3" width="6.140625" customWidth="1"/>
    <col min="4" max="4" width="4.85546875" customWidth="1"/>
    <col min="5" max="19" width="7.7109375" customWidth="1"/>
    <col min="20" max="20" width="38.28515625" customWidth="1"/>
    <col min="21" max="22" width="4.85546875" customWidth="1"/>
  </cols>
  <sheetData>
    <row r="1" spans="1:22" ht="20.25" customHeight="1" thickBot="1" x14ac:dyDescent="0.3">
      <c r="A1" s="341" t="s">
        <v>57</v>
      </c>
      <c r="B1" s="342"/>
      <c r="C1" s="342"/>
      <c r="D1" s="342"/>
      <c r="E1" s="342"/>
      <c r="F1" s="342"/>
      <c r="G1" s="342"/>
      <c r="H1" s="342"/>
      <c r="I1" s="342"/>
      <c r="J1" s="342"/>
      <c r="K1" s="342"/>
      <c r="L1" s="342"/>
      <c r="M1" s="342"/>
      <c r="N1" s="342"/>
      <c r="O1" s="342"/>
      <c r="P1" s="342"/>
      <c r="Q1" s="342"/>
      <c r="R1" s="342"/>
      <c r="S1" s="343"/>
      <c r="T1" s="46"/>
    </row>
    <row r="2" spans="1:22" ht="15.75" customHeight="1" thickBot="1" x14ac:dyDescent="0.3">
      <c r="A2" s="345" t="s">
        <v>74</v>
      </c>
      <c r="B2" s="345"/>
      <c r="C2" s="345"/>
      <c r="D2" s="345"/>
      <c r="E2" s="345"/>
      <c r="F2" s="345"/>
      <c r="G2" s="345"/>
      <c r="H2" s="345"/>
      <c r="I2" s="345"/>
      <c r="J2" s="345"/>
      <c r="K2" s="345"/>
      <c r="L2" s="345"/>
      <c r="M2" s="345"/>
      <c r="N2" s="345"/>
      <c r="O2" s="345"/>
      <c r="P2" s="345"/>
      <c r="Q2" s="345"/>
      <c r="R2" s="345"/>
      <c r="S2" s="344"/>
      <c r="T2" s="46"/>
    </row>
    <row r="3" spans="1:22" ht="54.75" customHeight="1" x14ac:dyDescent="0.25">
      <c r="A3" s="49" t="s">
        <v>0</v>
      </c>
      <c r="B3" s="71" t="s">
        <v>1</v>
      </c>
      <c r="C3" s="71" t="s">
        <v>2</v>
      </c>
      <c r="D3" s="71" t="s">
        <v>3</v>
      </c>
      <c r="E3" s="96" t="s">
        <v>4</v>
      </c>
      <c r="F3" s="96" t="s">
        <v>5</v>
      </c>
      <c r="G3" s="96" t="s">
        <v>6</v>
      </c>
      <c r="H3" s="96" t="s">
        <v>7</v>
      </c>
      <c r="I3" s="96" t="s">
        <v>8</v>
      </c>
      <c r="J3" s="96" t="s">
        <v>9</v>
      </c>
      <c r="K3" s="96" t="s">
        <v>12</v>
      </c>
      <c r="L3" s="96" t="s">
        <v>31</v>
      </c>
      <c r="M3" s="96" t="s">
        <v>13</v>
      </c>
      <c r="N3" s="96" t="s">
        <v>14</v>
      </c>
      <c r="O3" s="96" t="s">
        <v>15</v>
      </c>
      <c r="P3" s="96" t="s">
        <v>16</v>
      </c>
      <c r="Q3" s="96" t="s">
        <v>17</v>
      </c>
      <c r="R3" s="96" t="s">
        <v>18</v>
      </c>
      <c r="S3" s="97" t="s">
        <v>19</v>
      </c>
    </row>
    <row r="4" spans="1:22" ht="20.100000000000001" customHeight="1" x14ac:dyDescent="0.25">
      <c r="A4" s="120">
        <v>1</v>
      </c>
      <c r="B4" s="142"/>
      <c r="C4" s="156">
        <v>18</v>
      </c>
      <c r="D4" s="156" t="s">
        <v>20</v>
      </c>
      <c r="E4" s="155">
        <v>59</v>
      </c>
      <c r="F4" s="47">
        <v>50</v>
      </c>
      <c r="G4" s="47">
        <v>41</v>
      </c>
      <c r="H4" s="47">
        <v>48</v>
      </c>
      <c r="I4" s="47">
        <v>41</v>
      </c>
      <c r="J4" s="47">
        <v>56</v>
      </c>
      <c r="K4" s="47">
        <v>49</v>
      </c>
      <c r="L4" s="47">
        <v>69</v>
      </c>
      <c r="M4" s="47">
        <v>68</v>
      </c>
      <c r="N4" s="100">
        <v>81</v>
      </c>
      <c r="O4" s="47">
        <f>SUM(E4:N4)</f>
        <v>562</v>
      </c>
      <c r="P4" s="85">
        <f>AVERAGE(E4:N4)</f>
        <v>56.2</v>
      </c>
      <c r="Q4" s="85">
        <f>RANK(P4,$P$4:$P$33)</f>
        <v>29</v>
      </c>
      <c r="R4" s="47"/>
      <c r="S4" s="101"/>
    </row>
    <row r="5" spans="1:22" ht="20.100000000000001" customHeight="1" x14ac:dyDescent="0.25">
      <c r="A5" s="120">
        <v>2</v>
      </c>
      <c r="B5" s="142"/>
      <c r="C5" s="156">
        <v>16</v>
      </c>
      <c r="D5" s="156" t="s">
        <v>20</v>
      </c>
      <c r="E5" s="155">
        <v>86</v>
      </c>
      <c r="F5" s="47">
        <v>90</v>
      </c>
      <c r="G5" s="47">
        <v>100</v>
      </c>
      <c r="H5" s="47">
        <v>98</v>
      </c>
      <c r="I5" s="47">
        <v>97</v>
      </c>
      <c r="J5" s="47">
        <v>99</v>
      </c>
      <c r="K5" s="47">
        <v>87</v>
      </c>
      <c r="L5" s="47">
        <v>97</v>
      </c>
      <c r="M5" s="47">
        <v>96</v>
      </c>
      <c r="N5" s="100">
        <v>99</v>
      </c>
      <c r="O5" s="47">
        <f t="shared" ref="O5:O33" si="0">SUM(E5:N5)</f>
        <v>949</v>
      </c>
      <c r="P5" s="85">
        <f t="shared" ref="P5:P33" si="1">AVERAGE(E5:N5)</f>
        <v>94.9</v>
      </c>
      <c r="Q5" s="85">
        <f t="shared" ref="Q5:Q33" si="2">RANK(P5,$P$4:$P$33)</f>
        <v>2</v>
      </c>
      <c r="R5" s="47"/>
      <c r="S5" s="101"/>
    </row>
    <row r="6" spans="1:22" ht="20.100000000000001" customHeight="1" x14ac:dyDescent="0.25">
      <c r="A6" s="120">
        <v>3</v>
      </c>
      <c r="B6" s="142"/>
      <c r="C6" s="156">
        <v>16</v>
      </c>
      <c r="D6" s="156" t="s">
        <v>20</v>
      </c>
      <c r="E6" s="155">
        <v>89</v>
      </c>
      <c r="F6" s="47">
        <v>92</v>
      </c>
      <c r="G6" s="47">
        <v>94</v>
      </c>
      <c r="H6" s="47">
        <v>100</v>
      </c>
      <c r="I6" s="47">
        <v>100</v>
      </c>
      <c r="J6" s="47">
        <v>93</v>
      </c>
      <c r="K6" s="47">
        <v>90</v>
      </c>
      <c r="L6" s="47">
        <v>92</v>
      </c>
      <c r="M6" s="47">
        <v>95</v>
      </c>
      <c r="N6" s="100">
        <v>98</v>
      </c>
      <c r="O6" s="47">
        <f t="shared" si="0"/>
        <v>943</v>
      </c>
      <c r="P6" s="85">
        <f t="shared" si="1"/>
        <v>94.3</v>
      </c>
      <c r="Q6" s="85">
        <f t="shared" si="2"/>
        <v>3</v>
      </c>
      <c r="R6" s="47"/>
      <c r="S6" s="101"/>
    </row>
    <row r="7" spans="1:22" ht="20.100000000000001" customHeight="1" x14ac:dyDescent="0.25">
      <c r="A7" s="120">
        <v>4</v>
      </c>
      <c r="B7" s="142"/>
      <c r="C7" s="156">
        <v>16</v>
      </c>
      <c r="D7" s="156" t="s">
        <v>20</v>
      </c>
      <c r="E7" s="155">
        <v>87</v>
      </c>
      <c r="F7" s="47">
        <v>91</v>
      </c>
      <c r="G7" s="47">
        <v>85</v>
      </c>
      <c r="H7" s="47">
        <v>79</v>
      </c>
      <c r="I7" s="47">
        <v>82</v>
      </c>
      <c r="J7" s="47">
        <v>93</v>
      </c>
      <c r="K7" s="47">
        <v>85</v>
      </c>
      <c r="L7" s="47">
        <v>79</v>
      </c>
      <c r="M7" s="47">
        <v>92</v>
      </c>
      <c r="N7" s="100">
        <v>97</v>
      </c>
      <c r="O7" s="47">
        <f t="shared" si="0"/>
        <v>870</v>
      </c>
      <c r="P7" s="85">
        <f t="shared" si="1"/>
        <v>87</v>
      </c>
      <c r="Q7" s="85">
        <f t="shared" si="2"/>
        <v>7</v>
      </c>
      <c r="R7" s="47"/>
      <c r="S7" s="101"/>
    </row>
    <row r="8" spans="1:22" ht="20.100000000000001" customHeight="1" x14ac:dyDescent="0.25">
      <c r="A8" s="120">
        <v>5</v>
      </c>
      <c r="B8" s="142"/>
      <c r="C8" s="156">
        <v>17</v>
      </c>
      <c r="D8" s="156" t="s">
        <v>23</v>
      </c>
      <c r="E8" s="155">
        <v>70</v>
      </c>
      <c r="F8" s="47">
        <v>69</v>
      </c>
      <c r="G8" s="47">
        <v>53</v>
      </c>
      <c r="H8" s="47">
        <v>59</v>
      </c>
      <c r="I8" s="47">
        <v>61</v>
      </c>
      <c r="J8" s="47">
        <v>75</v>
      </c>
      <c r="K8" s="47">
        <v>67</v>
      </c>
      <c r="L8" s="47">
        <v>91</v>
      </c>
      <c r="M8" s="47">
        <v>78</v>
      </c>
      <c r="N8" s="100">
        <v>91</v>
      </c>
      <c r="O8" s="47">
        <f t="shared" si="0"/>
        <v>714</v>
      </c>
      <c r="P8" s="85">
        <f t="shared" si="1"/>
        <v>71.400000000000006</v>
      </c>
      <c r="Q8" s="85">
        <f t="shared" si="2"/>
        <v>22</v>
      </c>
      <c r="R8" s="47"/>
      <c r="S8" s="101"/>
      <c r="T8" s="9"/>
      <c r="U8" s="9"/>
      <c r="V8" s="9"/>
    </row>
    <row r="9" spans="1:22" ht="20.100000000000001" customHeight="1" x14ac:dyDescent="0.25">
      <c r="A9" s="120">
        <v>6</v>
      </c>
      <c r="B9" s="142"/>
      <c r="C9" s="156">
        <v>16</v>
      </c>
      <c r="D9" s="156" t="s">
        <v>23</v>
      </c>
      <c r="E9" s="211"/>
      <c r="F9" s="212"/>
      <c r="G9" s="212"/>
      <c r="H9" s="212"/>
      <c r="I9" s="212"/>
      <c r="J9" s="212"/>
      <c r="K9" s="212"/>
      <c r="L9" s="212"/>
      <c r="M9" s="212"/>
      <c r="N9" s="213"/>
      <c r="O9" s="47"/>
      <c r="P9" s="85"/>
      <c r="Q9" s="85"/>
      <c r="R9" s="47"/>
      <c r="S9" s="101"/>
      <c r="T9" s="9"/>
      <c r="U9" s="9"/>
      <c r="V9" s="9"/>
    </row>
    <row r="10" spans="1:22" ht="20.100000000000001" customHeight="1" x14ac:dyDescent="0.25">
      <c r="A10" s="120">
        <v>7</v>
      </c>
      <c r="B10" s="142"/>
      <c r="C10" s="156">
        <v>16</v>
      </c>
      <c r="D10" s="156" t="s">
        <v>23</v>
      </c>
      <c r="E10" s="155">
        <v>76</v>
      </c>
      <c r="F10" s="47">
        <v>90</v>
      </c>
      <c r="G10" s="47">
        <v>45</v>
      </c>
      <c r="H10" s="47">
        <v>48</v>
      </c>
      <c r="I10" s="47">
        <v>53</v>
      </c>
      <c r="J10" s="47">
        <v>70</v>
      </c>
      <c r="K10" s="47">
        <v>76</v>
      </c>
      <c r="L10" s="47">
        <v>89</v>
      </c>
      <c r="M10" s="47">
        <v>92</v>
      </c>
      <c r="N10" s="100">
        <v>85</v>
      </c>
      <c r="O10" s="47">
        <f t="shared" si="0"/>
        <v>724</v>
      </c>
      <c r="P10" s="85">
        <f t="shared" si="1"/>
        <v>72.400000000000006</v>
      </c>
      <c r="Q10" s="85">
        <f t="shared" si="2"/>
        <v>20</v>
      </c>
      <c r="R10" s="47"/>
      <c r="S10" s="101"/>
      <c r="T10" s="9"/>
      <c r="U10" s="9"/>
      <c r="V10" s="9"/>
    </row>
    <row r="11" spans="1:22" ht="20.100000000000001" customHeight="1" x14ac:dyDescent="0.25">
      <c r="A11" s="120">
        <v>8</v>
      </c>
      <c r="B11" s="142"/>
      <c r="C11" s="156">
        <v>16</v>
      </c>
      <c r="D11" s="156" t="s">
        <v>23</v>
      </c>
      <c r="E11" s="155">
        <v>79</v>
      </c>
      <c r="F11" s="47">
        <v>74</v>
      </c>
      <c r="G11" s="47">
        <v>66</v>
      </c>
      <c r="H11" s="47">
        <v>69</v>
      </c>
      <c r="I11" s="47">
        <v>54</v>
      </c>
      <c r="J11" s="47">
        <v>66</v>
      </c>
      <c r="K11" s="47">
        <v>59</v>
      </c>
      <c r="L11" s="47">
        <v>94</v>
      </c>
      <c r="M11" s="47">
        <v>90</v>
      </c>
      <c r="N11" s="100">
        <v>86</v>
      </c>
      <c r="O11" s="47">
        <f t="shared" si="0"/>
        <v>737</v>
      </c>
      <c r="P11" s="85">
        <f t="shared" si="1"/>
        <v>73.7</v>
      </c>
      <c r="Q11" s="85">
        <f t="shared" si="2"/>
        <v>16</v>
      </c>
      <c r="R11" s="47"/>
      <c r="S11" s="101"/>
      <c r="T11" s="9"/>
      <c r="U11" s="9"/>
      <c r="V11" s="9"/>
    </row>
    <row r="12" spans="1:22" ht="20.100000000000001" customHeight="1" x14ac:dyDescent="0.25">
      <c r="A12" s="120">
        <v>9</v>
      </c>
      <c r="B12" s="142"/>
      <c r="C12" s="156">
        <v>16</v>
      </c>
      <c r="D12" s="156" t="s">
        <v>23</v>
      </c>
      <c r="E12" s="155">
        <v>87</v>
      </c>
      <c r="F12" s="47">
        <v>97</v>
      </c>
      <c r="G12" s="47">
        <v>82</v>
      </c>
      <c r="H12" s="47">
        <v>80</v>
      </c>
      <c r="I12" s="47">
        <v>93</v>
      </c>
      <c r="J12" s="47">
        <v>97</v>
      </c>
      <c r="K12" s="47">
        <v>83</v>
      </c>
      <c r="L12" s="47">
        <v>98</v>
      </c>
      <c r="M12" s="47">
        <v>92</v>
      </c>
      <c r="N12" s="100">
        <v>100</v>
      </c>
      <c r="O12" s="47">
        <f t="shared" si="0"/>
        <v>909</v>
      </c>
      <c r="P12" s="85">
        <f t="shared" si="1"/>
        <v>90.9</v>
      </c>
      <c r="Q12" s="85">
        <f t="shared" si="2"/>
        <v>5</v>
      </c>
      <c r="R12" s="47"/>
      <c r="S12" s="101"/>
      <c r="T12" s="9"/>
      <c r="U12" s="9"/>
      <c r="V12" s="9"/>
    </row>
    <row r="13" spans="1:22" ht="20.100000000000001" customHeight="1" x14ac:dyDescent="0.25">
      <c r="A13" s="120">
        <v>10</v>
      </c>
      <c r="B13" s="142"/>
      <c r="C13" s="156">
        <v>17</v>
      </c>
      <c r="D13" s="156" t="s">
        <v>20</v>
      </c>
      <c r="E13" s="155">
        <v>83</v>
      </c>
      <c r="F13" s="47">
        <v>73</v>
      </c>
      <c r="G13" s="47">
        <v>66</v>
      </c>
      <c r="H13" s="47">
        <v>69</v>
      </c>
      <c r="I13" s="47">
        <v>70</v>
      </c>
      <c r="J13" s="47">
        <v>80</v>
      </c>
      <c r="K13" s="47">
        <v>67</v>
      </c>
      <c r="L13" s="47">
        <v>80</v>
      </c>
      <c r="M13" s="47">
        <v>89</v>
      </c>
      <c r="N13" s="100">
        <v>97</v>
      </c>
      <c r="O13" s="47">
        <f t="shared" si="0"/>
        <v>774</v>
      </c>
      <c r="P13" s="85">
        <f t="shared" si="1"/>
        <v>77.400000000000006</v>
      </c>
      <c r="Q13" s="85">
        <f t="shared" si="2"/>
        <v>14</v>
      </c>
      <c r="R13" s="47"/>
      <c r="S13" s="101"/>
      <c r="T13" s="9"/>
      <c r="U13" s="9"/>
      <c r="V13" s="9"/>
    </row>
    <row r="14" spans="1:22" ht="20.100000000000001" customHeight="1" x14ac:dyDescent="0.25">
      <c r="A14" s="120">
        <v>11</v>
      </c>
      <c r="B14" s="142"/>
      <c r="C14" s="156">
        <v>17</v>
      </c>
      <c r="D14" s="156" t="s">
        <v>20</v>
      </c>
      <c r="E14" s="155">
        <v>68</v>
      </c>
      <c r="F14" s="47">
        <v>67</v>
      </c>
      <c r="G14" s="47">
        <v>40</v>
      </c>
      <c r="H14" s="47">
        <v>47</v>
      </c>
      <c r="I14" s="47">
        <v>48</v>
      </c>
      <c r="J14" s="47">
        <v>47</v>
      </c>
      <c r="K14" s="47">
        <v>59</v>
      </c>
      <c r="L14" s="47">
        <v>64</v>
      </c>
      <c r="M14" s="47">
        <v>79</v>
      </c>
      <c r="N14" s="100">
        <v>84</v>
      </c>
      <c r="O14" s="47">
        <f t="shared" si="0"/>
        <v>603</v>
      </c>
      <c r="P14" s="85">
        <f t="shared" si="1"/>
        <v>60.3</v>
      </c>
      <c r="Q14" s="85">
        <f t="shared" si="2"/>
        <v>28</v>
      </c>
      <c r="R14" s="47"/>
      <c r="S14" s="101"/>
      <c r="T14" s="9"/>
      <c r="U14" s="9"/>
      <c r="V14" s="9"/>
    </row>
    <row r="15" spans="1:22" ht="20.100000000000001" customHeight="1" x14ac:dyDescent="0.25">
      <c r="A15" s="120">
        <v>12</v>
      </c>
      <c r="B15" s="142"/>
      <c r="C15" s="156">
        <v>16</v>
      </c>
      <c r="D15" s="156" t="s">
        <v>20</v>
      </c>
      <c r="E15" s="155">
        <v>86</v>
      </c>
      <c r="F15" s="47">
        <v>92</v>
      </c>
      <c r="G15" s="47">
        <v>100</v>
      </c>
      <c r="H15" s="47">
        <v>100</v>
      </c>
      <c r="I15" s="47">
        <v>100</v>
      </c>
      <c r="J15" s="47">
        <v>100</v>
      </c>
      <c r="K15" s="47">
        <v>89</v>
      </c>
      <c r="L15" s="47">
        <v>100</v>
      </c>
      <c r="M15" s="47">
        <v>95</v>
      </c>
      <c r="N15" s="100">
        <v>100</v>
      </c>
      <c r="O15" s="47">
        <f t="shared" si="0"/>
        <v>962</v>
      </c>
      <c r="P15" s="85">
        <f t="shared" si="1"/>
        <v>96.2</v>
      </c>
      <c r="Q15" s="85">
        <f t="shared" si="2"/>
        <v>1</v>
      </c>
      <c r="R15" s="47"/>
      <c r="S15" s="101"/>
      <c r="T15" s="9"/>
      <c r="U15" s="9"/>
      <c r="V15" s="9"/>
    </row>
    <row r="16" spans="1:22" ht="20.100000000000001" customHeight="1" x14ac:dyDescent="0.25">
      <c r="A16" s="120">
        <v>13</v>
      </c>
      <c r="B16" s="142"/>
      <c r="C16" s="156">
        <v>17</v>
      </c>
      <c r="D16" s="156" t="s">
        <v>23</v>
      </c>
      <c r="E16" s="155">
        <v>86</v>
      </c>
      <c r="F16" s="47">
        <v>82</v>
      </c>
      <c r="G16" s="47">
        <v>54</v>
      </c>
      <c r="H16" s="47">
        <v>59</v>
      </c>
      <c r="I16" s="47">
        <v>58</v>
      </c>
      <c r="J16" s="47">
        <v>72</v>
      </c>
      <c r="K16" s="47">
        <v>58</v>
      </c>
      <c r="L16" s="47">
        <v>83</v>
      </c>
      <c r="M16" s="47">
        <v>88</v>
      </c>
      <c r="N16" s="100">
        <v>90</v>
      </c>
      <c r="O16" s="47">
        <f t="shared" si="0"/>
        <v>730</v>
      </c>
      <c r="P16" s="85">
        <f t="shared" si="1"/>
        <v>73</v>
      </c>
      <c r="Q16" s="85">
        <f t="shared" si="2"/>
        <v>18</v>
      </c>
      <c r="R16" s="47"/>
      <c r="S16" s="101"/>
      <c r="T16" s="9"/>
      <c r="U16" s="9"/>
      <c r="V16" s="9"/>
    </row>
    <row r="17" spans="1:22" ht="20.100000000000001" customHeight="1" x14ac:dyDescent="0.25">
      <c r="A17" s="120">
        <v>14</v>
      </c>
      <c r="B17" s="142"/>
      <c r="C17" s="156">
        <v>17</v>
      </c>
      <c r="D17" s="156" t="s">
        <v>20</v>
      </c>
      <c r="E17" s="155">
        <v>84</v>
      </c>
      <c r="F17" s="47">
        <v>96</v>
      </c>
      <c r="G17" s="47">
        <v>95</v>
      </c>
      <c r="H17" s="47">
        <v>98</v>
      </c>
      <c r="I17" s="47">
        <v>96</v>
      </c>
      <c r="J17" s="47">
        <v>100</v>
      </c>
      <c r="K17" s="47">
        <v>88</v>
      </c>
      <c r="L17" s="47">
        <v>91</v>
      </c>
      <c r="M17" s="47">
        <v>97</v>
      </c>
      <c r="N17" s="100">
        <v>95</v>
      </c>
      <c r="O17" s="47">
        <f t="shared" si="0"/>
        <v>940</v>
      </c>
      <c r="P17" s="85">
        <f t="shared" si="1"/>
        <v>94</v>
      </c>
      <c r="Q17" s="85">
        <f t="shared" si="2"/>
        <v>4</v>
      </c>
      <c r="R17" s="47"/>
      <c r="S17" s="101"/>
      <c r="T17" s="9"/>
      <c r="U17" s="9"/>
      <c r="V17" s="9"/>
    </row>
    <row r="18" spans="1:22" ht="20.100000000000001" customHeight="1" x14ac:dyDescent="0.25">
      <c r="A18" s="120">
        <v>15</v>
      </c>
      <c r="B18" s="142"/>
      <c r="C18" s="156">
        <v>16</v>
      </c>
      <c r="D18" s="156" t="s">
        <v>23</v>
      </c>
      <c r="E18" s="155">
        <v>71</v>
      </c>
      <c r="F18" s="47">
        <v>84</v>
      </c>
      <c r="G18" s="47">
        <v>70</v>
      </c>
      <c r="H18" s="47">
        <v>81</v>
      </c>
      <c r="I18" s="47">
        <v>85</v>
      </c>
      <c r="J18" s="47">
        <v>95</v>
      </c>
      <c r="K18" s="47">
        <v>76</v>
      </c>
      <c r="L18" s="47">
        <v>76</v>
      </c>
      <c r="M18" s="47">
        <v>91</v>
      </c>
      <c r="N18" s="100">
        <v>98</v>
      </c>
      <c r="O18" s="47">
        <f t="shared" si="0"/>
        <v>827</v>
      </c>
      <c r="P18" s="85">
        <f t="shared" si="1"/>
        <v>82.7</v>
      </c>
      <c r="Q18" s="85">
        <f t="shared" si="2"/>
        <v>9</v>
      </c>
      <c r="R18" s="47"/>
      <c r="S18" s="101"/>
      <c r="T18" s="9"/>
      <c r="U18" s="9"/>
      <c r="V18" s="9"/>
    </row>
    <row r="19" spans="1:22" ht="20.100000000000001" customHeight="1" x14ac:dyDescent="0.25">
      <c r="A19" s="120">
        <v>16</v>
      </c>
      <c r="B19" s="142"/>
      <c r="C19" s="156">
        <v>17</v>
      </c>
      <c r="D19" s="156" t="s">
        <v>20</v>
      </c>
      <c r="E19" s="155">
        <v>83</v>
      </c>
      <c r="F19" s="47">
        <v>76</v>
      </c>
      <c r="G19" s="47">
        <v>76</v>
      </c>
      <c r="H19" s="47">
        <v>72</v>
      </c>
      <c r="I19" s="47">
        <v>81</v>
      </c>
      <c r="J19" s="47">
        <v>82</v>
      </c>
      <c r="K19" s="47">
        <v>71</v>
      </c>
      <c r="L19" s="47">
        <v>92</v>
      </c>
      <c r="M19" s="47">
        <v>96</v>
      </c>
      <c r="N19" s="100">
        <v>94</v>
      </c>
      <c r="O19" s="47">
        <f t="shared" si="0"/>
        <v>823</v>
      </c>
      <c r="P19" s="85">
        <f t="shared" si="1"/>
        <v>82.3</v>
      </c>
      <c r="Q19" s="85">
        <f t="shared" si="2"/>
        <v>11</v>
      </c>
      <c r="R19" s="47"/>
      <c r="S19" s="101"/>
      <c r="T19" s="9"/>
      <c r="U19" s="9"/>
      <c r="V19" s="9"/>
    </row>
    <row r="20" spans="1:22" ht="20.100000000000001" customHeight="1" x14ac:dyDescent="0.25">
      <c r="A20" s="120">
        <v>17</v>
      </c>
      <c r="B20" s="142"/>
      <c r="C20" s="156">
        <v>16</v>
      </c>
      <c r="D20" s="156" t="s">
        <v>20</v>
      </c>
      <c r="E20" s="155">
        <v>81</v>
      </c>
      <c r="F20" s="47">
        <v>85</v>
      </c>
      <c r="G20" s="47">
        <v>77</v>
      </c>
      <c r="H20" s="47">
        <v>80</v>
      </c>
      <c r="I20" s="47">
        <v>80</v>
      </c>
      <c r="J20" s="47">
        <v>95</v>
      </c>
      <c r="K20" s="47">
        <v>66</v>
      </c>
      <c r="L20" s="47">
        <v>95</v>
      </c>
      <c r="M20" s="47">
        <v>93</v>
      </c>
      <c r="N20" s="100">
        <v>92</v>
      </c>
      <c r="O20" s="47">
        <f t="shared" si="0"/>
        <v>844</v>
      </c>
      <c r="P20" s="85">
        <f t="shared" si="1"/>
        <v>84.4</v>
      </c>
      <c r="Q20" s="85">
        <f t="shared" si="2"/>
        <v>8</v>
      </c>
      <c r="R20" s="47"/>
      <c r="S20" s="101"/>
      <c r="T20" s="9"/>
      <c r="U20" s="9"/>
      <c r="V20" s="9"/>
    </row>
    <row r="21" spans="1:22" ht="20.100000000000001" customHeight="1" x14ac:dyDescent="0.25">
      <c r="A21" s="120">
        <v>18</v>
      </c>
      <c r="B21" s="142"/>
      <c r="C21" s="156">
        <v>17</v>
      </c>
      <c r="D21" s="156" t="s">
        <v>20</v>
      </c>
      <c r="E21" s="155">
        <v>86</v>
      </c>
      <c r="F21" s="47">
        <v>79</v>
      </c>
      <c r="G21" s="47">
        <v>80</v>
      </c>
      <c r="H21" s="47">
        <v>80</v>
      </c>
      <c r="I21" s="47">
        <v>69</v>
      </c>
      <c r="J21" s="47">
        <v>89</v>
      </c>
      <c r="K21" s="47">
        <v>68</v>
      </c>
      <c r="L21" s="47">
        <v>100</v>
      </c>
      <c r="M21" s="47">
        <v>88</v>
      </c>
      <c r="N21" s="100">
        <v>87</v>
      </c>
      <c r="O21" s="47">
        <f t="shared" si="0"/>
        <v>826</v>
      </c>
      <c r="P21" s="85">
        <f t="shared" si="1"/>
        <v>82.6</v>
      </c>
      <c r="Q21" s="85">
        <f t="shared" si="2"/>
        <v>10</v>
      </c>
      <c r="R21" s="47"/>
      <c r="S21" s="101"/>
    </row>
    <row r="22" spans="1:22" ht="20.100000000000001" customHeight="1" x14ac:dyDescent="0.25">
      <c r="A22" s="120">
        <v>19</v>
      </c>
      <c r="B22" s="181"/>
      <c r="C22" s="183">
        <v>16</v>
      </c>
      <c r="D22" s="183" t="s">
        <v>20</v>
      </c>
      <c r="E22" s="155">
        <v>86</v>
      </c>
      <c r="F22" s="47">
        <v>73</v>
      </c>
      <c r="G22" s="47">
        <v>54</v>
      </c>
      <c r="H22" s="47">
        <v>60</v>
      </c>
      <c r="I22" s="47">
        <v>48</v>
      </c>
      <c r="J22" s="47">
        <v>74</v>
      </c>
      <c r="K22" s="47">
        <v>58</v>
      </c>
      <c r="L22" s="47">
        <v>64</v>
      </c>
      <c r="M22" s="47">
        <v>96</v>
      </c>
      <c r="N22" s="100">
        <v>82</v>
      </c>
      <c r="O22" s="47">
        <f t="shared" si="0"/>
        <v>695</v>
      </c>
      <c r="P22" s="85">
        <f t="shared" si="1"/>
        <v>69.5</v>
      </c>
      <c r="Q22" s="85">
        <f t="shared" si="2"/>
        <v>25</v>
      </c>
      <c r="R22" s="47"/>
      <c r="S22" s="101"/>
    </row>
    <row r="23" spans="1:22" ht="20.100000000000001" customHeight="1" x14ac:dyDescent="0.25">
      <c r="A23" s="120">
        <v>20</v>
      </c>
      <c r="B23" s="142"/>
      <c r="C23" s="156">
        <v>17</v>
      </c>
      <c r="D23" s="156" t="s">
        <v>20</v>
      </c>
      <c r="E23" s="155">
        <v>73</v>
      </c>
      <c r="F23" s="47">
        <v>62</v>
      </c>
      <c r="G23" s="47">
        <v>79</v>
      </c>
      <c r="H23" s="47">
        <v>56</v>
      </c>
      <c r="I23" s="47">
        <v>50</v>
      </c>
      <c r="J23" s="47">
        <v>57</v>
      </c>
      <c r="K23" s="47">
        <v>51</v>
      </c>
      <c r="L23" s="47">
        <v>65</v>
      </c>
      <c r="M23" s="47">
        <v>82</v>
      </c>
      <c r="N23" s="100">
        <v>90</v>
      </c>
      <c r="O23" s="47">
        <f t="shared" si="0"/>
        <v>665</v>
      </c>
      <c r="P23" s="85">
        <f t="shared" si="1"/>
        <v>66.5</v>
      </c>
      <c r="Q23" s="85">
        <f t="shared" si="2"/>
        <v>26</v>
      </c>
      <c r="R23" s="47"/>
      <c r="S23" s="101"/>
    </row>
    <row r="24" spans="1:22" ht="20.100000000000001" customHeight="1" x14ac:dyDescent="0.25">
      <c r="A24" s="120">
        <v>21</v>
      </c>
      <c r="B24" s="142"/>
      <c r="C24" s="156">
        <v>17</v>
      </c>
      <c r="D24" s="156" t="s">
        <v>23</v>
      </c>
      <c r="E24" s="155">
        <v>77</v>
      </c>
      <c r="F24" s="47">
        <v>72</v>
      </c>
      <c r="G24" s="47">
        <v>56</v>
      </c>
      <c r="H24" s="47">
        <v>58</v>
      </c>
      <c r="I24" s="47">
        <v>55</v>
      </c>
      <c r="J24" s="47">
        <v>64</v>
      </c>
      <c r="K24" s="47">
        <v>82</v>
      </c>
      <c r="L24" s="47">
        <v>95</v>
      </c>
      <c r="M24" s="47">
        <v>85</v>
      </c>
      <c r="N24" s="100">
        <v>85</v>
      </c>
      <c r="O24" s="47">
        <f t="shared" si="0"/>
        <v>729</v>
      </c>
      <c r="P24" s="85">
        <f t="shared" si="1"/>
        <v>72.900000000000006</v>
      </c>
      <c r="Q24" s="85">
        <f t="shared" si="2"/>
        <v>19</v>
      </c>
      <c r="R24" s="47"/>
      <c r="S24" s="101"/>
    </row>
    <row r="25" spans="1:22" ht="20.100000000000001" customHeight="1" x14ac:dyDescent="0.25">
      <c r="A25" s="120">
        <v>22</v>
      </c>
      <c r="B25" s="142"/>
      <c r="C25" s="156">
        <v>17</v>
      </c>
      <c r="D25" s="156" t="s">
        <v>23</v>
      </c>
      <c r="E25" s="155">
        <v>82</v>
      </c>
      <c r="F25" s="47">
        <v>62</v>
      </c>
      <c r="G25" s="47">
        <v>59</v>
      </c>
      <c r="H25" s="47">
        <v>58</v>
      </c>
      <c r="I25" s="47">
        <v>62</v>
      </c>
      <c r="J25" s="47">
        <v>69</v>
      </c>
      <c r="K25" s="47">
        <v>62</v>
      </c>
      <c r="L25" s="47">
        <v>83</v>
      </c>
      <c r="M25" s="47">
        <v>81</v>
      </c>
      <c r="N25" s="100">
        <v>92</v>
      </c>
      <c r="O25" s="47">
        <f t="shared" si="0"/>
        <v>710</v>
      </c>
      <c r="P25" s="85">
        <f t="shared" si="1"/>
        <v>71</v>
      </c>
      <c r="Q25" s="85">
        <f t="shared" si="2"/>
        <v>23</v>
      </c>
      <c r="R25" s="47"/>
      <c r="S25" s="101"/>
    </row>
    <row r="26" spans="1:22" ht="20.100000000000001" customHeight="1" x14ac:dyDescent="0.25">
      <c r="A26" s="120">
        <v>23</v>
      </c>
      <c r="B26" s="142"/>
      <c r="C26" s="156">
        <v>16</v>
      </c>
      <c r="D26" s="156" t="s">
        <v>23</v>
      </c>
      <c r="E26" s="155">
        <v>73</v>
      </c>
      <c r="F26" s="47">
        <v>82</v>
      </c>
      <c r="G26" s="47">
        <v>59</v>
      </c>
      <c r="H26" s="47">
        <v>53</v>
      </c>
      <c r="I26" s="47">
        <v>57</v>
      </c>
      <c r="J26" s="47">
        <v>67</v>
      </c>
      <c r="K26" s="47">
        <v>70</v>
      </c>
      <c r="L26" s="47">
        <v>84</v>
      </c>
      <c r="M26" s="47">
        <v>91</v>
      </c>
      <c r="N26" s="100">
        <v>88</v>
      </c>
      <c r="O26" s="47">
        <f t="shared" si="0"/>
        <v>724</v>
      </c>
      <c r="P26" s="85">
        <f t="shared" si="1"/>
        <v>72.400000000000006</v>
      </c>
      <c r="Q26" s="85">
        <f t="shared" si="2"/>
        <v>20</v>
      </c>
      <c r="R26" s="47"/>
      <c r="S26" s="101"/>
    </row>
    <row r="27" spans="1:22" ht="20.100000000000001" customHeight="1" x14ac:dyDescent="0.25">
      <c r="A27" s="120">
        <v>24</v>
      </c>
      <c r="B27" s="142"/>
      <c r="C27" s="156">
        <v>17</v>
      </c>
      <c r="D27" s="156" t="s">
        <v>23</v>
      </c>
      <c r="E27" s="155">
        <v>79</v>
      </c>
      <c r="F27" s="47">
        <v>84</v>
      </c>
      <c r="G27" s="47">
        <v>57</v>
      </c>
      <c r="H27" s="47">
        <v>74</v>
      </c>
      <c r="I27" s="47">
        <v>57</v>
      </c>
      <c r="J27" s="47">
        <v>83</v>
      </c>
      <c r="K27" s="47">
        <v>67</v>
      </c>
      <c r="L27" s="47">
        <v>82</v>
      </c>
      <c r="M27" s="47">
        <v>85</v>
      </c>
      <c r="N27" s="100">
        <v>94</v>
      </c>
      <c r="O27" s="47">
        <f t="shared" si="0"/>
        <v>762</v>
      </c>
      <c r="P27" s="85">
        <f t="shared" si="1"/>
        <v>76.2</v>
      </c>
      <c r="Q27" s="85">
        <f t="shared" si="2"/>
        <v>15</v>
      </c>
      <c r="R27" s="47"/>
      <c r="S27" s="101"/>
    </row>
    <row r="28" spans="1:22" ht="20.100000000000001" customHeight="1" x14ac:dyDescent="0.25">
      <c r="A28" s="120">
        <v>25</v>
      </c>
      <c r="B28" s="142"/>
      <c r="C28" s="156">
        <v>16</v>
      </c>
      <c r="D28" s="156" t="s">
        <v>20</v>
      </c>
      <c r="E28" s="155">
        <v>75</v>
      </c>
      <c r="F28" s="47">
        <v>86</v>
      </c>
      <c r="G28" s="47">
        <v>68</v>
      </c>
      <c r="H28" s="47">
        <v>77</v>
      </c>
      <c r="I28" s="47">
        <v>73</v>
      </c>
      <c r="J28" s="47">
        <v>99</v>
      </c>
      <c r="K28" s="47">
        <v>68</v>
      </c>
      <c r="L28" s="47">
        <v>87</v>
      </c>
      <c r="M28" s="47">
        <v>86</v>
      </c>
      <c r="N28" s="100">
        <v>96</v>
      </c>
      <c r="O28" s="47">
        <f t="shared" si="0"/>
        <v>815</v>
      </c>
      <c r="P28" s="85">
        <f t="shared" si="1"/>
        <v>81.5</v>
      </c>
      <c r="Q28" s="85">
        <f t="shared" si="2"/>
        <v>13</v>
      </c>
      <c r="R28" s="47"/>
      <c r="S28" s="101"/>
    </row>
    <row r="29" spans="1:22" ht="20.100000000000001" customHeight="1" x14ac:dyDescent="0.25">
      <c r="A29" s="120">
        <v>26</v>
      </c>
      <c r="B29" s="142"/>
      <c r="C29" s="156">
        <v>17</v>
      </c>
      <c r="D29" s="156" t="s">
        <v>20</v>
      </c>
      <c r="E29" s="155">
        <v>70</v>
      </c>
      <c r="F29" s="47">
        <v>80</v>
      </c>
      <c r="G29" s="47">
        <v>51</v>
      </c>
      <c r="H29" s="47">
        <v>68</v>
      </c>
      <c r="I29" s="47">
        <v>56</v>
      </c>
      <c r="J29" s="47">
        <v>84</v>
      </c>
      <c r="K29" s="47">
        <v>68</v>
      </c>
      <c r="L29" s="47">
        <v>72</v>
      </c>
      <c r="M29" s="47">
        <v>91</v>
      </c>
      <c r="N29" s="100">
        <v>95</v>
      </c>
      <c r="O29" s="47">
        <f t="shared" si="0"/>
        <v>735</v>
      </c>
      <c r="P29" s="85">
        <f t="shared" si="1"/>
        <v>73.5</v>
      </c>
      <c r="Q29" s="85">
        <f t="shared" si="2"/>
        <v>17</v>
      </c>
      <c r="R29" s="47"/>
      <c r="S29" s="101"/>
    </row>
    <row r="30" spans="1:22" ht="20.100000000000001" customHeight="1" x14ac:dyDescent="0.25">
      <c r="A30" s="120">
        <v>27</v>
      </c>
      <c r="B30" s="142"/>
      <c r="C30" s="156">
        <v>16</v>
      </c>
      <c r="D30" s="156" t="s">
        <v>20</v>
      </c>
      <c r="E30" s="155">
        <v>65</v>
      </c>
      <c r="F30" s="47">
        <v>71</v>
      </c>
      <c r="G30" s="47">
        <v>38</v>
      </c>
      <c r="H30" s="47">
        <v>43</v>
      </c>
      <c r="I30" s="47">
        <v>48</v>
      </c>
      <c r="J30" s="47">
        <v>60</v>
      </c>
      <c r="K30" s="47">
        <v>51</v>
      </c>
      <c r="L30" s="47">
        <v>72</v>
      </c>
      <c r="M30" s="47">
        <v>82</v>
      </c>
      <c r="N30" s="100">
        <v>86</v>
      </c>
      <c r="O30" s="47">
        <f t="shared" si="0"/>
        <v>616</v>
      </c>
      <c r="P30" s="85">
        <f t="shared" si="1"/>
        <v>61.6</v>
      </c>
      <c r="Q30" s="85">
        <f t="shared" si="2"/>
        <v>27</v>
      </c>
      <c r="R30" s="47"/>
      <c r="S30" s="101"/>
    </row>
    <row r="31" spans="1:22" ht="20.100000000000001" customHeight="1" x14ac:dyDescent="0.3">
      <c r="A31" s="120">
        <v>28</v>
      </c>
      <c r="B31" s="142"/>
      <c r="C31" s="156">
        <v>16</v>
      </c>
      <c r="D31" s="156" t="s">
        <v>20</v>
      </c>
      <c r="E31" s="155">
        <v>86</v>
      </c>
      <c r="F31" s="47">
        <v>81</v>
      </c>
      <c r="G31" s="47">
        <v>80</v>
      </c>
      <c r="H31" s="47">
        <v>79</v>
      </c>
      <c r="I31" s="47">
        <v>76</v>
      </c>
      <c r="J31" s="47">
        <v>81</v>
      </c>
      <c r="K31" s="47">
        <v>69</v>
      </c>
      <c r="L31" s="47">
        <v>85</v>
      </c>
      <c r="M31" s="47">
        <v>92</v>
      </c>
      <c r="N31" s="100">
        <v>93</v>
      </c>
      <c r="O31" s="47">
        <f t="shared" si="0"/>
        <v>822</v>
      </c>
      <c r="P31" s="85">
        <f t="shared" si="1"/>
        <v>82.2</v>
      </c>
      <c r="Q31" s="85">
        <f t="shared" si="2"/>
        <v>12</v>
      </c>
      <c r="R31" s="47"/>
      <c r="S31" s="103"/>
    </row>
    <row r="32" spans="1:22" ht="20.100000000000001" customHeight="1" x14ac:dyDescent="0.3">
      <c r="A32" s="120">
        <v>29</v>
      </c>
      <c r="B32" s="142"/>
      <c r="C32" s="156">
        <v>16</v>
      </c>
      <c r="D32" s="156" t="s">
        <v>20</v>
      </c>
      <c r="E32" s="47">
        <v>79</v>
      </c>
      <c r="F32" s="47">
        <v>67</v>
      </c>
      <c r="G32" s="47">
        <v>68</v>
      </c>
      <c r="H32" s="47">
        <v>53</v>
      </c>
      <c r="I32" s="47">
        <v>50</v>
      </c>
      <c r="J32" s="47">
        <v>64</v>
      </c>
      <c r="K32" s="47">
        <v>58</v>
      </c>
      <c r="L32" s="47">
        <v>83</v>
      </c>
      <c r="M32" s="47">
        <v>89</v>
      </c>
      <c r="N32" s="100">
        <v>91</v>
      </c>
      <c r="O32" s="47">
        <f t="shared" si="0"/>
        <v>702</v>
      </c>
      <c r="P32" s="85">
        <f t="shared" si="1"/>
        <v>70.2</v>
      </c>
      <c r="Q32" s="85">
        <f t="shared" si="2"/>
        <v>24</v>
      </c>
      <c r="R32" s="47"/>
      <c r="S32" s="103"/>
    </row>
    <row r="33" spans="1:19" ht="20.100000000000001" customHeight="1" x14ac:dyDescent="0.3">
      <c r="A33" s="120">
        <v>30</v>
      </c>
      <c r="B33" s="142"/>
      <c r="C33" s="156">
        <v>18</v>
      </c>
      <c r="D33" s="156" t="s">
        <v>20</v>
      </c>
      <c r="E33" s="47">
        <v>89</v>
      </c>
      <c r="F33" s="47">
        <v>86</v>
      </c>
      <c r="G33" s="47">
        <v>97</v>
      </c>
      <c r="H33" s="47">
        <v>84</v>
      </c>
      <c r="I33" s="47">
        <v>83</v>
      </c>
      <c r="J33" s="47">
        <v>95</v>
      </c>
      <c r="K33" s="47">
        <v>79</v>
      </c>
      <c r="L33" s="47">
        <v>100</v>
      </c>
      <c r="M33" s="47">
        <v>98</v>
      </c>
      <c r="N33" s="100">
        <v>94</v>
      </c>
      <c r="O33" s="47">
        <f t="shared" si="0"/>
        <v>905</v>
      </c>
      <c r="P33" s="85">
        <f t="shared" si="1"/>
        <v>90.5</v>
      </c>
      <c r="Q33" s="85">
        <f t="shared" si="2"/>
        <v>6</v>
      </c>
      <c r="R33" s="47"/>
      <c r="S33" s="103"/>
    </row>
    <row r="34" spans="1:19" ht="20.100000000000001" customHeight="1" x14ac:dyDescent="0.3">
      <c r="A34" s="120">
        <v>31</v>
      </c>
      <c r="B34" s="124"/>
      <c r="C34" s="178"/>
      <c r="D34" s="124"/>
      <c r="E34" s="47"/>
      <c r="F34" s="47"/>
      <c r="G34" s="47"/>
      <c r="H34" s="47"/>
      <c r="I34" s="47"/>
      <c r="J34" s="47"/>
      <c r="K34" s="47"/>
      <c r="L34" s="47"/>
      <c r="M34" s="47"/>
      <c r="N34" s="100"/>
      <c r="O34" s="47"/>
      <c r="P34" s="85"/>
      <c r="Q34" s="85"/>
      <c r="R34" s="47"/>
      <c r="S34" s="103"/>
    </row>
    <row r="35" spans="1:19" ht="20.100000000000001" customHeight="1" x14ac:dyDescent="0.3">
      <c r="A35" s="120">
        <v>32</v>
      </c>
      <c r="B35" s="125"/>
      <c r="C35" s="177"/>
      <c r="D35" s="126"/>
      <c r="E35" s="47"/>
      <c r="F35" s="47"/>
      <c r="G35" s="47"/>
      <c r="H35" s="47"/>
      <c r="I35" s="47"/>
      <c r="J35" s="47"/>
      <c r="K35" s="47"/>
      <c r="L35" s="47"/>
      <c r="M35" s="47"/>
      <c r="N35" s="100"/>
      <c r="O35" s="47"/>
      <c r="P35" s="85"/>
      <c r="Q35" s="85"/>
      <c r="R35" s="47"/>
      <c r="S35" s="103"/>
    </row>
    <row r="36" spans="1:19" ht="20.100000000000001" customHeight="1" x14ac:dyDescent="0.3">
      <c r="A36" s="120">
        <v>33</v>
      </c>
      <c r="B36" s="172"/>
      <c r="C36" s="177"/>
      <c r="D36" s="126"/>
      <c r="E36" s="47"/>
      <c r="F36" s="47"/>
      <c r="G36" s="47"/>
      <c r="H36" s="47"/>
      <c r="I36" s="47"/>
      <c r="J36" s="47"/>
      <c r="K36" s="47"/>
      <c r="L36" s="47"/>
      <c r="M36" s="47"/>
      <c r="N36" s="100"/>
      <c r="O36" s="47"/>
      <c r="P36" s="85"/>
      <c r="Q36" s="85"/>
      <c r="R36" s="47"/>
      <c r="S36" s="103"/>
    </row>
    <row r="37" spans="1:19" ht="20.100000000000001" customHeight="1" x14ac:dyDescent="0.3">
      <c r="A37" s="120">
        <v>34</v>
      </c>
      <c r="B37" s="126"/>
      <c r="C37" s="177"/>
      <c r="D37" s="126"/>
      <c r="E37" s="47"/>
      <c r="F37" s="47"/>
      <c r="G37" s="47"/>
      <c r="H37" s="47"/>
      <c r="I37" s="47"/>
      <c r="J37" s="47"/>
      <c r="K37" s="47"/>
      <c r="L37" s="47"/>
      <c r="M37" s="47"/>
      <c r="N37" s="100"/>
      <c r="O37" s="47"/>
      <c r="P37" s="85"/>
      <c r="Q37" s="85"/>
      <c r="R37" s="47"/>
      <c r="S37" s="103"/>
    </row>
    <row r="38" spans="1:19" ht="20.100000000000001" customHeight="1" x14ac:dyDescent="0.3">
      <c r="A38" s="120">
        <v>35</v>
      </c>
      <c r="B38" s="126"/>
      <c r="C38" s="177"/>
      <c r="D38" s="126"/>
      <c r="E38" s="47"/>
      <c r="F38" s="47"/>
      <c r="G38" s="47"/>
      <c r="H38" s="47"/>
      <c r="I38" s="47"/>
      <c r="J38" s="47"/>
      <c r="K38" s="47"/>
      <c r="L38" s="47"/>
      <c r="M38" s="47"/>
      <c r="N38" s="100"/>
      <c r="O38" s="47"/>
      <c r="P38" s="85"/>
      <c r="Q38" s="85"/>
      <c r="R38" s="47"/>
      <c r="S38" s="103"/>
    </row>
    <row r="39" spans="1:19" ht="20.100000000000001" customHeight="1" x14ac:dyDescent="0.3">
      <c r="A39" s="120">
        <v>36</v>
      </c>
      <c r="B39" s="124"/>
      <c r="C39" s="178"/>
      <c r="D39" s="124"/>
      <c r="E39" s="47"/>
      <c r="F39" s="47"/>
      <c r="G39" s="47"/>
      <c r="H39" s="47"/>
      <c r="I39" s="47"/>
      <c r="J39" s="47"/>
      <c r="K39" s="47"/>
      <c r="L39" s="47"/>
      <c r="M39" s="47"/>
      <c r="N39" s="100"/>
      <c r="O39" s="47"/>
      <c r="P39" s="85"/>
      <c r="Q39" s="85"/>
      <c r="R39" s="47"/>
      <c r="S39" s="103"/>
    </row>
    <row r="40" spans="1:19" ht="20.100000000000001" customHeight="1" x14ac:dyDescent="0.3">
      <c r="A40" s="120">
        <v>37</v>
      </c>
      <c r="B40" s="126"/>
      <c r="C40" s="177"/>
      <c r="D40" s="126"/>
      <c r="E40" s="47"/>
      <c r="F40" s="47"/>
      <c r="G40" s="47"/>
      <c r="H40" s="47"/>
      <c r="I40" s="47"/>
      <c r="J40" s="47"/>
      <c r="K40" s="47"/>
      <c r="L40" s="47"/>
      <c r="M40" s="47"/>
      <c r="N40" s="100"/>
      <c r="O40" s="47"/>
      <c r="P40" s="85"/>
      <c r="Q40" s="85"/>
      <c r="R40" s="47"/>
      <c r="S40" s="103"/>
    </row>
    <row r="41" spans="1:19" ht="20.100000000000001" customHeight="1" x14ac:dyDescent="0.3">
      <c r="A41" s="120">
        <v>38</v>
      </c>
      <c r="B41" s="126"/>
      <c r="C41" s="177"/>
      <c r="D41" s="126"/>
      <c r="E41" s="47"/>
      <c r="F41" s="47"/>
      <c r="G41" s="47"/>
      <c r="H41" s="47"/>
      <c r="I41" s="47"/>
      <c r="J41" s="47"/>
      <c r="K41" s="47"/>
      <c r="L41" s="47"/>
      <c r="M41" s="47"/>
      <c r="N41" s="100"/>
      <c r="O41" s="47"/>
      <c r="P41" s="85"/>
      <c r="Q41" s="85"/>
      <c r="R41" s="47"/>
      <c r="S41" s="103"/>
    </row>
    <row r="42" spans="1:19" ht="20.100000000000001" customHeight="1" x14ac:dyDescent="0.3">
      <c r="A42" s="120">
        <v>39</v>
      </c>
      <c r="B42" s="124"/>
      <c r="C42" s="178"/>
      <c r="D42" s="124"/>
      <c r="E42" s="47"/>
      <c r="F42" s="47"/>
      <c r="G42" s="47"/>
      <c r="H42" s="47"/>
      <c r="I42" s="47"/>
      <c r="J42" s="47"/>
      <c r="K42" s="47"/>
      <c r="L42" s="47"/>
      <c r="M42" s="47"/>
      <c r="N42" s="100"/>
      <c r="O42" s="47"/>
      <c r="P42" s="85"/>
      <c r="Q42" s="85"/>
      <c r="R42" s="47"/>
      <c r="S42" s="103"/>
    </row>
    <row r="43" spans="1:19" ht="20.100000000000001" customHeight="1" x14ac:dyDescent="0.3">
      <c r="A43" s="120">
        <v>40</v>
      </c>
      <c r="B43" s="126"/>
      <c r="C43" s="177"/>
      <c r="D43" s="126"/>
      <c r="E43" s="47"/>
      <c r="F43" s="47"/>
      <c r="G43" s="47"/>
      <c r="H43" s="47"/>
      <c r="I43" s="47"/>
      <c r="J43" s="47"/>
      <c r="K43" s="47"/>
      <c r="L43" s="47"/>
      <c r="M43" s="47"/>
      <c r="N43" s="100"/>
      <c r="O43" s="47"/>
      <c r="P43" s="85"/>
      <c r="Q43" s="85"/>
      <c r="R43" s="47"/>
      <c r="S43" s="103"/>
    </row>
    <row r="44" spans="1:19" ht="20.100000000000001" customHeight="1" x14ac:dyDescent="0.3">
      <c r="A44" s="120">
        <v>41</v>
      </c>
      <c r="B44" s="126"/>
      <c r="C44" s="177"/>
      <c r="D44" s="126"/>
      <c r="E44" s="47"/>
      <c r="F44" s="47"/>
      <c r="G44" s="47"/>
      <c r="H44" s="47"/>
      <c r="I44" s="47"/>
      <c r="J44" s="47"/>
      <c r="K44" s="47"/>
      <c r="L44" s="47"/>
      <c r="M44" s="47"/>
      <c r="N44" s="100"/>
      <c r="O44" s="47"/>
      <c r="P44" s="85"/>
      <c r="Q44" s="85"/>
      <c r="R44" s="47"/>
      <c r="S44" s="103"/>
    </row>
    <row r="45" spans="1:19" ht="20.100000000000001" customHeight="1" x14ac:dyDescent="0.3">
      <c r="A45" s="120">
        <v>42</v>
      </c>
      <c r="B45" s="126"/>
      <c r="C45" s="177"/>
      <c r="D45" s="126"/>
      <c r="E45" s="47"/>
      <c r="F45" s="47"/>
      <c r="G45" s="47"/>
      <c r="H45" s="47"/>
      <c r="I45" s="47"/>
      <c r="J45" s="47"/>
      <c r="K45" s="47"/>
      <c r="L45" s="47"/>
      <c r="M45" s="47"/>
      <c r="N45" s="100"/>
      <c r="O45" s="47"/>
      <c r="P45" s="85"/>
      <c r="Q45" s="85"/>
      <c r="R45" s="47"/>
      <c r="S45" s="103"/>
    </row>
    <row r="46" spans="1:19" ht="20.100000000000001" customHeight="1" x14ac:dyDescent="0.3">
      <c r="A46" s="120">
        <v>43</v>
      </c>
      <c r="B46" s="126"/>
      <c r="C46" s="177"/>
      <c r="D46" s="126"/>
      <c r="E46" s="47"/>
      <c r="F46" s="47"/>
      <c r="G46" s="47"/>
      <c r="H46" s="47"/>
      <c r="I46" s="47"/>
      <c r="J46" s="47"/>
      <c r="K46" s="47"/>
      <c r="L46" s="47"/>
      <c r="M46" s="47"/>
      <c r="N46" s="100"/>
      <c r="O46" s="47"/>
      <c r="P46" s="85"/>
      <c r="Q46" s="85"/>
      <c r="R46" s="47"/>
      <c r="S46" s="103"/>
    </row>
    <row r="47" spans="1:19" ht="20.100000000000001" customHeight="1" x14ac:dyDescent="0.3">
      <c r="A47" s="120">
        <v>44</v>
      </c>
      <c r="B47" s="126"/>
      <c r="C47" s="177"/>
      <c r="D47" s="126"/>
      <c r="E47" s="47"/>
      <c r="F47" s="47"/>
      <c r="G47" s="47"/>
      <c r="H47" s="47"/>
      <c r="I47" s="47"/>
      <c r="J47" s="47"/>
      <c r="K47" s="47"/>
      <c r="L47" s="47"/>
      <c r="M47" s="47"/>
      <c r="N47" s="100"/>
      <c r="O47" s="47"/>
      <c r="P47" s="85"/>
      <c r="Q47" s="85"/>
      <c r="R47" s="47"/>
      <c r="S47" s="103"/>
    </row>
    <row r="48" spans="1:19" ht="20.100000000000001" customHeight="1" x14ac:dyDescent="0.3">
      <c r="A48" s="120">
        <v>45</v>
      </c>
      <c r="B48" s="126"/>
      <c r="C48" s="177"/>
      <c r="D48" s="126"/>
      <c r="E48" s="47"/>
      <c r="F48" s="47"/>
      <c r="G48" s="47"/>
      <c r="H48" s="47"/>
      <c r="I48" s="47"/>
      <c r="J48" s="47"/>
      <c r="K48" s="47"/>
      <c r="L48" s="47"/>
      <c r="M48" s="47"/>
      <c r="N48" s="100"/>
      <c r="O48" s="47"/>
      <c r="P48" s="85"/>
      <c r="Q48" s="85"/>
      <c r="R48" s="47"/>
      <c r="S48" s="103"/>
    </row>
    <row r="49" spans="1:19" ht="20.100000000000001" customHeight="1" x14ac:dyDescent="0.3">
      <c r="A49" s="120">
        <v>46</v>
      </c>
      <c r="B49" s="126"/>
      <c r="C49" s="177"/>
      <c r="D49" s="126"/>
      <c r="E49" s="47"/>
      <c r="F49" s="47"/>
      <c r="G49" s="47"/>
      <c r="H49" s="47"/>
      <c r="I49" s="47"/>
      <c r="J49" s="47"/>
      <c r="K49" s="47"/>
      <c r="L49" s="47"/>
      <c r="M49" s="47"/>
      <c r="N49" s="100"/>
      <c r="O49" s="47"/>
      <c r="P49" s="85"/>
      <c r="Q49" s="85"/>
      <c r="R49" s="47"/>
      <c r="S49" s="103"/>
    </row>
    <row r="50" spans="1:19" ht="20.100000000000001" customHeight="1" x14ac:dyDescent="0.3">
      <c r="A50" s="120">
        <v>47</v>
      </c>
      <c r="B50" s="126"/>
      <c r="C50" s="177"/>
      <c r="D50" s="126"/>
      <c r="E50" s="47"/>
      <c r="F50" s="47"/>
      <c r="G50" s="47"/>
      <c r="H50" s="47"/>
      <c r="I50" s="47"/>
      <c r="J50" s="47"/>
      <c r="K50" s="47"/>
      <c r="L50" s="47"/>
      <c r="M50" s="47"/>
      <c r="N50" s="100"/>
      <c r="O50" s="47"/>
      <c r="P50" s="85"/>
      <c r="Q50" s="85"/>
      <c r="R50" s="47"/>
      <c r="S50" s="103"/>
    </row>
    <row r="51" spans="1:19" ht="20.100000000000001" customHeight="1" x14ac:dyDescent="0.3">
      <c r="A51" s="120">
        <v>48</v>
      </c>
      <c r="B51" s="126"/>
      <c r="C51" s="177"/>
      <c r="D51" s="126"/>
      <c r="E51" s="47"/>
      <c r="F51" s="47"/>
      <c r="G51" s="47"/>
      <c r="H51" s="47"/>
      <c r="I51" s="47"/>
      <c r="J51" s="47"/>
      <c r="K51" s="47"/>
      <c r="L51" s="47"/>
      <c r="M51" s="47"/>
      <c r="N51" s="100"/>
      <c r="O51" s="47"/>
      <c r="P51" s="85"/>
      <c r="Q51" s="85"/>
      <c r="R51" s="47"/>
      <c r="S51" s="103"/>
    </row>
    <row r="52" spans="1:19" ht="20.100000000000001" customHeight="1" x14ac:dyDescent="0.3">
      <c r="A52" s="120">
        <v>49</v>
      </c>
      <c r="B52" s="126"/>
      <c r="C52" s="177"/>
      <c r="D52" s="126"/>
      <c r="E52" s="47"/>
      <c r="F52" s="47"/>
      <c r="G52" s="47"/>
      <c r="H52" s="47"/>
      <c r="I52" s="47"/>
      <c r="J52" s="47"/>
      <c r="K52" s="47"/>
      <c r="L52" s="47"/>
      <c r="M52" s="47"/>
      <c r="N52" s="100"/>
      <c r="O52" s="47"/>
      <c r="P52" s="85"/>
      <c r="Q52" s="85"/>
      <c r="R52" s="47"/>
      <c r="S52" s="103"/>
    </row>
    <row r="53" spans="1:19" ht="20.100000000000001" customHeight="1" x14ac:dyDescent="0.3">
      <c r="A53" s="120">
        <v>50</v>
      </c>
      <c r="B53" s="126"/>
      <c r="C53" s="177"/>
      <c r="D53" s="126"/>
      <c r="E53" s="47"/>
      <c r="F53" s="47"/>
      <c r="G53" s="47"/>
      <c r="H53" s="47"/>
      <c r="I53" s="47"/>
      <c r="J53" s="47"/>
      <c r="K53" s="47"/>
      <c r="L53" s="47"/>
      <c r="M53" s="47"/>
      <c r="N53" s="100"/>
      <c r="O53" s="47"/>
      <c r="P53" s="85"/>
      <c r="Q53" s="85"/>
      <c r="R53" s="47"/>
      <c r="S53" s="103"/>
    </row>
    <row r="54" spans="1:19" ht="20.100000000000001" customHeight="1" x14ac:dyDescent="0.3">
      <c r="A54" s="120">
        <v>51</v>
      </c>
      <c r="B54" s="126"/>
      <c r="C54" s="177"/>
      <c r="D54" s="126"/>
      <c r="E54" s="47"/>
      <c r="F54" s="47"/>
      <c r="G54" s="47"/>
      <c r="H54" s="47"/>
      <c r="I54" s="47"/>
      <c r="J54" s="47"/>
      <c r="K54" s="47"/>
      <c r="L54" s="47"/>
      <c r="M54" s="47"/>
      <c r="N54" s="100"/>
      <c r="O54" s="47"/>
      <c r="P54" s="85"/>
      <c r="Q54" s="85"/>
      <c r="R54" s="47"/>
      <c r="S54" s="103"/>
    </row>
    <row r="55" spans="1:19" ht="20.100000000000001" customHeight="1" x14ac:dyDescent="0.3">
      <c r="A55" s="120">
        <v>52</v>
      </c>
      <c r="B55" s="126"/>
      <c r="C55" s="177"/>
      <c r="D55" s="126"/>
      <c r="E55" s="47"/>
      <c r="F55" s="47"/>
      <c r="G55" s="47"/>
      <c r="H55" s="47"/>
      <c r="I55" s="47"/>
      <c r="J55" s="47"/>
      <c r="K55" s="47"/>
      <c r="L55" s="47"/>
      <c r="M55" s="47"/>
      <c r="N55" s="100"/>
      <c r="O55" s="47"/>
      <c r="P55" s="85"/>
      <c r="Q55" s="85"/>
      <c r="R55" s="47"/>
      <c r="S55" s="103"/>
    </row>
    <row r="56" spans="1:19" ht="20.100000000000001" customHeight="1" x14ac:dyDescent="0.25">
      <c r="A56" s="120">
        <v>53</v>
      </c>
      <c r="B56" s="20"/>
      <c r="C56" s="20"/>
      <c r="D56" s="20"/>
      <c r="E56" s="20"/>
      <c r="F56" s="20"/>
      <c r="G56" s="20"/>
      <c r="H56" s="20"/>
      <c r="I56" s="20"/>
      <c r="J56" s="20"/>
      <c r="K56" s="20"/>
      <c r="L56" s="20"/>
      <c r="M56" s="20"/>
      <c r="N56" s="20"/>
      <c r="O56" s="20"/>
      <c r="P56" s="20"/>
      <c r="Q56" s="20"/>
      <c r="R56" s="20"/>
      <c r="S56" s="20"/>
    </row>
    <row r="57" spans="1:19" ht="20.100000000000001" customHeight="1" x14ac:dyDescent="0.25">
      <c r="A57" s="120">
        <v>54</v>
      </c>
      <c r="B57" s="20"/>
      <c r="C57" s="20"/>
      <c r="D57" s="20"/>
      <c r="E57" s="20"/>
      <c r="F57" s="20"/>
      <c r="G57" s="20"/>
      <c r="H57" s="20"/>
      <c r="I57" s="20"/>
      <c r="J57" s="20"/>
      <c r="K57" s="20"/>
      <c r="L57" s="20"/>
      <c r="M57" s="20"/>
      <c r="N57" s="20"/>
      <c r="O57" s="20"/>
      <c r="P57" s="20"/>
      <c r="Q57" s="20"/>
      <c r="R57" s="20"/>
      <c r="S57" s="20"/>
    </row>
    <row r="58" spans="1:19" ht="20.100000000000001" customHeight="1" x14ac:dyDescent="0.25">
      <c r="A58" s="120">
        <v>55</v>
      </c>
      <c r="B58" s="20"/>
      <c r="C58" s="20"/>
      <c r="D58" s="20"/>
      <c r="E58" s="20"/>
      <c r="F58" s="20"/>
      <c r="G58" s="20"/>
      <c r="H58" s="20"/>
      <c r="I58" s="20"/>
      <c r="J58" s="20"/>
      <c r="K58" s="20"/>
      <c r="L58" s="20"/>
      <c r="M58" s="20"/>
      <c r="N58" s="20"/>
      <c r="O58" s="20"/>
      <c r="P58" s="20"/>
      <c r="Q58" s="20"/>
      <c r="R58" s="20"/>
      <c r="S58" s="20"/>
    </row>
    <row r="59" spans="1:19" ht="13.5" customHeight="1" x14ac:dyDescent="0.25"/>
    <row r="60" spans="1:19" ht="13.5" customHeight="1" x14ac:dyDescent="0.25"/>
    <row r="61" spans="1:19" ht="13.5" customHeight="1" x14ac:dyDescent="0.25"/>
    <row r="62" spans="1:19" ht="13.5" customHeight="1" x14ac:dyDescent="0.25"/>
    <row r="63" spans="1:19" ht="13.5" customHeight="1" x14ac:dyDescent="0.25"/>
    <row r="64" spans="1:19" ht="13.5" customHeight="1" x14ac:dyDescent="0.25"/>
    <row r="65" spans="1:4" ht="13.5" customHeight="1" x14ac:dyDescent="0.25"/>
    <row r="66" spans="1:4" ht="13.5" customHeight="1" x14ac:dyDescent="0.25">
      <c r="A66" s="46"/>
      <c r="B66" s="46"/>
    </row>
    <row r="67" spans="1:4" ht="13.5" customHeight="1" x14ac:dyDescent="0.25">
      <c r="A67" s="46"/>
      <c r="B67" s="46"/>
    </row>
    <row r="68" spans="1:4" ht="13.5" customHeight="1" x14ac:dyDescent="0.25">
      <c r="A68" s="46"/>
      <c r="B68" s="46"/>
    </row>
    <row r="69" spans="1:4" ht="13.5" customHeight="1" x14ac:dyDescent="0.25">
      <c r="A69" s="46"/>
      <c r="B69" s="46"/>
    </row>
    <row r="70" spans="1:4" ht="13.5" customHeight="1" x14ac:dyDescent="0.25">
      <c r="A70" s="46"/>
      <c r="B70" s="46"/>
    </row>
    <row r="71" spans="1:4" ht="13.5" customHeight="1" x14ac:dyDescent="0.25">
      <c r="A71" s="46"/>
      <c r="B71" s="46"/>
    </row>
    <row r="72" spans="1:4" ht="13.5" customHeight="1" x14ac:dyDescent="0.25">
      <c r="A72" s="46"/>
      <c r="B72" s="46"/>
    </row>
    <row r="73" spans="1:4" ht="13.5" customHeight="1" x14ac:dyDescent="0.25">
      <c r="A73" s="46"/>
      <c r="B73" s="46"/>
    </row>
    <row r="74" spans="1:4" ht="13.5" customHeight="1" x14ac:dyDescent="0.25">
      <c r="A74" s="46"/>
      <c r="B74" s="46"/>
    </row>
    <row r="75" spans="1:4" ht="13.5" customHeight="1" x14ac:dyDescent="0.25">
      <c r="A75" s="46"/>
      <c r="B75" s="46"/>
      <c r="C75" s="9"/>
      <c r="D75" s="9"/>
    </row>
    <row r="76" spans="1:4" ht="13.5" customHeight="1" x14ac:dyDescent="0.25">
      <c r="A76" s="46"/>
      <c r="B76" s="46"/>
      <c r="C76" s="9"/>
      <c r="D76" s="9"/>
    </row>
    <row r="77" spans="1:4" ht="13.5" customHeight="1" x14ac:dyDescent="0.25">
      <c r="A77" s="46"/>
      <c r="B77" s="46"/>
      <c r="C77" s="9"/>
      <c r="D77" s="9"/>
    </row>
    <row r="78" spans="1:4" ht="13.5" customHeight="1" x14ac:dyDescent="0.25">
      <c r="A78" s="46"/>
      <c r="B78" s="46"/>
      <c r="C78" s="9"/>
      <c r="D78" s="9"/>
    </row>
    <row r="79" spans="1:4" ht="13.5" customHeight="1" x14ac:dyDescent="0.25">
      <c r="A79" s="46"/>
      <c r="B79" s="46"/>
      <c r="C79" s="9"/>
      <c r="D79" s="9"/>
    </row>
    <row r="80" spans="1:4" ht="13.5" customHeight="1" x14ac:dyDescent="0.25">
      <c r="A80" s="46"/>
      <c r="B80" s="46"/>
      <c r="C80" s="9"/>
      <c r="D80" s="9"/>
    </row>
    <row r="81" spans="1:4" ht="13.5" customHeight="1" x14ac:dyDescent="0.25">
      <c r="A81" s="46"/>
      <c r="B81" s="46"/>
      <c r="C81" s="9"/>
      <c r="D81" s="9"/>
    </row>
    <row r="82" spans="1:4" ht="13.5" customHeight="1" x14ac:dyDescent="0.25">
      <c r="A82" s="46"/>
      <c r="B82" s="46"/>
      <c r="C82" s="9"/>
      <c r="D82" s="9"/>
    </row>
    <row r="83" spans="1:4" ht="13.5" customHeight="1" x14ac:dyDescent="0.25">
      <c r="A83" s="46"/>
      <c r="B83" s="46"/>
      <c r="C83" s="9"/>
      <c r="D83" s="9"/>
    </row>
    <row r="84" spans="1:4" ht="13.5" customHeight="1" x14ac:dyDescent="0.25">
      <c r="A84" s="46"/>
      <c r="B84" s="46"/>
    </row>
    <row r="85" spans="1:4" ht="13.5" customHeight="1" x14ac:dyDescent="0.25">
      <c r="A85" s="46"/>
      <c r="B85" s="46"/>
    </row>
    <row r="86" spans="1:4" ht="13.5" customHeight="1" x14ac:dyDescent="0.25">
      <c r="A86" s="46"/>
      <c r="B86" s="46"/>
    </row>
    <row r="87" spans="1:4" ht="13.5" customHeight="1" x14ac:dyDescent="0.25">
      <c r="A87" s="46"/>
      <c r="B87" s="46"/>
    </row>
    <row r="88" spans="1:4" ht="13.5" customHeight="1" x14ac:dyDescent="0.25">
      <c r="A88" s="46"/>
      <c r="B88" s="46"/>
    </row>
    <row r="89" spans="1:4" ht="13.5" customHeight="1" x14ac:dyDescent="0.25">
      <c r="A89" s="46"/>
      <c r="B89" s="46"/>
    </row>
    <row r="90" spans="1:4" ht="13.5" customHeight="1" x14ac:dyDescent="0.25">
      <c r="A90" s="46"/>
      <c r="B90" s="46"/>
    </row>
    <row r="91" spans="1:4" ht="13.5" customHeight="1" x14ac:dyDescent="0.25">
      <c r="A91" s="46"/>
      <c r="B91" s="46"/>
    </row>
    <row r="92" spans="1:4" ht="13.5" customHeight="1" x14ac:dyDescent="0.25">
      <c r="A92" s="46"/>
      <c r="B92" s="46"/>
    </row>
    <row r="93" spans="1:4" ht="13.5" customHeight="1" x14ac:dyDescent="0.25">
      <c r="A93" s="46"/>
      <c r="B93" s="46"/>
    </row>
    <row r="94" spans="1:4" ht="13.5" customHeight="1" x14ac:dyDescent="0.25">
      <c r="A94" s="46"/>
      <c r="B94" s="46"/>
    </row>
    <row r="95" spans="1:4" ht="13.5" customHeight="1" x14ac:dyDescent="0.25">
      <c r="A95" s="46"/>
      <c r="B95" s="46"/>
    </row>
    <row r="96" spans="1:4" ht="13.5" customHeight="1" x14ac:dyDescent="0.25">
      <c r="A96" s="46"/>
      <c r="B96" s="46"/>
    </row>
    <row r="97" spans="1:2" ht="13.5" customHeight="1" x14ac:dyDescent="0.25">
      <c r="A97" s="46"/>
      <c r="B97" s="46"/>
    </row>
    <row r="98" spans="1:2" ht="13.5" customHeight="1" x14ac:dyDescent="0.25">
      <c r="A98" s="46"/>
      <c r="B98" s="46"/>
    </row>
    <row r="99" spans="1:2" ht="15" customHeight="1" x14ac:dyDescent="0.25">
      <c r="A99" s="46"/>
      <c r="B99" s="46"/>
    </row>
  </sheetData>
  <mergeCells count="2">
    <mergeCell ref="A1:S1"/>
    <mergeCell ref="A2:S2"/>
  </mergeCells>
  <conditionalFormatting sqref="E4:N33">
    <cfRule type="cellIs" dxfId="3" priority="1" operator="lessThan">
      <formula>50</formula>
    </cfRule>
  </conditionalFormatting>
  <pageMargins left="0.7" right="0.7" top="0.75" bottom="0.75" header="0.3" footer="0.3"/>
  <pageSetup paperSize="9" scale="77" fitToHeight="0" orientation="landscape" verticalDpi="0" r:id="rId1"/>
  <rowBreaks count="1" manualBreakCount="1">
    <brk id="33" max="16383"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97"/>
  <sheetViews>
    <sheetView workbookViewId="0">
      <selection activeCell="B4" sqref="B4:B33"/>
    </sheetView>
  </sheetViews>
  <sheetFormatPr defaultRowHeight="15" x14ac:dyDescent="0.25"/>
  <cols>
    <col min="1" max="1" width="4.85546875" customWidth="1"/>
    <col min="2" max="2" width="37.140625" customWidth="1"/>
    <col min="3" max="3" width="6.140625" customWidth="1"/>
    <col min="4" max="4" width="4.85546875" customWidth="1"/>
    <col min="5" max="19" width="7.7109375" customWidth="1"/>
    <col min="20" max="20" width="38.28515625" customWidth="1"/>
    <col min="21" max="22" width="4.85546875" customWidth="1"/>
  </cols>
  <sheetData>
    <row r="1" spans="1:22" ht="20.25" customHeight="1" thickBot="1" x14ac:dyDescent="0.3">
      <c r="A1" s="341" t="s">
        <v>57</v>
      </c>
      <c r="B1" s="342"/>
      <c r="C1" s="342"/>
      <c r="D1" s="342"/>
      <c r="E1" s="342"/>
      <c r="F1" s="342"/>
      <c r="G1" s="342"/>
      <c r="H1" s="342"/>
      <c r="I1" s="342"/>
      <c r="J1" s="342"/>
      <c r="K1" s="342"/>
      <c r="L1" s="342"/>
      <c r="M1" s="342"/>
      <c r="N1" s="342"/>
      <c r="O1" s="342"/>
      <c r="P1" s="342"/>
      <c r="Q1" s="342"/>
      <c r="R1" s="342"/>
      <c r="S1" s="343"/>
      <c r="T1" s="46"/>
    </row>
    <row r="2" spans="1:22" ht="15.75" customHeight="1" thickBot="1" x14ac:dyDescent="0.3">
      <c r="A2" s="345" t="s">
        <v>58</v>
      </c>
      <c r="B2" s="345"/>
      <c r="C2" s="345"/>
      <c r="D2" s="345"/>
      <c r="E2" s="345"/>
      <c r="F2" s="345"/>
      <c r="G2" s="345"/>
      <c r="H2" s="345"/>
      <c r="I2" s="345"/>
      <c r="J2" s="345"/>
      <c r="K2" s="345"/>
      <c r="L2" s="345"/>
      <c r="M2" s="345"/>
      <c r="N2" s="345"/>
      <c r="O2" s="345"/>
      <c r="P2" s="345"/>
      <c r="Q2" s="345"/>
      <c r="R2" s="345"/>
      <c r="S2" s="344"/>
      <c r="T2" s="46"/>
    </row>
    <row r="3" spans="1:22" ht="52.5" customHeight="1" x14ac:dyDescent="0.25">
      <c r="A3" s="52" t="s">
        <v>28</v>
      </c>
      <c r="B3" s="205" t="s">
        <v>1</v>
      </c>
      <c r="C3" s="205" t="s">
        <v>2</v>
      </c>
      <c r="D3" s="205" t="s">
        <v>3</v>
      </c>
      <c r="E3" s="25" t="s">
        <v>4</v>
      </c>
      <c r="F3" s="25" t="s">
        <v>5</v>
      </c>
      <c r="G3" s="25" t="s">
        <v>6</v>
      </c>
      <c r="H3" s="25" t="s">
        <v>7</v>
      </c>
      <c r="I3" s="25" t="s">
        <v>8</v>
      </c>
      <c r="J3" s="25" t="s">
        <v>9</v>
      </c>
      <c r="K3" s="25" t="s">
        <v>12</v>
      </c>
      <c r="L3" s="27" t="s">
        <v>31</v>
      </c>
      <c r="M3" s="27" t="s">
        <v>13</v>
      </c>
      <c r="N3" s="25" t="s">
        <v>14</v>
      </c>
      <c r="O3" s="27" t="s">
        <v>15</v>
      </c>
      <c r="P3" s="25" t="s">
        <v>16</v>
      </c>
      <c r="Q3" s="25" t="s">
        <v>17</v>
      </c>
      <c r="R3" s="25" t="s">
        <v>18</v>
      </c>
      <c r="S3" s="208" t="s">
        <v>19</v>
      </c>
    </row>
    <row r="4" spans="1:22" ht="20.100000000000001" customHeight="1" x14ac:dyDescent="0.25">
      <c r="A4" s="120">
        <v>1</v>
      </c>
      <c r="B4" s="142"/>
      <c r="C4" s="156">
        <v>18</v>
      </c>
      <c r="D4" s="156" t="s">
        <v>20</v>
      </c>
      <c r="E4" s="31">
        <v>71</v>
      </c>
      <c r="F4" s="31">
        <v>54</v>
      </c>
      <c r="G4" s="31">
        <v>44</v>
      </c>
      <c r="H4" s="31">
        <v>60</v>
      </c>
      <c r="I4" s="31">
        <v>56</v>
      </c>
      <c r="J4" s="31">
        <v>67</v>
      </c>
      <c r="K4" s="31">
        <v>56</v>
      </c>
      <c r="L4" s="31">
        <v>66</v>
      </c>
      <c r="M4" s="31">
        <v>75</v>
      </c>
      <c r="N4" s="48">
        <v>97</v>
      </c>
      <c r="O4" s="31">
        <f>SUM(E4:N4)</f>
        <v>646</v>
      </c>
      <c r="P4" s="30">
        <f>AVERAGE(E4:N4)</f>
        <v>64.599999999999994</v>
      </c>
      <c r="Q4" s="30">
        <f>RANK(P4,$P$4:$P$33)</f>
        <v>29</v>
      </c>
      <c r="R4" s="31"/>
      <c r="S4" s="74"/>
    </row>
    <row r="5" spans="1:22" ht="20.100000000000001" customHeight="1" x14ac:dyDescent="0.25">
      <c r="A5" s="120">
        <v>2</v>
      </c>
      <c r="B5" s="142"/>
      <c r="C5" s="156">
        <v>16</v>
      </c>
      <c r="D5" s="156" t="s">
        <v>20</v>
      </c>
      <c r="E5" s="31">
        <v>96</v>
      </c>
      <c r="F5" s="31">
        <v>90</v>
      </c>
      <c r="G5" s="31">
        <v>100</v>
      </c>
      <c r="H5" s="31">
        <v>100</v>
      </c>
      <c r="I5" s="31">
        <v>100</v>
      </c>
      <c r="J5" s="31">
        <v>100</v>
      </c>
      <c r="K5" s="31">
        <v>99</v>
      </c>
      <c r="L5" s="31">
        <v>100</v>
      </c>
      <c r="M5" s="31">
        <v>94</v>
      </c>
      <c r="N5" s="48">
        <v>100</v>
      </c>
      <c r="O5" s="31">
        <f t="shared" ref="O5:O33" si="0">SUM(E5:N5)</f>
        <v>979</v>
      </c>
      <c r="P5" s="30">
        <f t="shared" ref="P5:P33" si="1">AVERAGE(E5:N5)</f>
        <v>97.9</v>
      </c>
      <c r="Q5" s="30">
        <f t="shared" ref="Q5:Q33" si="2">RANK(P5,$P$4:$P$33)</f>
        <v>2</v>
      </c>
      <c r="R5" s="31"/>
      <c r="S5" s="74"/>
    </row>
    <row r="6" spans="1:22" ht="20.100000000000001" customHeight="1" x14ac:dyDescent="0.25">
      <c r="A6" s="120">
        <v>3</v>
      </c>
      <c r="B6" s="142"/>
      <c r="C6" s="156">
        <v>16</v>
      </c>
      <c r="D6" s="156" t="s">
        <v>20</v>
      </c>
      <c r="E6" s="31">
        <v>96</v>
      </c>
      <c r="F6" s="31">
        <v>95</v>
      </c>
      <c r="G6" s="31">
        <v>91</v>
      </c>
      <c r="H6" s="31">
        <v>100</v>
      </c>
      <c r="I6" s="31">
        <v>98</v>
      </c>
      <c r="J6" s="31">
        <v>100</v>
      </c>
      <c r="K6" s="31">
        <v>99</v>
      </c>
      <c r="L6" s="31">
        <v>94</v>
      </c>
      <c r="M6" s="31">
        <v>99</v>
      </c>
      <c r="N6" s="48">
        <v>100</v>
      </c>
      <c r="O6" s="31">
        <f t="shared" si="0"/>
        <v>972</v>
      </c>
      <c r="P6" s="30">
        <f t="shared" si="1"/>
        <v>97.2</v>
      </c>
      <c r="Q6" s="30">
        <f t="shared" si="2"/>
        <v>3</v>
      </c>
      <c r="R6" s="31"/>
      <c r="S6" s="74"/>
    </row>
    <row r="7" spans="1:22" ht="20.100000000000001" customHeight="1" x14ac:dyDescent="0.25">
      <c r="A7" s="120">
        <v>4</v>
      </c>
      <c r="B7" s="142"/>
      <c r="C7" s="156">
        <v>16</v>
      </c>
      <c r="D7" s="156" t="s">
        <v>20</v>
      </c>
      <c r="E7" s="31">
        <v>93</v>
      </c>
      <c r="F7" s="31">
        <v>95</v>
      </c>
      <c r="G7" s="31">
        <v>90</v>
      </c>
      <c r="H7" s="31">
        <v>85</v>
      </c>
      <c r="I7" s="31">
        <v>83</v>
      </c>
      <c r="J7" s="31">
        <v>91</v>
      </c>
      <c r="K7" s="31">
        <v>97</v>
      </c>
      <c r="L7" s="31">
        <v>55</v>
      </c>
      <c r="M7" s="31">
        <v>98</v>
      </c>
      <c r="N7" s="48">
        <v>93</v>
      </c>
      <c r="O7" s="31">
        <f t="shared" si="0"/>
        <v>880</v>
      </c>
      <c r="P7" s="30">
        <f t="shared" si="1"/>
        <v>88</v>
      </c>
      <c r="Q7" s="30">
        <f t="shared" si="2"/>
        <v>7</v>
      </c>
      <c r="R7" s="31"/>
      <c r="S7" s="74"/>
    </row>
    <row r="8" spans="1:22" ht="20.100000000000001" customHeight="1" x14ac:dyDescent="0.25">
      <c r="A8" s="120">
        <v>5</v>
      </c>
      <c r="B8" s="142"/>
      <c r="C8" s="156">
        <v>17</v>
      </c>
      <c r="D8" s="156" t="s">
        <v>23</v>
      </c>
      <c r="E8" s="31">
        <v>94</v>
      </c>
      <c r="F8" s="31">
        <v>73</v>
      </c>
      <c r="G8" s="31">
        <v>55</v>
      </c>
      <c r="H8" s="31">
        <v>76</v>
      </c>
      <c r="I8" s="31">
        <v>62</v>
      </c>
      <c r="J8" s="31">
        <v>90</v>
      </c>
      <c r="K8" s="31">
        <v>84</v>
      </c>
      <c r="L8" s="31">
        <v>98</v>
      </c>
      <c r="M8" s="31">
        <v>86</v>
      </c>
      <c r="N8" s="48">
        <v>94</v>
      </c>
      <c r="O8" s="31">
        <f t="shared" si="0"/>
        <v>812</v>
      </c>
      <c r="P8" s="30">
        <f t="shared" si="1"/>
        <v>81.2</v>
      </c>
      <c r="Q8" s="30">
        <f t="shared" si="2"/>
        <v>17</v>
      </c>
      <c r="R8" s="31"/>
      <c r="S8" s="74"/>
      <c r="T8" s="9"/>
      <c r="U8" s="9"/>
      <c r="V8" s="9"/>
    </row>
    <row r="9" spans="1:22" ht="20.100000000000001" customHeight="1" x14ac:dyDescent="0.25">
      <c r="A9" s="120">
        <v>6</v>
      </c>
      <c r="B9" s="142"/>
      <c r="C9" s="156">
        <v>16</v>
      </c>
      <c r="D9" s="156" t="s">
        <v>23</v>
      </c>
      <c r="E9" s="224"/>
      <c r="F9" s="224"/>
      <c r="G9" s="224"/>
      <c r="H9" s="224"/>
      <c r="I9" s="224"/>
      <c r="J9" s="224"/>
      <c r="K9" s="224"/>
      <c r="L9" s="224"/>
      <c r="M9" s="224"/>
      <c r="N9" s="232"/>
      <c r="O9" s="31">
        <f t="shared" si="0"/>
        <v>0</v>
      </c>
      <c r="P9" s="30"/>
      <c r="Q9" s="30"/>
      <c r="R9" s="31"/>
      <c r="S9" s="74"/>
      <c r="T9" s="9"/>
      <c r="U9" s="9"/>
      <c r="V9" s="9"/>
    </row>
    <row r="10" spans="1:22" ht="20.100000000000001" customHeight="1" x14ac:dyDescent="0.25">
      <c r="A10" s="120">
        <v>7</v>
      </c>
      <c r="B10" s="142"/>
      <c r="C10" s="156">
        <v>16</v>
      </c>
      <c r="D10" s="156" t="s">
        <v>23</v>
      </c>
      <c r="E10" s="31">
        <v>90</v>
      </c>
      <c r="F10" s="31">
        <v>91</v>
      </c>
      <c r="G10" s="31">
        <v>43</v>
      </c>
      <c r="H10" s="31">
        <v>63</v>
      </c>
      <c r="I10" s="31">
        <v>54</v>
      </c>
      <c r="J10" s="31">
        <v>76</v>
      </c>
      <c r="K10" s="31">
        <v>94</v>
      </c>
      <c r="L10" s="31">
        <v>55</v>
      </c>
      <c r="M10" s="31">
        <v>93</v>
      </c>
      <c r="N10" s="48">
        <v>91</v>
      </c>
      <c r="O10" s="31">
        <f t="shared" si="0"/>
        <v>750</v>
      </c>
      <c r="P10" s="30">
        <f t="shared" si="1"/>
        <v>75</v>
      </c>
      <c r="Q10" s="30">
        <f t="shared" si="2"/>
        <v>22</v>
      </c>
      <c r="R10" s="31"/>
      <c r="S10" s="74"/>
      <c r="T10" s="9"/>
      <c r="U10" s="9"/>
      <c r="V10" s="9"/>
    </row>
    <row r="11" spans="1:22" ht="20.100000000000001" customHeight="1" x14ac:dyDescent="0.25">
      <c r="A11" s="120">
        <v>8</v>
      </c>
      <c r="B11" s="142"/>
      <c r="C11" s="156">
        <v>16</v>
      </c>
      <c r="D11" s="156" t="s">
        <v>23</v>
      </c>
      <c r="E11" s="31">
        <v>93</v>
      </c>
      <c r="F11" s="31">
        <v>68</v>
      </c>
      <c r="G11" s="31">
        <v>69</v>
      </c>
      <c r="H11" s="31">
        <v>72</v>
      </c>
      <c r="I11" s="31">
        <v>71</v>
      </c>
      <c r="J11" s="31">
        <v>89</v>
      </c>
      <c r="K11" s="31">
        <v>85</v>
      </c>
      <c r="L11" s="31">
        <v>98</v>
      </c>
      <c r="M11" s="31">
        <v>83</v>
      </c>
      <c r="N11" s="48">
        <v>95</v>
      </c>
      <c r="O11" s="31">
        <f t="shared" si="0"/>
        <v>823</v>
      </c>
      <c r="P11" s="30">
        <f t="shared" si="1"/>
        <v>82.3</v>
      </c>
      <c r="Q11" s="30">
        <f t="shared" si="2"/>
        <v>14</v>
      </c>
      <c r="R11" s="31"/>
      <c r="S11" s="74"/>
      <c r="T11" s="9"/>
      <c r="U11" s="9"/>
      <c r="V11" s="9"/>
    </row>
    <row r="12" spans="1:22" ht="20.100000000000001" customHeight="1" x14ac:dyDescent="0.25">
      <c r="A12" s="120">
        <v>9</v>
      </c>
      <c r="B12" s="142"/>
      <c r="C12" s="156">
        <v>16</v>
      </c>
      <c r="D12" s="156" t="s">
        <v>23</v>
      </c>
      <c r="E12" s="31">
        <v>95</v>
      </c>
      <c r="F12" s="31">
        <v>95</v>
      </c>
      <c r="G12" s="31">
        <v>83</v>
      </c>
      <c r="H12" s="31">
        <v>85</v>
      </c>
      <c r="I12" s="31">
        <v>84</v>
      </c>
      <c r="J12" s="31">
        <v>99</v>
      </c>
      <c r="K12" s="31">
        <v>95</v>
      </c>
      <c r="L12" s="31">
        <v>99</v>
      </c>
      <c r="M12" s="31">
        <v>91</v>
      </c>
      <c r="N12" s="48">
        <v>94</v>
      </c>
      <c r="O12" s="31">
        <f t="shared" si="0"/>
        <v>920</v>
      </c>
      <c r="P12" s="30">
        <f t="shared" si="1"/>
        <v>92</v>
      </c>
      <c r="Q12" s="30">
        <f t="shared" si="2"/>
        <v>5</v>
      </c>
      <c r="R12" s="31"/>
      <c r="S12" s="74"/>
      <c r="T12" s="9"/>
      <c r="U12" s="9"/>
      <c r="V12" s="9"/>
    </row>
    <row r="13" spans="1:22" ht="20.100000000000001" customHeight="1" x14ac:dyDescent="0.25">
      <c r="A13" s="120">
        <v>10</v>
      </c>
      <c r="B13" s="142"/>
      <c r="C13" s="156">
        <v>17</v>
      </c>
      <c r="D13" s="156" t="s">
        <v>20</v>
      </c>
      <c r="E13" s="31">
        <v>91</v>
      </c>
      <c r="F13" s="31">
        <v>80</v>
      </c>
      <c r="G13" s="31">
        <v>64</v>
      </c>
      <c r="H13" s="31">
        <v>77</v>
      </c>
      <c r="I13" s="31">
        <v>57</v>
      </c>
      <c r="J13" s="31">
        <v>89</v>
      </c>
      <c r="K13" s="31">
        <v>91</v>
      </c>
      <c r="L13" s="31">
        <v>45</v>
      </c>
      <c r="M13" s="31">
        <v>89</v>
      </c>
      <c r="N13" s="48">
        <v>97</v>
      </c>
      <c r="O13" s="31">
        <f t="shared" si="0"/>
        <v>780</v>
      </c>
      <c r="P13" s="30">
        <f t="shared" si="1"/>
        <v>78</v>
      </c>
      <c r="Q13" s="30">
        <f t="shared" si="2"/>
        <v>19</v>
      </c>
      <c r="R13" s="31"/>
      <c r="S13" s="74"/>
      <c r="T13" s="9"/>
      <c r="U13" s="9"/>
      <c r="V13" s="9"/>
    </row>
    <row r="14" spans="1:22" ht="20.100000000000001" customHeight="1" x14ac:dyDescent="0.25">
      <c r="A14" s="120">
        <v>11</v>
      </c>
      <c r="B14" s="142"/>
      <c r="C14" s="156">
        <v>17</v>
      </c>
      <c r="D14" s="156" t="s">
        <v>20</v>
      </c>
      <c r="E14" s="31">
        <v>75</v>
      </c>
      <c r="F14" s="31">
        <v>66</v>
      </c>
      <c r="G14" s="31">
        <v>37</v>
      </c>
      <c r="H14" s="31">
        <v>47</v>
      </c>
      <c r="I14" s="31">
        <v>41</v>
      </c>
      <c r="J14" s="31">
        <v>81</v>
      </c>
      <c r="K14" s="31">
        <v>75</v>
      </c>
      <c r="L14" s="31">
        <v>49</v>
      </c>
      <c r="M14" s="31">
        <v>90</v>
      </c>
      <c r="N14" s="48">
        <v>88</v>
      </c>
      <c r="O14" s="31">
        <f t="shared" si="0"/>
        <v>649</v>
      </c>
      <c r="P14" s="30">
        <f t="shared" si="1"/>
        <v>64.900000000000006</v>
      </c>
      <c r="Q14" s="30">
        <f t="shared" si="2"/>
        <v>28</v>
      </c>
      <c r="R14" s="31"/>
      <c r="S14" s="74"/>
      <c r="T14" s="9"/>
      <c r="U14" s="9"/>
      <c r="V14" s="9"/>
    </row>
    <row r="15" spans="1:22" ht="20.100000000000001" customHeight="1" x14ac:dyDescent="0.25">
      <c r="A15" s="120">
        <v>12</v>
      </c>
      <c r="B15" s="142"/>
      <c r="C15" s="156">
        <v>16</v>
      </c>
      <c r="D15" s="156" t="s">
        <v>20</v>
      </c>
      <c r="E15" s="31">
        <v>97</v>
      </c>
      <c r="F15" s="31">
        <v>97</v>
      </c>
      <c r="G15" s="31">
        <v>100</v>
      </c>
      <c r="H15" s="31">
        <v>100</v>
      </c>
      <c r="I15" s="31">
        <v>100</v>
      </c>
      <c r="J15" s="31">
        <v>100</v>
      </c>
      <c r="K15" s="31">
        <v>97</v>
      </c>
      <c r="L15" s="31">
        <v>100</v>
      </c>
      <c r="M15" s="31">
        <v>94</v>
      </c>
      <c r="N15" s="48">
        <v>100</v>
      </c>
      <c r="O15" s="31">
        <f t="shared" si="0"/>
        <v>985</v>
      </c>
      <c r="P15" s="30">
        <f t="shared" si="1"/>
        <v>98.5</v>
      </c>
      <c r="Q15" s="30">
        <f t="shared" si="2"/>
        <v>1</v>
      </c>
      <c r="R15" s="31"/>
      <c r="S15" s="74"/>
      <c r="T15" s="9"/>
      <c r="U15" s="9"/>
      <c r="V15" s="9"/>
    </row>
    <row r="16" spans="1:22" ht="20.100000000000001" customHeight="1" x14ac:dyDescent="0.25">
      <c r="A16" s="120">
        <v>13</v>
      </c>
      <c r="B16" s="142"/>
      <c r="C16" s="156">
        <v>17</v>
      </c>
      <c r="D16" s="156" t="s">
        <v>23</v>
      </c>
      <c r="E16" s="31">
        <v>91</v>
      </c>
      <c r="F16" s="31">
        <v>69</v>
      </c>
      <c r="G16" s="31">
        <v>55</v>
      </c>
      <c r="H16" s="31">
        <v>61</v>
      </c>
      <c r="I16" s="31">
        <v>56</v>
      </c>
      <c r="J16" s="31">
        <v>84</v>
      </c>
      <c r="K16" s="31">
        <v>83</v>
      </c>
      <c r="L16" s="31">
        <v>55</v>
      </c>
      <c r="M16" s="31">
        <v>80</v>
      </c>
      <c r="N16" s="48">
        <v>80</v>
      </c>
      <c r="O16" s="31">
        <f t="shared" si="0"/>
        <v>714</v>
      </c>
      <c r="P16" s="30">
        <f t="shared" si="1"/>
        <v>71.400000000000006</v>
      </c>
      <c r="Q16" s="30">
        <f t="shared" si="2"/>
        <v>24</v>
      </c>
      <c r="R16" s="31"/>
      <c r="S16" s="74"/>
      <c r="T16" s="9"/>
      <c r="U16" s="9"/>
      <c r="V16" s="9"/>
    </row>
    <row r="17" spans="1:22" ht="20.100000000000001" customHeight="1" x14ac:dyDescent="0.25">
      <c r="A17" s="120">
        <v>14</v>
      </c>
      <c r="B17" s="142"/>
      <c r="C17" s="156">
        <v>17</v>
      </c>
      <c r="D17" s="156" t="s">
        <v>20</v>
      </c>
      <c r="E17" s="31">
        <v>90</v>
      </c>
      <c r="F17" s="31">
        <v>97</v>
      </c>
      <c r="G17" s="31">
        <v>100</v>
      </c>
      <c r="H17" s="31">
        <v>100</v>
      </c>
      <c r="I17" s="31">
        <v>96</v>
      </c>
      <c r="J17" s="31">
        <v>95</v>
      </c>
      <c r="K17" s="31">
        <v>96</v>
      </c>
      <c r="L17" s="31">
        <v>100</v>
      </c>
      <c r="M17" s="31">
        <v>95</v>
      </c>
      <c r="N17" s="48">
        <v>99</v>
      </c>
      <c r="O17" s="31">
        <f t="shared" si="0"/>
        <v>968</v>
      </c>
      <c r="P17" s="30">
        <f t="shared" si="1"/>
        <v>96.8</v>
      </c>
      <c r="Q17" s="30">
        <f t="shared" si="2"/>
        <v>4</v>
      </c>
      <c r="R17" s="31"/>
      <c r="S17" s="74"/>
      <c r="T17" s="9"/>
      <c r="U17" s="9"/>
      <c r="V17" s="9"/>
    </row>
    <row r="18" spans="1:22" ht="20.100000000000001" customHeight="1" x14ac:dyDescent="0.25">
      <c r="A18" s="120">
        <v>15</v>
      </c>
      <c r="B18" s="142"/>
      <c r="C18" s="156">
        <v>16</v>
      </c>
      <c r="D18" s="156" t="s">
        <v>23</v>
      </c>
      <c r="E18" s="31">
        <v>89</v>
      </c>
      <c r="F18" s="31">
        <v>90</v>
      </c>
      <c r="G18" s="31">
        <v>86</v>
      </c>
      <c r="H18" s="31">
        <v>86</v>
      </c>
      <c r="I18" s="31">
        <v>80</v>
      </c>
      <c r="J18" s="31">
        <v>93</v>
      </c>
      <c r="K18" s="31">
        <v>93</v>
      </c>
      <c r="L18" s="31">
        <v>78</v>
      </c>
      <c r="M18" s="31">
        <v>89</v>
      </c>
      <c r="N18" s="48">
        <v>94</v>
      </c>
      <c r="O18" s="31">
        <f t="shared" si="0"/>
        <v>878</v>
      </c>
      <c r="P18" s="30">
        <f t="shared" si="1"/>
        <v>87.8</v>
      </c>
      <c r="Q18" s="30">
        <f t="shared" si="2"/>
        <v>8</v>
      </c>
      <c r="R18" s="31"/>
      <c r="S18" s="74"/>
      <c r="T18" s="9"/>
      <c r="U18" s="9"/>
      <c r="V18" s="9"/>
    </row>
    <row r="19" spans="1:22" ht="20.100000000000001" customHeight="1" x14ac:dyDescent="0.25">
      <c r="A19" s="120">
        <v>16</v>
      </c>
      <c r="B19" s="142"/>
      <c r="C19" s="156">
        <v>17</v>
      </c>
      <c r="D19" s="156" t="s">
        <v>20</v>
      </c>
      <c r="E19" s="31">
        <v>91</v>
      </c>
      <c r="F19" s="31">
        <v>76</v>
      </c>
      <c r="G19" s="31">
        <v>69</v>
      </c>
      <c r="H19" s="31">
        <v>80</v>
      </c>
      <c r="I19" s="31">
        <v>71</v>
      </c>
      <c r="J19" s="31">
        <v>87</v>
      </c>
      <c r="K19" s="31">
        <v>82</v>
      </c>
      <c r="L19" s="31">
        <v>70</v>
      </c>
      <c r="M19" s="31">
        <v>86</v>
      </c>
      <c r="N19" s="48">
        <v>100</v>
      </c>
      <c r="O19" s="31">
        <f t="shared" si="0"/>
        <v>812</v>
      </c>
      <c r="P19" s="30">
        <f t="shared" si="1"/>
        <v>81.2</v>
      </c>
      <c r="Q19" s="30">
        <f t="shared" si="2"/>
        <v>17</v>
      </c>
      <c r="R19" s="31"/>
      <c r="S19" s="74"/>
      <c r="T19" s="9"/>
      <c r="U19" s="9"/>
      <c r="V19" s="9"/>
    </row>
    <row r="20" spans="1:22" ht="20.100000000000001" customHeight="1" x14ac:dyDescent="0.25">
      <c r="A20" s="120">
        <v>17</v>
      </c>
      <c r="B20" s="142"/>
      <c r="C20" s="156">
        <v>16</v>
      </c>
      <c r="D20" s="156" t="s">
        <v>20</v>
      </c>
      <c r="E20" s="31">
        <v>83</v>
      </c>
      <c r="F20" s="31">
        <v>80</v>
      </c>
      <c r="G20" s="31">
        <v>77</v>
      </c>
      <c r="H20" s="31">
        <v>82</v>
      </c>
      <c r="I20" s="31">
        <v>70</v>
      </c>
      <c r="J20" s="31">
        <v>95</v>
      </c>
      <c r="K20" s="31">
        <v>88</v>
      </c>
      <c r="L20" s="31">
        <v>96</v>
      </c>
      <c r="M20" s="31">
        <v>86</v>
      </c>
      <c r="N20" s="48">
        <v>100</v>
      </c>
      <c r="O20" s="31">
        <f t="shared" si="0"/>
        <v>857</v>
      </c>
      <c r="P20" s="30">
        <f t="shared" si="1"/>
        <v>85.7</v>
      </c>
      <c r="Q20" s="30">
        <f t="shared" si="2"/>
        <v>12</v>
      </c>
      <c r="R20" s="31"/>
      <c r="S20" s="74"/>
      <c r="T20" s="9"/>
      <c r="U20" s="9"/>
      <c r="V20" s="9"/>
    </row>
    <row r="21" spans="1:22" ht="20.100000000000001" customHeight="1" x14ac:dyDescent="0.25">
      <c r="A21" s="120">
        <v>18</v>
      </c>
      <c r="B21" s="142"/>
      <c r="C21" s="156">
        <v>17</v>
      </c>
      <c r="D21" s="156" t="s">
        <v>20</v>
      </c>
      <c r="E21" s="31">
        <v>84</v>
      </c>
      <c r="F21" s="31">
        <v>84</v>
      </c>
      <c r="G21" s="31">
        <v>75</v>
      </c>
      <c r="H21" s="31">
        <v>74</v>
      </c>
      <c r="I21" s="31">
        <v>70</v>
      </c>
      <c r="J21" s="31">
        <v>87</v>
      </c>
      <c r="K21" s="31">
        <v>93</v>
      </c>
      <c r="L21" s="31">
        <v>68</v>
      </c>
      <c r="M21" s="31">
        <v>92</v>
      </c>
      <c r="N21" s="48">
        <v>90</v>
      </c>
      <c r="O21" s="31">
        <f t="shared" si="0"/>
        <v>817</v>
      </c>
      <c r="P21" s="30">
        <f t="shared" si="1"/>
        <v>81.7</v>
      </c>
      <c r="Q21" s="30">
        <f t="shared" si="2"/>
        <v>16</v>
      </c>
      <c r="R21" s="31"/>
      <c r="S21" s="74"/>
    </row>
    <row r="22" spans="1:22" ht="20.100000000000001" customHeight="1" x14ac:dyDescent="0.25">
      <c r="A22" s="120">
        <v>19</v>
      </c>
      <c r="B22" s="181"/>
      <c r="C22" s="183">
        <v>16</v>
      </c>
      <c r="D22" s="183" t="s">
        <v>20</v>
      </c>
      <c r="E22" s="31">
        <v>76</v>
      </c>
      <c r="F22" s="31">
        <v>76</v>
      </c>
      <c r="G22" s="31">
        <v>54</v>
      </c>
      <c r="H22" s="31">
        <v>61</v>
      </c>
      <c r="I22" s="31">
        <v>47</v>
      </c>
      <c r="J22" s="31">
        <v>71</v>
      </c>
      <c r="K22" s="31">
        <v>87</v>
      </c>
      <c r="L22" s="31">
        <v>49</v>
      </c>
      <c r="M22" s="31">
        <v>95</v>
      </c>
      <c r="N22" s="48">
        <v>91</v>
      </c>
      <c r="O22" s="31">
        <f t="shared" si="0"/>
        <v>707</v>
      </c>
      <c r="P22" s="30">
        <f t="shared" si="1"/>
        <v>70.7</v>
      </c>
      <c r="Q22" s="30">
        <f t="shared" si="2"/>
        <v>26</v>
      </c>
      <c r="R22" s="31"/>
      <c r="S22" s="74"/>
    </row>
    <row r="23" spans="1:22" ht="20.100000000000001" customHeight="1" x14ac:dyDescent="0.25">
      <c r="A23" s="120">
        <v>20</v>
      </c>
      <c r="B23" s="142"/>
      <c r="C23" s="156">
        <v>17</v>
      </c>
      <c r="D23" s="156" t="s">
        <v>20</v>
      </c>
      <c r="E23" s="31">
        <v>84</v>
      </c>
      <c r="F23" s="31">
        <v>72</v>
      </c>
      <c r="G23" s="31">
        <v>41</v>
      </c>
      <c r="H23" s="31">
        <v>69</v>
      </c>
      <c r="I23" s="31">
        <v>59</v>
      </c>
      <c r="J23" s="31">
        <v>79</v>
      </c>
      <c r="K23" s="31">
        <v>73</v>
      </c>
      <c r="L23" s="31">
        <v>54</v>
      </c>
      <c r="M23" s="31">
        <v>82</v>
      </c>
      <c r="N23" s="48">
        <v>96</v>
      </c>
      <c r="O23" s="31">
        <f t="shared" si="0"/>
        <v>709</v>
      </c>
      <c r="P23" s="30">
        <f t="shared" si="1"/>
        <v>70.900000000000006</v>
      </c>
      <c r="Q23" s="30">
        <f t="shared" si="2"/>
        <v>25</v>
      </c>
      <c r="R23" s="31"/>
      <c r="S23" s="74"/>
    </row>
    <row r="24" spans="1:22" ht="20.100000000000001" customHeight="1" x14ac:dyDescent="0.25">
      <c r="A24" s="120">
        <v>21</v>
      </c>
      <c r="B24" s="142"/>
      <c r="C24" s="156">
        <v>17</v>
      </c>
      <c r="D24" s="156" t="s">
        <v>23</v>
      </c>
      <c r="E24" s="31">
        <v>97</v>
      </c>
      <c r="F24" s="31">
        <v>76</v>
      </c>
      <c r="G24" s="31">
        <v>58</v>
      </c>
      <c r="H24" s="31">
        <v>78</v>
      </c>
      <c r="I24" s="31">
        <v>63</v>
      </c>
      <c r="J24" s="31">
        <v>84</v>
      </c>
      <c r="K24" s="31">
        <v>81</v>
      </c>
      <c r="L24" s="31">
        <v>98</v>
      </c>
      <c r="M24" s="31">
        <v>90</v>
      </c>
      <c r="N24" s="48">
        <v>97</v>
      </c>
      <c r="O24" s="31">
        <f t="shared" si="0"/>
        <v>822</v>
      </c>
      <c r="P24" s="30">
        <f t="shared" si="1"/>
        <v>82.2</v>
      </c>
      <c r="Q24" s="30">
        <f t="shared" si="2"/>
        <v>15</v>
      </c>
      <c r="R24" s="31"/>
      <c r="S24" s="74"/>
    </row>
    <row r="25" spans="1:22" ht="20.100000000000001" customHeight="1" x14ac:dyDescent="0.25">
      <c r="A25" s="120">
        <v>22</v>
      </c>
      <c r="B25" s="142"/>
      <c r="C25" s="156">
        <v>17</v>
      </c>
      <c r="D25" s="156" t="s">
        <v>23</v>
      </c>
      <c r="E25" s="31">
        <v>92</v>
      </c>
      <c r="F25" s="31">
        <v>67</v>
      </c>
      <c r="G25" s="31">
        <v>66</v>
      </c>
      <c r="H25" s="31">
        <v>61</v>
      </c>
      <c r="I25" s="31">
        <v>55</v>
      </c>
      <c r="J25" s="31">
        <v>81</v>
      </c>
      <c r="K25" s="31">
        <v>74</v>
      </c>
      <c r="L25" s="31">
        <v>70</v>
      </c>
      <c r="M25" s="31">
        <v>90</v>
      </c>
      <c r="N25" s="48">
        <v>99</v>
      </c>
      <c r="O25" s="31">
        <f t="shared" si="0"/>
        <v>755</v>
      </c>
      <c r="P25" s="30">
        <f t="shared" si="1"/>
        <v>75.5</v>
      </c>
      <c r="Q25" s="30">
        <f t="shared" si="2"/>
        <v>21</v>
      </c>
      <c r="R25" s="31"/>
      <c r="S25" s="74"/>
    </row>
    <row r="26" spans="1:22" ht="20.100000000000001" customHeight="1" x14ac:dyDescent="0.25">
      <c r="A26" s="120">
        <v>23</v>
      </c>
      <c r="B26" s="142"/>
      <c r="C26" s="156">
        <v>16</v>
      </c>
      <c r="D26" s="156" t="s">
        <v>23</v>
      </c>
      <c r="E26" s="31">
        <v>88</v>
      </c>
      <c r="F26" s="31">
        <v>87</v>
      </c>
      <c r="G26" s="31">
        <v>52</v>
      </c>
      <c r="H26" s="31">
        <v>60</v>
      </c>
      <c r="I26" s="31">
        <v>60</v>
      </c>
      <c r="J26" s="31">
        <v>77</v>
      </c>
      <c r="K26" s="31">
        <v>91</v>
      </c>
      <c r="L26" s="31">
        <v>90</v>
      </c>
      <c r="M26" s="31">
        <v>81</v>
      </c>
      <c r="N26" s="48">
        <v>94</v>
      </c>
      <c r="O26" s="31">
        <f t="shared" si="0"/>
        <v>780</v>
      </c>
      <c r="P26" s="30">
        <f t="shared" si="1"/>
        <v>78</v>
      </c>
      <c r="Q26" s="30">
        <f t="shared" si="2"/>
        <v>19</v>
      </c>
      <c r="R26" s="31"/>
      <c r="S26" s="74"/>
    </row>
    <row r="27" spans="1:22" ht="20.100000000000001" customHeight="1" x14ac:dyDescent="0.25">
      <c r="A27" s="120">
        <v>24</v>
      </c>
      <c r="B27" s="142"/>
      <c r="C27" s="156">
        <v>17</v>
      </c>
      <c r="D27" s="156" t="s">
        <v>23</v>
      </c>
      <c r="E27" s="31">
        <v>89</v>
      </c>
      <c r="F27" s="31">
        <v>86</v>
      </c>
      <c r="G27" s="31">
        <v>60</v>
      </c>
      <c r="H27" s="31">
        <v>75</v>
      </c>
      <c r="I27" s="31">
        <v>67</v>
      </c>
      <c r="J27" s="31">
        <v>91</v>
      </c>
      <c r="K27" s="31">
        <v>88</v>
      </c>
      <c r="L27" s="31">
        <v>91</v>
      </c>
      <c r="M27" s="31">
        <v>89</v>
      </c>
      <c r="N27" s="48">
        <v>94</v>
      </c>
      <c r="O27" s="31">
        <f t="shared" si="0"/>
        <v>830</v>
      </c>
      <c r="P27" s="30">
        <f t="shared" si="1"/>
        <v>83</v>
      </c>
      <c r="Q27" s="30">
        <f t="shared" si="2"/>
        <v>13</v>
      </c>
      <c r="R27" s="31"/>
      <c r="S27" s="74"/>
    </row>
    <row r="28" spans="1:22" ht="20.100000000000001" customHeight="1" x14ac:dyDescent="0.25">
      <c r="A28" s="120">
        <v>25</v>
      </c>
      <c r="B28" s="142"/>
      <c r="C28" s="156">
        <v>16</v>
      </c>
      <c r="D28" s="156" t="s">
        <v>20</v>
      </c>
      <c r="E28" s="31">
        <v>79</v>
      </c>
      <c r="F28" s="31">
        <v>80</v>
      </c>
      <c r="G28" s="31">
        <v>79</v>
      </c>
      <c r="H28" s="31">
        <v>81</v>
      </c>
      <c r="I28" s="31">
        <v>73</v>
      </c>
      <c r="J28" s="31">
        <v>97</v>
      </c>
      <c r="K28" s="31">
        <v>93</v>
      </c>
      <c r="L28" s="31">
        <v>100</v>
      </c>
      <c r="M28" s="31">
        <v>91</v>
      </c>
      <c r="N28" s="48">
        <v>96</v>
      </c>
      <c r="O28" s="31">
        <f t="shared" si="0"/>
        <v>869</v>
      </c>
      <c r="P28" s="30">
        <f t="shared" si="1"/>
        <v>86.9</v>
      </c>
      <c r="Q28" s="30">
        <f t="shared" si="2"/>
        <v>10</v>
      </c>
      <c r="R28" s="31"/>
      <c r="S28" s="74"/>
    </row>
    <row r="29" spans="1:22" ht="20.100000000000001" customHeight="1" x14ac:dyDescent="0.25">
      <c r="A29" s="120">
        <v>26</v>
      </c>
      <c r="B29" s="142"/>
      <c r="C29" s="156">
        <v>17</v>
      </c>
      <c r="D29" s="156" t="s">
        <v>20</v>
      </c>
      <c r="E29" s="31">
        <v>82</v>
      </c>
      <c r="F29" s="31">
        <v>84</v>
      </c>
      <c r="G29" s="31">
        <v>90</v>
      </c>
      <c r="H29" s="31">
        <v>82</v>
      </c>
      <c r="I29" s="31">
        <v>79</v>
      </c>
      <c r="J29" s="31">
        <v>97</v>
      </c>
      <c r="K29" s="31">
        <v>95</v>
      </c>
      <c r="L29" s="31">
        <v>60</v>
      </c>
      <c r="M29" s="31">
        <v>96</v>
      </c>
      <c r="N29" s="48">
        <v>99</v>
      </c>
      <c r="O29" s="31">
        <f t="shared" si="0"/>
        <v>864</v>
      </c>
      <c r="P29" s="30">
        <f t="shared" si="1"/>
        <v>86.4</v>
      </c>
      <c r="Q29" s="30">
        <f t="shared" si="2"/>
        <v>11</v>
      </c>
      <c r="R29" s="31"/>
      <c r="S29" s="74"/>
    </row>
    <row r="30" spans="1:22" ht="20.100000000000001" customHeight="1" x14ac:dyDescent="0.25">
      <c r="A30" s="120">
        <v>27</v>
      </c>
      <c r="B30" s="142"/>
      <c r="C30" s="156">
        <v>16</v>
      </c>
      <c r="D30" s="156" t="s">
        <v>20</v>
      </c>
      <c r="E30" s="31">
        <v>68</v>
      </c>
      <c r="F30" s="31">
        <v>74</v>
      </c>
      <c r="G30" s="31">
        <v>37</v>
      </c>
      <c r="H30" s="31">
        <v>72</v>
      </c>
      <c r="I30" s="31">
        <v>50</v>
      </c>
      <c r="J30" s="31">
        <v>82</v>
      </c>
      <c r="K30" s="31">
        <v>70</v>
      </c>
      <c r="L30" s="31">
        <v>53</v>
      </c>
      <c r="M30" s="31">
        <v>87</v>
      </c>
      <c r="N30" s="48">
        <v>95</v>
      </c>
      <c r="O30" s="31">
        <f t="shared" si="0"/>
        <v>688</v>
      </c>
      <c r="P30" s="30">
        <f t="shared" si="1"/>
        <v>68.8</v>
      </c>
      <c r="Q30" s="30">
        <f t="shared" si="2"/>
        <v>27</v>
      </c>
      <c r="R30" s="31"/>
      <c r="S30" s="74"/>
    </row>
    <row r="31" spans="1:22" ht="20.100000000000001" customHeight="1" x14ac:dyDescent="0.25">
      <c r="A31" s="120">
        <v>28</v>
      </c>
      <c r="B31" s="142"/>
      <c r="C31" s="156">
        <v>16</v>
      </c>
      <c r="D31" s="156" t="s">
        <v>20</v>
      </c>
      <c r="E31" s="31">
        <v>91</v>
      </c>
      <c r="F31" s="31">
        <v>87</v>
      </c>
      <c r="G31" s="31">
        <v>94</v>
      </c>
      <c r="H31" s="31">
        <v>84</v>
      </c>
      <c r="I31" s="31">
        <v>79</v>
      </c>
      <c r="J31" s="31">
        <v>94</v>
      </c>
      <c r="K31" s="31">
        <v>91</v>
      </c>
      <c r="L31" s="31">
        <v>60</v>
      </c>
      <c r="M31" s="31">
        <v>95</v>
      </c>
      <c r="N31" s="48">
        <v>100</v>
      </c>
      <c r="O31" s="31">
        <f t="shared" si="0"/>
        <v>875</v>
      </c>
      <c r="P31" s="30">
        <f t="shared" si="1"/>
        <v>87.5</v>
      </c>
      <c r="Q31" s="30">
        <f t="shared" si="2"/>
        <v>9</v>
      </c>
      <c r="R31" s="31"/>
      <c r="S31" s="20"/>
    </row>
    <row r="32" spans="1:22" ht="20.100000000000001" customHeight="1" x14ac:dyDescent="0.25">
      <c r="A32" s="120">
        <v>29</v>
      </c>
      <c r="B32" s="142"/>
      <c r="C32" s="156">
        <v>16</v>
      </c>
      <c r="D32" s="156" t="s">
        <v>20</v>
      </c>
      <c r="E32" s="31">
        <v>89</v>
      </c>
      <c r="F32" s="31">
        <v>65</v>
      </c>
      <c r="G32" s="31">
        <v>55</v>
      </c>
      <c r="H32" s="31">
        <v>60</v>
      </c>
      <c r="I32" s="31">
        <v>53</v>
      </c>
      <c r="J32" s="31">
        <v>69</v>
      </c>
      <c r="K32" s="31">
        <v>69</v>
      </c>
      <c r="L32" s="31">
        <v>86</v>
      </c>
      <c r="M32" s="31">
        <v>93</v>
      </c>
      <c r="N32" s="48">
        <v>95</v>
      </c>
      <c r="O32" s="31">
        <f t="shared" si="0"/>
        <v>734</v>
      </c>
      <c r="P32" s="30">
        <f t="shared" si="1"/>
        <v>73.400000000000006</v>
      </c>
      <c r="Q32" s="30">
        <f t="shared" si="2"/>
        <v>23</v>
      </c>
      <c r="R32" s="31"/>
      <c r="S32" s="20"/>
    </row>
    <row r="33" spans="1:19" ht="20.100000000000001" customHeight="1" x14ac:dyDescent="0.25">
      <c r="A33" s="120">
        <v>30</v>
      </c>
      <c r="B33" s="142"/>
      <c r="C33" s="156">
        <v>18</v>
      </c>
      <c r="D33" s="156" t="s">
        <v>20</v>
      </c>
      <c r="E33" s="31">
        <v>91</v>
      </c>
      <c r="F33" s="31">
        <v>85</v>
      </c>
      <c r="G33" s="31">
        <v>80</v>
      </c>
      <c r="H33" s="31">
        <v>85</v>
      </c>
      <c r="I33" s="31">
        <v>81</v>
      </c>
      <c r="J33" s="31">
        <v>91</v>
      </c>
      <c r="K33" s="31">
        <v>75</v>
      </c>
      <c r="L33" s="31">
        <v>100</v>
      </c>
      <c r="M33" s="31">
        <v>100</v>
      </c>
      <c r="N33" s="48">
        <v>99</v>
      </c>
      <c r="O33" s="31">
        <f t="shared" si="0"/>
        <v>887</v>
      </c>
      <c r="P33" s="30">
        <f t="shared" si="1"/>
        <v>88.7</v>
      </c>
      <c r="Q33" s="30">
        <f t="shared" si="2"/>
        <v>6</v>
      </c>
      <c r="R33" s="31"/>
      <c r="S33" s="20"/>
    </row>
    <row r="34" spans="1:19" ht="20.100000000000001" customHeight="1" x14ac:dyDescent="0.25">
      <c r="A34" s="120">
        <v>31</v>
      </c>
      <c r="B34" s="124"/>
      <c r="C34" s="178"/>
      <c r="D34" s="124"/>
      <c r="E34" s="31"/>
      <c r="F34" s="31"/>
      <c r="G34" s="31"/>
      <c r="H34" s="31"/>
      <c r="I34" s="31"/>
      <c r="J34" s="31"/>
      <c r="K34" s="31"/>
      <c r="L34" s="31"/>
      <c r="M34" s="31"/>
      <c r="N34" s="48"/>
      <c r="O34" s="31"/>
      <c r="P34" s="30"/>
      <c r="Q34" s="30"/>
      <c r="R34" s="31"/>
      <c r="S34" s="20"/>
    </row>
    <row r="35" spans="1:19" ht="20.100000000000001" customHeight="1" x14ac:dyDescent="0.25">
      <c r="A35" s="120">
        <v>32</v>
      </c>
      <c r="B35" s="125"/>
      <c r="C35" s="177"/>
      <c r="D35" s="126"/>
      <c r="E35" s="31"/>
      <c r="F35" s="31"/>
      <c r="G35" s="31"/>
      <c r="H35" s="31"/>
      <c r="I35" s="31"/>
      <c r="J35" s="31"/>
      <c r="K35" s="31"/>
      <c r="L35" s="31"/>
      <c r="M35" s="31"/>
      <c r="N35" s="48"/>
      <c r="O35" s="31"/>
      <c r="P35" s="30"/>
      <c r="Q35" s="30"/>
      <c r="R35" s="31"/>
      <c r="S35" s="20"/>
    </row>
    <row r="36" spans="1:19" ht="20.100000000000001" customHeight="1" x14ac:dyDescent="0.25">
      <c r="A36" s="120">
        <v>33</v>
      </c>
      <c r="B36" s="172"/>
      <c r="C36" s="177"/>
      <c r="D36" s="126"/>
      <c r="E36" s="31"/>
      <c r="F36" s="31"/>
      <c r="G36" s="31"/>
      <c r="H36" s="31"/>
      <c r="I36" s="31"/>
      <c r="J36" s="31"/>
      <c r="K36" s="31"/>
      <c r="L36" s="31"/>
      <c r="M36" s="31"/>
      <c r="N36" s="48"/>
      <c r="O36" s="31"/>
      <c r="P36" s="30"/>
      <c r="Q36" s="30"/>
      <c r="R36" s="31"/>
      <c r="S36" s="20"/>
    </row>
    <row r="37" spans="1:19" ht="20.100000000000001" customHeight="1" x14ac:dyDescent="0.25">
      <c r="A37" s="120">
        <v>34</v>
      </c>
      <c r="B37" s="126"/>
      <c r="C37" s="177"/>
      <c r="D37" s="126"/>
      <c r="E37" s="31"/>
      <c r="F37" s="31"/>
      <c r="G37" s="31"/>
      <c r="H37" s="31"/>
      <c r="I37" s="31"/>
      <c r="J37" s="31"/>
      <c r="K37" s="31"/>
      <c r="L37" s="31"/>
      <c r="M37" s="31"/>
      <c r="N37" s="48"/>
      <c r="O37" s="31"/>
      <c r="P37" s="30"/>
      <c r="Q37" s="30"/>
      <c r="R37" s="31"/>
      <c r="S37" s="20"/>
    </row>
    <row r="38" spans="1:19" ht="20.100000000000001" customHeight="1" x14ac:dyDescent="0.25">
      <c r="A38" s="120">
        <v>35</v>
      </c>
      <c r="B38" s="126"/>
      <c r="C38" s="177"/>
      <c r="D38" s="126"/>
      <c r="E38" s="31"/>
      <c r="F38" s="31"/>
      <c r="G38" s="31"/>
      <c r="H38" s="31"/>
      <c r="I38" s="31"/>
      <c r="J38" s="31"/>
      <c r="K38" s="31"/>
      <c r="L38" s="31"/>
      <c r="M38" s="31"/>
      <c r="N38" s="48"/>
      <c r="O38" s="31"/>
      <c r="P38" s="30"/>
      <c r="Q38" s="30"/>
      <c r="R38" s="31"/>
      <c r="S38" s="20"/>
    </row>
    <row r="39" spans="1:19" ht="20.100000000000001" customHeight="1" x14ac:dyDescent="0.25">
      <c r="A39" s="120">
        <v>36</v>
      </c>
      <c r="B39" s="124"/>
      <c r="C39" s="178"/>
      <c r="D39" s="124"/>
      <c r="E39" s="31"/>
      <c r="F39" s="31"/>
      <c r="G39" s="31"/>
      <c r="H39" s="31"/>
      <c r="I39" s="31"/>
      <c r="J39" s="31"/>
      <c r="K39" s="31"/>
      <c r="L39" s="31"/>
      <c r="M39" s="31"/>
      <c r="N39" s="48"/>
      <c r="O39" s="31"/>
      <c r="P39" s="30"/>
      <c r="Q39" s="30"/>
      <c r="R39" s="31"/>
      <c r="S39" s="20"/>
    </row>
    <row r="40" spans="1:19" ht="20.100000000000001" customHeight="1" x14ac:dyDescent="0.25">
      <c r="A40" s="120">
        <v>37</v>
      </c>
      <c r="B40" s="126"/>
      <c r="C40" s="177"/>
      <c r="D40" s="126"/>
      <c r="E40" s="31"/>
      <c r="F40" s="31"/>
      <c r="G40" s="31"/>
      <c r="H40" s="31"/>
      <c r="I40" s="31"/>
      <c r="J40" s="31"/>
      <c r="K40" s="31"/>
      <c r="L40" s="31"/>
      <c r="M40" s="31"/>
      <c r="N40" s="48"/>
      <c r="O40" s="31"/>
      <c r="P40" s="30"/>
      <c r="Q40" s="30"/>
      <c r="R40" s="31"/>
      <c r="S40" s="20"/>
    </row>
    <row r="41" spans="1:19" ht="20.100000000000001" customHeight="1" x14ac:dyDescent="0.25">
      <c r="A41" s="120">
        <v>38</v>
      </c>
      <c r="B41" s="126"/>
      <c r="C41" s="177"/>
      <c r="D41" s="126"/>
      <c r="E41" s="31"/>
      <c r="F41" s="31"/>
      <c r="G41" s="31"/>
      <c r="H41" s="31"/>
      <c r="I41" s="31"/>
      <c r="J41" s="31"/>
      <c r="K41" s="31"/>
      <c r="L41" s="31"/>
      <c r="M41" s="31"/>
      <c r="N41" s="48"/>
      <c r="O41" s="31"/>
      <c r="P41" s="30"/>
      <c r="Q41" s="30"/>
      <c r="R41" s="31"/>
      <c r="S41" s="20"/>
    </row>
    <row r="42" spans="1:19" ht="20.100000000000001" customHeight="1" x14ac:dyDescent="0.25">
      <c r="A42" s="120">
        <v>39</v>
      </c>
      <c r="B42" s="124"/>
      <c r="C42" s="178"/>
      <c r="D42" s="124"/>
      <c r="E42" s="31"/>
      <c r="F42" s="31"/>
      <c r="G42" s="31"/>
      <c r="H42" s="31"/>
      <c r="I42" s="31"/>
      <c r="J42" s="31"/>
      <c r="K42" s="31"/>
      <c r="L42" s="31"/>
      <c r="M42" s="31"/>
      <c r="N42" s="48"/>
      <c r="O42" s="31"/>
      <c r="P42" s="30"/>
      <c r="Q42" s="30"/>
      <c r="R42" s="31"/>
      <c r="S42" s="20"/>
    </row>
    <row r="43" spans="1:19" ht="20.100000000000001" customHeight="1" x14ac:dyDescent="0.25">
      <c r="A43" s="120">
        <v>40</v>
      </c>
      <c r="B43" s="126"/>
      <c r="C43" s="177"/>
      <c r="D43" s="126"/>
      <c r="E43" s="31"/>
      <c r="F43" s="31"/>
      <c r="G43" s="31"/>
      <c r="H43" s="31"/>
      <c r="I43" s="31"/>
      <c r="J43" s="31"/>
      <c r="K43" s="31"/>
      <c r="L43" s="31"/>
      <c r="M43" s="31"/>
      <c r="N43" s="48"/>
      <c r="O43" s="31"/>
      <c r="P43" s="30"/>
      <c r="Q43" s="30"/>
      <c r="R43" s="31"/>
      <c r="S43" s="20"/>
    </row>
    <row r="44" spans="1:19" ht="20.100000000000001" customHeight="1" x14ac:dyDescent="0.25">
      <c r="A44" s="120">
        <v>41</v>
      </c>
      <c r="B44" s="126"/>
      <c r="C44" s="177"/>
      <c r="D44" s="126"/>
      <c r="E44" s="31"/>
      <c r="F44" s="31"/>
      <c r="G44" s="31"/>
      <c r="H44" s="31"/>
      <c r="I44" s="31"/>
      <c r="J44" s="31"/>
      <c r="K44" s="31"/>
      <c r="L44" s="31"/>
      <c r="M44" s="31"/>
      <c r="N44" s="48"/>
      <c r="O44" s="31"/>
      <c r="P44" s="30"/>
      <c r="Q44" s="30"/>
      <c r="R44" s="31"/>
      <c r="S44" s="20"/>
    </row>
    <row r="45" spans="1:19" ht="20.100000000000001" customHeight="1" x14ac:dyDescent="0.25">
      <c r="A45" s="120">
        <v>42</v>
      </c>
      <c r="B45" s="126"/>
      <c r="C45" s="177"/>
      <c r="D45" s="126"/>
      <c r="E45" s="31"/>
      <c r="F45" s="31"/>
      <c r="G45" s="31"/>
      <c r="H45" s="31"/>
      <c r="I45" s="31"/>
      <c r="J45" s="31"/>
      <c r="K45" s="31"/>
      <c r="L45" s="31"/>
      <c r="M45" s="31"/>
      <c r="N45" s="48"/>
      <c r="O45" s="31"/>
      <c r="P45" s="30"/>
      <c r="Q45" s="30"/>
      <c r="R45" s="31"/>
      <c r="S45" s="20"/>
    </row>
    <row r="46" spans="1:19" ht="20.100000000000001" customHeight="1" x14ac:dyDescent="0.25">
      <c r="A46" s="120">
        <v>43</v>
      </c>
      <c r="B46" s="126"/>
      <c r="C46" s="177"/>
      <c r="D46" s="126"/>
      <c r="E46" s="31"/>
      <c r="F46" s="31"/>
      <c r="G46" s="31"/>
      <c r="H46" s="31"/>
      <c r="I46" s="31"/>
      <c r="J46" s="31"/>
      <c r="K46" s="31"/>
      <c r="L46" s="31"/>
      <c r="M46" s="31"/>
      <c r="N46" s="48"/>
      <c r="O46" s="31"/>
      <c r="P46" s="30"/>
      <c r="Q46" s="30"/>
      <c r="R46" s="31"/>
      <c r="S46" s="20"/>
    </row>
    <row r="47" spans="1:19" ht="20.100000000000001" customHeight="1" x14ac:dyDescent="0.25">
      <c r="A47" s="120">
        <v>44</v>
      </c>
      <c r="B47" s="126"/>
      <c r="C47" s="177"/>
      <c r="D47" s="126"/>
      <c r="E47" s="31"/>
      <c r="F47" s="31"/>
      <c r="G47" s="31"/>
      <c r="H47" s="31"/>
      <c r="I47" s="31"/>
      <c r="J47" s="31"/>
      <c r="K47" s="31"/>
      <c r="L47" s="31"/>
      <c r="M47" s="31"/>
      <c r="N47" s="48"/>
      <c r="O47" s="31"/>
      <c r="P47" s="30"/>
      <c r="Q47" s="30"/>
      <c r="R47" s="31"/>
      <c r="S47" s="20"/>
    </row>
    <row r="48" spans="1:19" ht="20.100000000000001" customHeight="1" x14ac:dyDescent="0.25">
      <c r="A48" s="120">
        <v>45</v>
      </c>
      <c r="B48" s="126"/>
      <c r="C48" s="177"/>
      <c r="D48" s="126"/>
      <c r="E48" s="31"/>
      <c r="F48" s="31"/>
      <c r="G48" s="31"/>
      <c r="H48" s="31"/>
      <c r="I48" s="31"/>
      <c r="J48" s="31"/>
      <c r="K48" s="31"/>
      <c r="L48" s="31"/>
      <c r="M48" s="31"/>
      <c r="N48" s="48"/>
      <c r="O48" s="31"/>
      <c r="P48" s="30"/>
      <c r="Q48" s="30"/>
      <c r="R48" s="31"/>
      <c r="S48" s="20"/>
    </row>
    <row r="49" spans="1:19" ht="20.100000000000001" customHeight="1" x14ac:dyDescent="0.25">
      <c r="A49" s="120">
        <v>46</v>
      </c>
      <c r="B49" s="126"/>
      <c r="C49" s="177"/>
      <c r="D49" s="126"/>
      <c r="E49" s="31"/>
      <c r="F49" s="31"/>
      <c r="G49" s="31"/>
      <c r="H49" s="31"/>
      <c r="I49" s="31"/>
      <c r="J49" s="31"/>
      <c r="K49" s="31"/>
      <c r="L49" s="31"/>
      <c r="M49" s="31"/>
      <c r="N49" s="48"/>
      <c r="O49" s="31"/>
      <c r="P49" s="30"/>
      <c r="Q49" s="30"/>
      <c r="R49" s="31"/>
      <c r="S49" s="20"/>
    </row>
    <row r="50" spans="1:19" ht="20.100000000000001" customHeight="1" x14ac:dyDescent="0.25">
      <c r="A50" s="120">
        <v>47</v>
      </c>
      <c r="B50" s="126"/>
      <c r="C50" s="177"/>
      <c r="D50" s="126"/>
      <c r="E50" s="31"/>
      <c r="F50" s="31"/>
      <c r="G50" s="31"/>
      <c r="H50" s="31"/>
      <c r="I50" s="31"/>
      <c r="J50" s="31"/>
      <c r="K50" s="31"/>
      <c r="L50" s="31"/>
      <c r="M50" s="31"/>
      <c r="N50" s="48"/>
      <c r="O50" s="31"/>
      <c r="P50" s="30"/>
      <c r="Q50" s="30"/>
      <c r="R50" s="31"/>
      <c r="S50" s="20"/>
    </row>
    <row r="51" spans="1:19" ht="20.100000000000001" customHeight="1" x14ac:dyDescent="0.25">
      <c r="A51" s="120">
        <v>48</v>
      </c>
      <c r="B51" s="126"/>
      <c r="C51" s="177"/>
      <c r="D51" s="126"/>
      <c r="E51" s="31"/>
      <c r="F51" s="31"/>
      <c r="G51" s="31"/>
      <c r="H51" s="31"/>
      <c r="I51" s="31"/>
      <c r="J51" s="31"/>
      <c r="K51" s="31"/>
      <c r="L51" s="31"/>
      <c r="M51" s="31"/>
      <c r="N51" s="48"/>
      <c r="O51" s="31"/>
      <c r="P51" s="30"/>
      <c r="Q51" s="30"/>
      <c r="R51" s="31"/>
      <c r="S51" s="20"/>
    </row>
    <row r="52" spans="1:19" ht="20.100000000000001" customHeight="1" x14ac:dyDescent="0.25">
      <c r="A52" s="120">
        <v>49</v>
      </c>
      <c r="B52" s="126"/>
      <c r="C52" s="177"/>
      <c r="D52" s="126"/>
      <c r="E52" s="31"/>
      <c r="F52" s="31"/>
      <c r="G52" s="31"/>
      <c r="H52" s="31"/>
      <c r="I52" s="31"/>
      <c r="J52" s="31"/>
      <c r="K52" s="31"/>
      <c r="L52" s="31"/>
      <c r="M52" s="31"/>
      <c r="N52" s="48"/>
      <c r="O52" s="31"/>
      <c r="P52" s="30"/>
      <c r="Q52" s="30"/>
      <c r="R52" s="31"/>
      <c r="S52" s="20"/>
    </row>
    <row r="53" spans="1:19" ht="20.100000000000001" customHeight="1" x14ac:dyDescent="0.25">
      <c r="A53" s="120">
        <v>50</v>
      </c>
      <c r="B53" s="126"/>
      <c r="C53" s="177"/>
      <c r="D53" s="126"/>
      <c r="E53" s="31"/>
      <c r="F53" s="31"/>
      <c r="G53" s="31"/>
      <c r="H53" s="31"/>
      <c r="I53" s="31"/>
      <c r="J53" s="31"/>
      <c r="K53" s="31"/>
      <c r="L53" s="31"/>
      <c r="M53" s="31"/>
      <c r="N53" s="48"/>
      <c r="O53" s="31"/>
      <c r="P53" s="30"/>
      <c r="Q53" s="30"/>
      <c r="R53" s="31"/>
      <c r="S53" s="20"/>
    </row>
    <row r="54" spans="1:19" ht="20.100000000000001" customHeight="1" x14ac:dyDescent="0.25">
      <c r="A54" s="120">
        <v>51</v>
      </c>
      <c r="B54" s="126"/>
      <c r="C54" s="177"/>
      <c r="D54" s="126"/>
      <c r="E54" s="31"/>
      <c r="F54" s="31"/>
      <c r="G54" s="31"/>
      <c r="H54" s="31"/>
      <c r="I54" s="31"/>
      <c r="J54" s="31"/>
      <c r="K54" s="31"/>
      <c r="L54" s="31"/>
      <c r="M54" s="31"/>
      <c r="N54" s="48"/>
      <c r="O54" s="31"/>
      <c r="P54" s="30"/>
      <c r="Q54" s="30"/>
      <c r="R54" s="31"/>
      <c r="S54" s="20"/>
    </row>
    <row r="55" spans="1:19" ht="20.100000000000001" customHeight="1" x14ac:dyDescent="0.25">
      <c r="A55" s="120">
        <v>52</v>
      </c>
      <c r="B55" s="20"/>
      <c r="C55" s="20"/>
      <c r="D55" s="20"/>
      <c r="E55" s="20"/>
      <c r="F55" s="20"/>
      <c r="G55" s="20"/>
      <c r="H55" s="20"/>
      <c r="I55" s="20"/>
      <c r="J55" s="20"/>
      <c r="K55" s="20"/>
      <c r="L55" s="20"/>
      <c r="M55" s="20"/>
      <c r="N55" s="20"/>
      <c r="O55" s="20"/>
      <c r="P55" s="20"/>
      <c r="Q55" s="20"/>
      <c r="R55" s="20"/>
      <c r="S55" s="20"/>
    </row>
    <row r="56" spans="1:19" ht="20.100000000000001" customHeight="1" x14ac:dyDescent="0.25">
      <c r="A56" s="120">
        <v>53</v>
      </c>
      <c r="B56" s="20"/>
      <c r="C56" s="20"/>
      <c r="D56" s="20"/>
      <c r="E56" s="20"/>
      <c r="F56" s="20"/>
      <c r="G56" s="20"/>
      <c r="H56" s="20"/>
      <c r="I56" s="20"/>
      <c r="J56" s="20"/>
      <c r="K56" s="20"/>
      <c r="L56" s="20"/>
      <c r="M56" s="20"/>
      <c r="N56" s="20"/>
      <c r="O56" s="20"/>
      <c r="P56" s="20"/>
      <c r="Q56" s="20"/>
      <c r="R56" s="20"/>
      <c r="S56" s="20"/>
    </row>
    <row r="57" spans="1:19" ht="20.100000000000001" customHeight="1" x14ac:dyDescent="0.25">
      <c r="A57" s="120">
        <v>54</v>
      </c>
      <c r="B57" s="20"/>
      <c r="C57" s="20"/>
      <c r="D57" s="20"/>
      <c r="E57" s="20"/>
      <c r="F57" s="20"/>
      <c r="G57" s="20"/>
      <c r="H57" s="20"/>
      <c r="I57" s="20"/>
      <c r="J57" s="20"/>
      <c r="K57" s="20"/>
      <c r="L57" s="20"/>
      <c r="M57" s="20"/>
      <c r="N57" s="20"/>
      <c r="O57" s="20"/>
      <c r="P57" s="20"/>
      <c r="Q57" s="20"/>
      <c r="R57" s="20"/>
      <c r="S57" s="20"/>
    </row>
    <row r="58" spans="1:19" ht="20.100000000000001" customHeight="1" x14ac:dyDescent="0.25">
      <c r="A58" s="50">
        <v>55</v>
      </c>
      <c r="B58" s="20"/>
      <c r="C58" s="20"/>
      <c r="D58" s="20"/>
      <c r="E58" s="20"/>
      <c r="F58" s="20"/>
      <c r="G58" s="20"/>
      <c r="H58" s="20"/>
      <c r="I58" s="20"/>
      <c r="J58" s="20"/>
      <c r="K58" s="20"/>
      <c r="L58" s="20"/>
      <c r="M58" s="20"/>
      <c r="N58" s="20"/>
      <c r="O58" s="20"/>
      <c r="P58" s="20"/>
      <c r="Q58" s="20"/>
      <c r="R58" s="20"/>
      <c r="S58" s="20"/>
    </row>
    <row r="59" spans="1:19" ht="13.5" customHeight="1" x14ac:dyDescent="0.25">
      <c r="A59" s="46"/>
      <c r="B59" s="46"/>
    </row>
    <row r="60" spans="1:19" ht="13.5" customHeight="1" x14ac:dyDescent="0.25">
      <c r="A60" s="46"/>
      <c r="B60" s="46"/>
    </row>
    <row r="61" spans="1:19" ht="13.5" customHeight="1" x14ac:dyDescent="0.25">
      <c r="A61" s="46"/>
      <c r="B61" s="46"/>
    </row>
    <row r="62" spans="1:19" ht="13.5" customHeight="1" x14ac:dyDescent="0.25">
      <c r="A62" s="46"/>
      <c r="B62" s="46"/>
    </row>
    <row r="63" spans="1:19" ht="13.5" customHeight="1" x14ac:dyDescent="0.25">
      <c r="A63" s="46"/>
      <c r="B63" s="46"/>
    </row>
    <row r="64" spans="1:19" ht="13.5" customHeight="1" x14ac:dyDescent="0.25">
      <c r="A64" s="46"/>
      <c r="B64" s="46"/>
    </row>
    <row r="65" spans="1:4" ht="13.5" customHeight="1" x14ac:dyDescent="0.25">
      <c r="A65" s="46"/>
      <c r="B65" s="46"/>
    </row>
    <row r="66" spans="1:4" ht="13.5" customHeight="1" x14ac:dyDescent="0.25">
      <c r="A66" s="46"/>
      <c r="B66" s="46"/>
    </row>
    <row r="67" spans="1:4" ht="13.5" customHeight="1" x14ac:dyDescent="0.25">
      <c r="A67" s="46"/>
      <c r="B67" s="46"/>
    </row>
    <row r="68" spans="1:4" ht="13.5" customHeight="1" x14ac:dyDescent="0.25">
      <c r="A68" s="46"/>
      <c r="B68" s="46"/>
    </row>
    <row r="69" spans="1:4" ht="13.5" customHeight="1" x14ac:dyDescent="0.25">
      <c r="A69" s="46"/>
      <c r="B69" s="46"/>
    </row>
    <row r="70" spans="1:4" ht="13.5" customHeight="1" x14ac:dyDescent="0.25">
      <c r="A70" s="46"/>
      <c r="B70" s="46"/>
    </row>
    <row r="71" spans="1:4" ht="13.5" customHeight="1" x14ac:dyDescent="0.25">
      <c r="A71" s="46"/>
      <c r="B71" s="46"/>
    </row>
    <row r="72" spans="1:4" ht="13.5" customHeight="1" x14ac:dyDescent="0.25">
      <c r="A72" s="46"/>
      <c r="B72" s="46"/>
      <c r="C72" s="9"/>
      <c r="D72" s="9"/>
    </row>
    <row r="73" spans="1:4" ht="13.5" customHeight="1" x14ac:dyDescent="0.25">
      <c r="A73" s="46"/>
      <c r="B73" s="46"/>
      <c r="C73" s="9"/>
      <c r="D73" s="9"/>
    </row>
    <row r="74" spans="1:4" ht="13.5" customHeight="1" x14ac:dyDescent="0.25">
      <c r="A74" s="46"/>
      <c r="B74" s="46"/>
      <c r="C74" s="9"/>
      <c r="D74" s="9"/>
    </row>
    <row r="75" spans="1:4" ht="13.5" customHeight="1" x14ac:dyDescent="0.25">
      <c r="A75" s="46"/>
      <c r="B75" s="46"/>
      <c r="C75" s="9"/>
      <c r="D75" s="9"/>
    </row>
    <row r="76" spans="1:4" ht="13.5" customHeight="1" x14ac:dyDescent="0.25">
      <c r="A76" s="46"/>
      <c r="B76" s="46"/>
      <c r="C76" s="9"/>
      <c r="D76" s="9"/>
    </row>
    <row r="77" spans="1:4" ht="13.5" customHeight="1" x14ac:dyDescent="0.25">
      <c r="A77" s="46"/>
      <c r="B77" s="46"/>
      <c r="C77" s="9"/>
      <c r="D77" s="9"/>
    </row>
    <row r="78" spans="1:4" ht="13.5" customHeight="1" x14ac:dyDescent="0.25">
      <c r="A78" s="46"/>
      <c r="B78" s="46"/>
      <c r="C78" s="9"/>
      <c r="D78" s="9"/>
    </row>
    <row r="79" spans="1:4" ht="13.5" customHeight="1" x14ac:dyDescent="0.25">
      <c r="A79" s="46"/>
      <c r="B79" s="46"/>
      <c r="C79" s="9"/>
      <c r="D79" s="9"/>
    </row>
    <row r="80" spans="1:4" ht="13.5" customHeight="1" x14ac:dyDescent="0.25">
      <c r="A80" s="46"/>
      <c r="B80" s="46"/>
      <c r="C80" s="9"/>
      <c r="D80" s="9"/>
    </row>
    <row r="81" spans="1:2" ht="13.5" customHeight="1" x14ac:dyDescent="0.25">
      <c r="A81" s="46"/>
      <c r="B81" s="46"/>
    </row>
    <row r="82" spans="1:2" ht="13.5" customHeight="1" x14ac:dyDescent="0.25">
      <c r="A82" s="46"/>
      <c r="B82" s="46"/>
    </row>
    <row r="83" spans="1:2" ht="13.5" customHeight="1" x14ac:dyDescent="0.25">
      <c r="A83" s="46"/>
      <c r="B83" s="46"/>
    </row>
    <row r="84" spans="1:2" ht="13.5" customHeight="1" x14ac:dyDescent="0.25">
      <c r="A84" s="46"/>
      <c r="B84" s="46"/>
    </row>
    <row r="85" spans="1:2" ht="13.5" customHeight="1" x14ac:dyDescent="0.25">
      <c r="A85" s="46"/>
      <c r="B85" s="46"/>
    </row>
    <row r="86" spans="1:2" ht="13.5" customHeight="1" x14ac:dyDescent="0.25">
      <c r="A86" s="46"/>
      <c r="B86" s="46"/>
    </row>
    <row r="87" spans="1:2" ht="13.5" customHeight="1" x14ac:dyDescent="0.25">
      <c r="A87" s="46"/>
      <c r="B87" s="46"/>
    </row>
    <row r="88" spans="1:2" ht="13.5" customHeight="1" x14ac:dyDescent="0.25">
      <c r="A88" s="46"/>
      <c r="B88" s="46"/>
    </row>
    <row r="89" spans="1:2" ht="13.5" customHeight="1" x14ac:dyDescent="0.25">
      <c r="A89" s="46"/>
      <c r="B89" s="46"/>
    </row>
    <row r="90" spans="1:2" ht="13.5" customHeight="1" x14ac:dyDescent="0.25">
      <c r="A90" s="46"/>
      <c r="B90" s="46"/>
    </row>
    <row r="91" spans="1:2" ht="13.5" customHeight="1" x14ac:dyDescent="0.25">
      <c r="A91" s="46"/>
      <c r="B91" s="46"/>
    </row>
    <row r="92" spans="1:2" ht="13.5" customHeight="1" x14ac:dyDescent="0.25">
      <c r="A92" s="46"/>
      <c r="B92" s="46"/>
    </row>
    <row r="93" spans="1:2" ht="13.5" customHeight="1" x14ac:dyDescent="0.25">
      <c r="A93" s="46"/>
      <c r="B93" s="46"/>
    </row>
    <row r="94" spans="1:2" ht="13.5" customHeight="1" x14ac:dyDescent="0.25">
      <c r="A94" s="46"/>
      <c r="B94" s="46"/>
    </row>
    <row r="95" spans="1:2" ht="13.5" customHeight="1" x14ac:dyDescent="0.25">
      <c r="A95" s="46"/>
      <c r="B95" s="46"/>
    </row>
    <row r="96" spans="1:2" ht="13.5" customHeight="1" x14ac:dyDescent="0.25">
      <c r="A96" s="46"/>
      <c r="B96" s="46"/>
    </row>
    <row r="97" ht="15" customHeight="1" x14ac:dyDescent="0.25"/>
  </sheetData>
  <mergeCells count="2">
    <mergeCell ref="A1:S1"/>
    <mergeCell ref="A2:S2"/>
  </mergeCells>
  <pageMargins left="0.7" right="0.7" top="0.75" bottom="0.75" header="0.3" footer="0.3"/>
  <pageSetup paperSize="9" scale="95" orientation="landscape" verticalDpi="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99"/>
  <sheetViews>
    <sheetView workbookViewId="0">
      <selection activeCell="B4" sqref="B4:B33"/>
    </sheetView>
  </sheetViews>
  <sheetFormatPr defaultRowHeight="15" x14ac:dyDescent="0.25"/>
  <cols>
    <col min="1" max="1" width="4.85546875" customWidth="1"/>
    <col min="2" max="2" width="37.140625" customWidth="1"/>
    <col min="3" max="3" width="6.140625" customWidth="1"/>
    <col min="4" max="4" width="4.85546875" customWidth="1"/>
    <col min="5" max="7" width="12.7109375" customWidth="1"/>
    <col min="8" max="8" width="4.85546875" hidden="1" customWidth="1"/>
    <col min="9" max="9" width="9.85546875" customWidth="1"/>
    <col min="10" max="11" width="4.85546875" customWidth="1"/>
  </cols>
  <sheetData>
    <row r="1" spans="1:15" ht="20.25" customHeight="1" x14ac:dyDescent="0.25">
      <c r="A1" s="288" t="s">
        <v>57</v>
      </c>
      <c r="B1" s="289"/>
      <c r="C1" s="289"/>
      <c r="D1" s="289"/>
      <c r="E1" s="289"/>
      <c r="F1" s="289"/>
      <c r="G1" s="289"/>
      <c r="H1" s="289"/>
      <c r="I1" s="289"/>
      <c r="J1" s="289"/>
      <c r="K1" s="289"/>
    </row>
    <row r="2" spans="1:15" ht="15.75" customHeight="1" x14ac:dyDescent="0.25">
      <c r="A2" s="350" t="s">
        <v>59</v>
      </c>
      <c r="B2" s="351"/>
      <c r="C2" s="351"/>
      <c r="D2" s="351"/>
      <c r="E2" s="351"/>
      <c r="F2" s="351"/>
      <c r="G2" s="351"/>
      <c r="H2" s="351"/>
      <c r="I2" s="351"/>
      <c r="J2" s="351"/>
      <c r="K2" s="351"/>
    </row>
    <row r="3" spans="1:15" ht="44.25" customHeight="1" x14ac:dyDescent="0.25">
      <c r="A3" s="49" t="s">
        <v>0</v>
      </c>
      <c r="B3" s="71" t="s">
        <v>1</v>
      </c>
      <c r="C3" s="71" t="s">
        <v>2</v>
      </c>
      <c r="D3" s="71" t="s">
        <v>3</v>
      </c>
      <c r="E3" s="72" t="s">
        <v>26</v>
      </c>
      <c r="F3" s="72" t="s">
        <v>27</v>
      </c>
      <c r="G3" s="72" t="s">
        <v>16</v>
      </c>
      <c r="H3" s="73" t="s">
        <v>17</v>
      </c>
      <c r="I3" s="72" t="s">
        <v>17</v>
      </c>
      <c r="L3" s="128"/>
      <c r="M3" s="128"/>
      <c r="N3" s="128"/>
      <c r="O3" s="128"/>
    </row>
    <row r="4" spans="1:15" ht="18.95" customHeight="1" x14ac:dyDescent="0.25">
      <c r="A4" s="120">
        <v>1</v>
      </c>
      <c r="B4" s="142"/>
      <c r="C4" s="156">
        <v>18</v>
      </c>
      <c r="D4" s="156" t="s">
        <v>20</v>
      </c>
      <c r="E4" s="54">
        <f>'11B (N S) Sem1'!P4</f>
        <v>56.2</v>
      </c>
      <c r="F4" s="54">
        <f>'11B (N S) Sem2'!P4</f>
        <v>64.599999999999994</v>
      </c>
      <c r="G4" s="54">
        <f>AVERAGE(E4:F4)</f>
        <v>60.4</v>
      </c>
      <c r="H4" s="74"/>
      <c r="I4" s="55">
        <f>RANK(G4,$G$4:$G$33)</f>
        <v>29</v>
      </c>
    </row>
    <row r="5" spans="1:15" ht="18.95" customHeight="1" x14ac:dyDescent="0.25">
      <c r="A5" s="120">
        <v>2</v>
      </c>
      <c r="B5" s="142"/>
      <c r="C5" s="156">
        <v>16</v>
      </c>
      <c r="D5" s="156" t="s">
        <v>20</v>
      </c>
      <c r="E5" s="54">
        <f>'11B (N S) Sem1'!P5</f>
        <v>94.9</v>
      </c>
      <c r="F5" s="54">
        <f>'11B (N S) Sem2'!P5</f>
        <v>97.9</v>
      </c>
      <c r="G5" s="54">
        <f t="shared" ref="G5:G58" si="0">AVERAGE(E5:F5)</f>
        <v>96.4</v>
      </c>
      <c r="H5" s="74"/>
      <c r="I5" s="55">
        <f t="shared" ref="I5:I33" si="1">RANK(G5,$G$4:$G$33)</f>
        <v>2</v>
      </c>
    </row>
    <row r="6" spans="1:15" ht="18.95" customHeight="1" x14ac:dyDescent="0.25">
      <c r="A6" s="120">
        <v>3</v>
      </c>
      <c r="B6" s="142"/>
      <c r="C6" s="156">
        <v>16</v>
      </c>
      <c r="D6" s="156" t="s">
        <v>20</v>
      </c>
      <c r="E6" s="54">
        <f>'11B (N S) Sem1'!P6</f>
        <v>94.3</v>
      </c>
      <c r="F6" s="54">
        <f>'11B (N S) Sem2'!P6</f>
        <v>97.2</v>
      </c>
      <c r="G6" s="54">
        <f t="shared" si="0"/>
        <v>95.75</v>
      </c>
      <c r="H6" s="74"/>
      <c r="I6" s="55">
        <f t="shared" si="1"/>
        <v>3</v>
      </c>
    </row>
    <row r="7" spans="1:15" ht="18.95" customHeight="1" x14ac:dyDescent="0.25">
      <c r="A7" s="120">
        <v>4</v>
      </c>
      <c r="B7" s="142"/>
      <c r="C7" s="156">
        <v>16</v>
      </c>
      <c r="D7" s="156" t="s">
        <v>20</v>
      </c>
      <c r="E7" s="54">
        <f>'11B (N S) Sem1'!P7</f>
        <v>87</v>
      </c>
      <c r="F7" s="54">
        <f>'11B (N S) Sem2'!P7</f>
        <v>88</v>
      </c>
      <c r="G7" s="54">
        <f t="shared" si="0"/>
        <v>87.5</v>
      </c>
      <c r="H7" s="74"/>
      <c r="I7" s="55">
        <f t="shared" si="1"/>
        <v>7</v>
      </c>
    </row>
    <row r="8" spans="1:15" ht="18.95" customHeight="1" x14ac:dyDescent="0.25">
      <c r="A8" s="120">
        <v>5</v>
      </c>
      <c r="B8" s="142"/>
      <c r="C8" s="156">
        <v>17</v>
      </c>
      <c r="D8" s="156" t="s">
        <v>23</v>
      </c>
      <c r="E8" s="54">
        <f>'11B (N S) Sem1'!P8</f>
        <v>71.400000000000006</v>
      </c>
      <c r="F8" s="54">
        <f>'11B (N S) Sem2'!P8</f>
        <v>81.2</v>
      </c>
      <c r="G8" s="54">
        <f t="shared" si="0"/>
        <v>76.300000000000011</v>
      </c>
      <c r="H8" s="74"/>
      <c r="I8" s="55">
        <f t="shared" si="1"/>
        <v>19</v>
      </c>
      <c r="J8" s="9"/>
      <c r="K8" s="9"/>
    </row>
    <row r="9" spans="1:15" ht="18.95" customHeight="1" x14ac:dyDescent="0.25">
      <c r="A9" s="120">
        <v>6</v>
      </c>
      <c r="B9" s="142"/>
      <c r="C9" s="156">
        <v>16</v>
      </c>
      <c r="D9" s="156" t="s">
        <v>23</v>
      </c>
      <c r="E9" s="54">
        <f>'11B (N S) Sem1'!P9</f>
        <v>0</v>
      </c>
      <c r="F9" s="54">
        <f>'11B (N S) Sem2'!P9</f>
        <v>0</v>
      </c>
      <c r="G9" s="54">
        <f t="shared" si="0"/>
        <v>0</v>
      </c>
      <c r="H9" s="74"/>
      <c r="I9" s="55">
        <f t="shared" si="1"/>
        <v>30</v>
      </c>
      <c r="J9" s="9"/>
      <c r="K9" s="9"/>
    </row>
    <row r="10" spans="1:15" ht="18.95" customHeight="1" x14ac:dyDescent="0.25">
      <c r="A10" s="120">
        <v>7</v>
      </c>
      <c r="B10" s="142"/>
      <c r="C10" s="156">
        <v>16</v>
      </c>
      <c r="D10" s="156" t="s">
        <v>23</v>
      </c>
      <c r="E10" s="54">
        <f>'11B (N S) Sem1'!P10</f>
        <v>72.400000000000006</v>
      </c>
      <c r="F10" s="54">
        <f>'11B (N S) Sem2'!P10</f>
        <v>75</v>
      </c>
      <c r="G10" s="54">
        <f t="shared" si="0"/>
        <v>73.7</v>
      </c>
      <c r="H10" s="74"/>
      <c r="I10" s="55">
        <f t="shared" si="1"/>
        <v>21</v>
      </c>
      <c r="J10" s="9"/>
      <c r="K10" s="9"/>
    </row>
    <row r="11" spans="1:15" ht="18.95" customHeight="1" x14ac:dyDescent="0.25">
      <c r="A11" s="120">
        <v>8</v>
      </c>
      <c r="B11" s="142"/>
      <c r="C11" s="156">
        <v>16</v>
      </c>
      <c r="D11" s="156" t="s">
        <v>23</v>
      </c>
      <c r="E11" s="54">
        <f>'11B (N S) Sem1'!P11</f>
        <v>73.7</v>
      </c>
      <c r="F11" s="54">
        <f>'11B (N S) Sem2'!P11</f>
        <v>82.3</v>
      </c>
      <c r="G11" s="54">
        <f t="shared" si="0"/>
        <v>78</v>
      </c>
      <c r="H11" s="74"/>
      <c r="I11" s="55">
        <f t="shared" si="1"/>
        <v>16</v>
      </c>
      <c r="J11" s="9"/>
      <c r="K11" s="9"/>
    </row>
    <row r="12" spans="1:15" ht="18.95" customHeight="1" x14ac:dyDescent="0.25">
      <c r="A12" s="120">
        <v>9</v>
      </c>
      <c r="B12" s="142"/>
      <c r="C12" s="156">
        <v>16</v>
      </c>
      <c r="D12" s="156" t="s">
        <v>23</v>
      </c>
      <c r="E12" s="54">
        <f>'11B (N S) Sem1'!P12</f>
        <v>90.9</v>
      </c>
      <c r="F12" s="54">
        <f>'11B (N S) Sem2'!P12</f>
        <v>92</v>
      </c>
      <c r="G12" s="54">
        <f t="shared" si="0"/>
        <v>91.45</v>
      </c>
      <c r="H12" s="74"/>
      <c r="I12" s="55">
        <f t="shared" si="1"/>
        <v>5</v>
      </c>
      <c r="J12" s="9"/>
      <c r="K12" s="9"/>
    </row>
    <row r="13" spans="1:15" ht="18.95" customHeight="1" x14ac:dyDescent="0.25">
      <c r="A13" s="120">
        <v>10</v>
      </c>
      <c r="B13" s="142"/>
      <c r="C13" s="156">
        <v>17</v>
      </c>
      <c r="D13" s="156" t="s">
        <v>20</v>
      </c>
      <c r="E13" s="54">
        <f>'11B (N S) Sem1'!P13</f>
        <v>77.400000000000006</v>
      </c>
      <c r="F13" s="54">
        <f>'11B (N S) Sem2'!P13</f>
        <v>78</v>
      </c>
      <c r="G13" s="54">
        <f t="shared" si="0"/>
        <v>77.7</v>
      </c>
      <c r="H13" s="74"/>
      <c r="I13" s="55">
        <f t="shared" si="1"/>
        <v>17</v>
      </c>
      <c r="J13" s="9"/>
      <c r="K13" s="9"/>
    </row>
    <row r="14" spans="1:15" ht="18.95" customHeight="1" x14ac:dyDescent="0.25">
      <c r="A14" s="120">
        <v>11</v>
      </c>
      <c r="B14" s="142"/>
      <c r="C14" s="156">
        <v>17</v>
      </c>
      <c r="D14" s="156" t="s">
        <v>20</v>
      </c>
      <c r="E14" s="54">
        <f>'11B (N S) Sem1'!P14</f>
        <v>60.3</v>
      </c>
      <c r="F14" s="54">
        <f>'11B (N S) Sem2'!P14</f>
        <v>64.900000000000006</v>
      </c>
      <c r="G14" s="54">
        <f t="shared" si="0"/>
        <v>62.6</v>
      </c>
      <c r="H14" s="74"/>
      <c r="I14" s="55">
        <f t="shared" si="1"/>
        <v>28</v>
      </c>
      <c r="J14" s="9"/>
      <c r="K14" s="9"/>
    </row>
    <row r="15" spans="1:15" ht="18.95" customHeight="1" x14ac:dyDescent="0.25">
      <c r="A15" s="120">
        <v>12</v>
      </c>
      <c r="B15" s="142"/>
      <c r="C15" s="156">
        <v>16</v>
      </c>
      <c r="D15" s="156" t="s">
        <v>20</v>
      </c>
      <c r="E15" s="54">
        <f>'11B (N S) Sem1'!P15</f>
        <v>96.2</v>
      </c>
      <c r="F15" s="54">
        <f>'11B (N S) Sem2'!P15</f>
        <v>98.5</v>
      </c>
      <c r="G15" s="54">
        <f t="shared" si="0"/>
        <v>97.35</v>
      </c>
      <c r="H15" s="74"/>
      <c r="I15" s="55">
        <f t="shared" si="1"/>
        <v>1</v>
      </c>
      <c r="J15" s="9"/>
      <c r="K15" s="9"/>
    </row>
    <row r="16" spans="1:15" ht="18.95" customHeight="1" x14ac:dyDescent="0.25">
      <c r="A16" s="120">
        <v>13</v>
      </c>
      <c r="B16" s="142"/>
      <c r="C16" s="156">
        <v>17</v>
      </c>
      <c r="D16" s="156" t="s">
        <v>23</v>
      </c>
      <c r="E16" s="54">
        <f>'11B (N S) Sem1'!P16</f>
        <v>73</v>
      </c>
      <c r="F16" s="54">
        <f>'11B (N S) Sem2'!P16</f>
        <v>71.400000000000006</v>
      </c>
      <c r="G16" s="54">
        <f t="shared" si="0"/>
        <v>72.2</v>
      </c>
      <c r="H16" s="74"/>
      <c r="I16" s="55">
        <f t="shared" si="1"/>
        <v>23</v>
      </c>
      <c r="J16" s="9"/>
      <c r="K16" s="9"/>
    </row>
    <row r="17" spans="1:11" ht="18.95" customHeight="1" x14ac:dyDescent="0.25">
      <c r="A17" s="120">
        <v>14</v>
      </c>
      <c r="B17" s="142"/>
      <c r="C17" s="156">
        <v>17</v>
      </c>
      <c r="D17" s="156" t="s">
        <v>20</v>
      </c>
      <c r="E17" s="54">
        <f>'11B (N S) Sem1'!P17</f>
        <v>94</v>
      </c>
      <c r="F17" s="54">
        <f>'11B (N S) Sem2'!P17</f>
        <v>96.8</v>
      </c>
      <c r="G17" s="54">
        <f t="shared" si="0"/>
        <v>95.4</v>
      </c>
      <c r="H17" s="74"/>
      <c r="I17" s="55">
        <f t="shared" si="1"/>
        <v>4</v>
      </c>
      <c r="J17" s="9"/>
      <c r="K17" s="9"/>
    </row>
    <row r="18" spans="1:11" ht="18.95" customHeight="1" x14ac:dyDescent="0.25">
      <c r="A18" s="120">
        <v>15</v>
      </c>
      <c r="B18" s="142"/>
      <c r="C18" s="156">
        <v>16</v>
      </c>
      <c r="D18" s="156" t="s">
        <v>23</v>
      </c>
      <c r="E18" s="54">
        <f>'11B (N S) Sem1'!P18</f>
        <v>82.7</v>
      </c>
      <c r="F18" s="54">
        <f>'11B (N S) Sem2'!P18</f>
        <v>87.8</v>
      </c>
      <c r="G18" s="54">
        <f t="shared" si="0"/>
        <v>85.25</v>
      </c>
      <c r="H18" s="74"/>
      <c r="I18" s="55">
        <f t="shared" si="1"/>
        <v>8</v>
      </c>
      <c r="J18" s="9"/>
      <c r="K18" s="9"/>
    </row>
    <row r="19" spans="1:11" ht="18.95" customHeight="1" x14ac:dyDescent="0.25">
      <c r="A19" s="120">
        <v>16</v>
      </c>
      <c r="B19" s="142"/>
      <c r="C19" s="156">
        <v>17</v>
      </c>
      <c r="D19" s="156" t="s">
        <v>20</v>
      </c>
      <c r="E19" s="54">
        <f>'11B (N S) Sem1'!P19</f>
        <v>82.3</v>
      </c>
      <c r="F19" s="54">
        <f>'11B (N S) Sem2'!P19</f>
        <v>81.2</v>
      </c>
      <c r="G19" s="54">
        <f t="shared" si="0"/>
        <v>81.75</v>
      </c>
      <c r="H19" s="74"/>
      <c r="I19" s="55">
        <f t="shared" si="1"/>
        <v>13</v>
      </c>
      <c r="J19" s="9"/>
      <c r="K19" s="9"/>
    </row>
    <row r="20" spans="1:11" ht="18.95" customHeight="1" x14ac:dyDescent="0.25">
      <c r="A20" s="120">
        <v>17</v>
      </c>
      <c r="B20" s="142"/>
      <c r="C20" s="156">
        <v>16</v>
      </c>
      <c r="D20" s="156" t="s">
        <v>20</v>
      </c>
      <c r="E20" s="54">
        <f>'11B (N S) Sem1'!P20</f>
        <v>84.4</v>
      </c>
      <c r="F20" s="54">
        <f>'11B (N S) Sem2'!P20</f>
        <v>85.7</v>
      </c>
      <c r="G20" s="54">
        <f t="shared" si="0"/>
        <v>85.050000000000011</v>
      </c>
      <c r="H20" s="74"/>
      <c r="I20" s="55">
        <f t="shared" si="1"/>
        <v>9</v>
      </c>
      <c r="J20" s="9"/>
      <c r="K20" s="9"/>
    </row>
    <row r="21" spans="1:11" ht="18.95" customHeight="1" x14ac:dyDescent="0.25">
      <c r="A21" s="120">
        <v>18</v>
      </c>
      <c r="B21" s="142"/>
      <c r="C21" s="156">
        <v>17</v>
      </c>
      <c r="D21" s="156" t="s">
        <v>20</v>
      </c>
      <c r="E21" s="54">
        <f>'11B (N S) Sem1'!P21</f>
        <v>82.6</v>
      </c>
      <c r="F21" s="54">
        <f>'11B (N S) Sem2'!P21</f>
        <v>81.7</v>
      </c>
      <c r="G21" s="54">
        <f t="shared" si="0"/>
        <v>82.15</v>
      </c>
      <c r="H21" s="74"/>
      <c r="I21" s="55">
        <f t="shared" si="1"/>
        <v>12</v>
      </c>
    </row>
    <row r="22" spans="1:11" ht="18.95" customHeight="1" x14ac:dyDescent="0.25">
      <c r="A22" s="120">
        <v>19</v>
      </c>
      <c r="B22" s="181"/>
      <c r="C22" s="183">
        <v>16</v>
      </c>
      <c r="D22" s="183" t="s">
        <v>20</v>
      </c>
      <c r="E22" s="54">
        <f>'11B (N S) Sem1'!P22</f>
        <v>69.5</v>
      </c>
      <c r="F22" s="54">
        <f>'11B (N S) Sem2'!P22</f>
        <v>70.7</v>
      </c>
      <c r="G22" s="54">
        <f t="shared" si="0"/>
        <v>70.099999999999994</v>
      </c>
      <c r="H22" s="74"/>
      <c r="I22" s="55">
        <f t="shared" si="1"/>
        <v>25</v>
      </c>
    </row>
    <row r="23" spans="1:11" ht="18.75" customHeight="1" x14ac:dyDescent="0.25">
      <c r="A23" s="120">
        <v>20</v>
      </c>
      <c r="B23" s="142"/>
      <c r="C23" s="156">
        <v>17</v>
      </c>
      <c r="D23" s="156" t="s">
        <v>20</v>
      </c>
      <c r="E23" s="54">
        <f>'11B (N S) Sem1'!P23</f>
        <v>66.5</v>
      </c>
      <c r="F23" s="54">
        <f>'11B (N S) Sem2'!P23</f>
        <v>70.900000000000006</v>
      </c>
      <c r="G23" s="54">
        <f t="shared" si="0"/>
        <v>68.7</v>
      </c>
      <c r="H23" s="74"/>
      <c r="I23" s="55">
        <f t="shared" si="1"/>
        <v>26</v>
      </c>
    </row>
    <row r="24" spans="1:11" ht="18.95" customHeight="1" x14ac:dyDescent="0.25">
      <c r="A24" s="120">
        <v>21</v>
      </c>
      <c r="B24" s="142"/>
      <c r="C24" s="156">
        <v>17</v>
      </c>
      <c r="D24" s="156" t="s">
        <v>23</v>
      </c>
      <c r="E24" s="54">
        <f>'11B (N S) Sem1'!P24</f>
        <v>72.900000000000006</v>
      </c>
      <c r="F24" s="54">
        <f>'11B (N S) Sem2'!P24</f>
        <v>82.2</v>
      </c>
      <c r="G24" s="54">
        <f t="shared" si="0"/>
        <v>77.550000000000011</v>
      </c>
      <c r="H24" s="74"/>
      <c r="I24" s="55">
        <f t="shared" si="1"/>
        <v>18</v>
      </c>
    </row>
    <row r="25" spans="1:11" ht="18.95" customHeight="1" x14ac:dyDescent="0.25">
      <c r="A25" s="120">
        <v>22</v>
      </c>
      <c r="B25" s="142"/>
      <c r="C25" s="156">
        <v>17</v>
      </c>
      <c r="D25" s="156" t="s">
        <v>23</v>
      </c>
      <c r="E25" s="54">
        <f>'11B (N S) Sem1'!P25</f>
        <v>71</v>
      </c>
      <c r="F25" s="54">
        <f>'11B (N S) Sem2'!P25</f>
        <v>75.5</v>
      </c>
      <c r="G25" s="54">
        <f t="shared" si="0"/>
        <v>73.25</v>
      </c>
      <c r="H25" s="74"/>
      <c r="I25" s="55">
        <f t="shared" si="1"/>
        <v>22</v>
      </c>
    </row>
    <row r="26" spans="1:11" ht="18.95" customHeight="1" x14ac:dyDescent="0.25">
      <c r="A26" s="120">
        <v>23</v>
      </c>
      <c r="B26" s="142"/>
      <c r="C26" s="156">
        <v>16</v>
      </c>
      <c r="D26" s="156" t="s">
        <v>23</v>
      </c>
      <c r="E26" s="54">
        <f>'11B (N S) Sem1'!P26</f>
        <v>72.400000000000006</v>
      </c>
      <c r="F26" s="54">
        <f>'11B (N S) Sem2'!P26</f>
        <v>78</v>
      </c>
      <c r="G26" s="54">
        <f t="shared" si="0"/>
        <v>75.2</v>
      </c>
      <c r="H26" s="74"/>
      <c r="I26" s="55">
        <f t="shared" si="1"/>
        <v>20</v>
      </c>
    </row>
    <row r="27" spans="1:11" ht="18.95" customHeight="1" x14ac:dyDescent="0.25">
      <c r="A27" s="120">
        <v>24</v>
      </c>
      <c r="B27" s="142"/>
      <c r="C27" s="156">
        <v>17</v>
      </c>
      <c r="D27" s="156" t="s">
        <v>23</v>
      </c>
      <c r="E27" s="54">
        <f>'11B (N S) Sem1'!P27</f>
        <v>76.2</v>
      </c>
      <c r="F27" s="54">
        <f>'11B (N S) Sem2'!P27</f>
        <v>83</v>
      </c>
      <c r="G27" s="54">
        <f t="shared" si="0"/>
        <v>79.599999999999994</v>
      </c>
      <c r="H27" s="74"/>
      <c r="I27" s="55">
        <f t="shared" si="1"/>
        <v>15</v>
      </c>
    </row>
    <row r="28" spans="1:11" ht="18.95" customHeight="1" x14ac:dyDescent="0.25">
      <c r="A28" s="120">
        <v>25</v>
      </c>
      <c r="B28" s="142"/>
      <c r="C28" s="156">
        <v>16</v>
      </c>
      <c r="D28" s="156" t="s">
        <v>20</v>
      </c>
      <c r="E28" s="54">
        <f>'11B (N S) Sem1'!P28</f>
        <v>81.5</v>
      </c>
      <c r="F28" s="54">
        <f>'11B (N S) Sem2'!P28</f>
        <v>86.9</v>
      </c>
      <c r="G28" s="54">
        <f t="shared" si="0"/>
        <v>84.2</v>
      </c>
      <c r="H28" s="74"/>
      <c r="I28" s="55">
        <f t="shared" si="1"/>
        <v>11</v>
      </c>
    </row>
    <row r="29" spans="1:11" ht="18.95" customHeight="1" x14ac:dyDescent="0.25">
      <c r="A29" s="120">
        <v>26</v>
      </c>
      <c r="B29" s="142"/>
      <c r="C29" s="156">
        <v>17</v>
      </c>
      <c r="D29" s="156" t="s">
        <v>20</v>
      </c>
      <c r="E29" s="54">
        <f>'11B (N S) Sem1'!P29</f>
        <v>73.5</v>
      </c>
      <c r="F29" s="54">
        <f>'11B (N S) Sem2'!P29</f>
        <v>86.4</v>
      </c>
      <c r="G29" s="54">
        <f t="shared" si="0"/>
        <v>79.95</v>
      </c>
      <c r="H29" s="74"/>
      <c r="I29" s="55">
        <f t="shared" si="1"/>
        <v>14</v>
      </c>
    </row>
    <row r="30" spans="1:11" ht="18.95" customHeight="1" x14ac:dyDescent="0.25">
      <c r="A30" s="120">
        <v>27</v>
      </c>
      <c r="B30" s="142"/>
      <c r="C30" s="156">
        <v>16</v>
      </c>
      <c r="D30" s="156" t="s">
        <v>20</v>
      </c>
      <c r="E30" s="54">
        <f>'11B (N S) Sem1'!P30</f>
        <v>61.6</v>
      </c>
      <c r="F30" s="54">
        <f>'11B (N S) Sem2'!P30</f>
        <v>68.8</v>
      </c>
      <c r="G30" s="54">
        <f t="shared" si="0"/>
        <v>65.2</v>
      </c>
      <c r="H30" s="74"/>
      <c r="I30" s="55">
        <f t="shared" si="1"/>
        <v>27</v>
      </c>
    </row>
    <row r="31" spans="1:11" ht="18.95" customHeight="1" x14ac:dyDescent="0.25">
      <c r="A31" s="120">
        <v>28</v>
      </c>
      <c r="B31" s="142"/>
      <c r="C31" s="156">
        <v>16</v>
      </c>
      <c r="D31" s="156" t="s">
        <v>20</v>
      </c>
      <c r="E31" s="54">
        <f>'11B (N S) Sem1'!P31</f>
        <v>82.2</v>
      </c>
      <c r="F31" s="54">
        <f>'11B (N S) Sem2'!P31</f>
        <v>87.5</v>
      </c>
      <c r="G31" s="54">
        <f t="shared" si="0"/>
        <v>84.85</v>
      </c>
      <c r="H31" s="20"/>
      <c r="I31" s="55">
        <f t="shared" si="1"/>
        <v>10</v>
      </c>
    </row>
    <row r="32" spans="1:11" ht="18.95" customHeight="1" x14ac:dyDescent="0.25">
      <c r="A32" s="120">
        <v>29</v>
      </c>
      <c r="B32" s="142"/>
      <c r="C32" s="156">
        <v>16</v>
      </c>
      <c r="D32" s="156" t="s">
        <v>20</v>
      </c>
      <c r="E32" s="54">
        <f>'11B (N S) Sem1'!P32</f>
        <v>70.2</v>
      </c>
      <c r="F32" s="54">
        <f>'11B (N S) Sem2'!P32</f>
        <v>73.400000000000006</v>
      </c>
      <c r="G32" s="54">
        <f t="shared" si="0"/>
        <v>71.800000000000011</v>
      </c>
      <c r="H32" s="20"/>
      <c r="I32" s="55">
        <f t="shared" si="1"/>
        <v>24</v>
      </c>
    </row>
    <row r="33" spans="1:9" ht="18.75" customHeight="1" x14ac:dyDescent="0.25">
      <c r="A33" s="95">
        <v>30</v>
      </c>
      <c r="B33" s="142"/>
      <c r="C33" s="156">
        <v>18</v>
      </c>
      <c r="D33" s="156" t="s">
        <v>20</v>
      </c>
      <c r="E33" s="54">
        <f>'11B (N S) Sem1'!P33</f>
        <v>90.5</v>
      </c>
      <c r="F33" s="54">
        <f>'11B (N S) Sem2'!P33</f>
        <v>88.7</v>
      </c>
      <c r="G33" s="54">
        <f t="shared" si="0"/>
        <v>89.6</v>
      </c>
      <c r="H33" s="74"/>
      <c r="I33" s="55">
        <f t="shared" si="1"/>
        <v>6</v>
      </c>
    </row>
    <row r="34" spans="1:9" ht="19.5" customHeight="1" x14ac:dyDescent="0.25">
      <c r="A34" s="120">
        <v>31</v>
      </c>
      <c r="B34" s="124"/>
      <c r="C34" s="178"/>
      <c r="D34" s="124"/>
      <c r="E34" s="54">
        <f>'11B (N S) Sem1'!P34</f>
        <v>0</v>
      </c>
      <c r="F34" s="54">
        <f>'11B (N S) Sem2'!P34</f>
        <v>0</v>
      </c>
      <c r="G34" s="54">
        <f t="shared" si="0"/>
        <v>0</v>
      </c>
      <c r="H34" s="74"/>
      <c r="I34" s="55"/>
    </row>
    <row r="35" spans="1:9" ht="19.5" customHeight="1" x14ac:dyDescent="0.25">
      <c r="A35" s="95">
        <v>32</v>
      </c>
      <c r="B35" s="125"/>
      <c r="C35" s="177"/>
      <c r="D35" s="126"/>
      <c r="E35" s="54">
        <f>'11B (N S) Sem1'!P35</f>
        <v>0</v>
      </c>
      <c r="F35" s="54">
        <f>'11B (N S) Sem2'!P35</f>
        <v>0</v>
      </c>
      <c r="G35" s="54">
        <f t="shared" si="0"/>
        <v>0</v>
      </c>
      <c r="H35" s="74"/>
      <c r="I35" s="55"/>
    </row>
    <row r="36" spans="1:9" ht="20.25" customHeight="1" x14ac:dyDescent="0.25">
      <c r="A36" s="120">
        <v>33</v>
      </c>
      <c r="B36" s="172"/>
      <c r="C36" s="177"/>
      <c r="D36" s="126"/>
      <c r="E36" s="54">
        <f>'11B (N S) Sem1'!P36</f>
        <v>0</v>
      </c>
      <c r="F36" s="54">
        <f>'11B (N S) Sem2'!P36</f>
        <v>0</v>
      </c>
      <c r="G36" s="54">
        <f t="shared" si="0"/>
        <v>0</v>
      </c>
      <c r="H36" s="74"/>
      <c r="I36" s="55"/>
    </row>
    <row r="37" spans="1:9" ht="17.25" customHeight="1" x14ac:dyDescent="0.25">
      <c r="A37" s="95">
        <v>34</v>
      </c>
      <c r="B37" s="126"/>
      <c r="C37" s="177"/>
      <c r="D37" s="126"/>
      <c r="E37" s="54">
        <f>'11B (N S) Sem1'!P37</f>
        <v>0</v>
      </c>
      <c r="F37" s="54">
        <f>'11B (N S) Sem2'!P37</f>
        <v>0</v>
      </c>
      <c r="G37" s="54">
        <f t="shared" si="0"/>
        <v>0</v>
      </c>
      <c r="H37" s="74"/>
      <c r="I37" s="55"/>
    </row>
    <row r="38" spans="1:9" ht="17.25" customHeight="1" x14ac:dyDescent="0.25">
      <c r="A38" s="120">
        <v>35</v>
      </c>
      <c r="B38" s="126"/>
      <c r="C38" s="177"/>
      <c r="D38" s="126"/>
      <c r="E38" s="54">
        <f>'11B (N S) Sem1'!P38</f>
        <v>0</v>
      </c>
      <c r="F38" s="54">
        <f>'11B (N S) Sem2'!P38</f>
        <v>0</v>
      </c>
      <c r="G38" s="54">
        <f t="shared" si="0"/>
        <v>0</v>
      </c>
      <c r="H38" s="74"/>
      <c r="I38" s="55"/>
    </row>
    <row r="39" spans="1:9" ht="21" customHeight="1" x14ac:dyDescent="0.25">
      <c r="A39" s="95">
        <v>36</v>
      </c>
      <c r="B39" s="124"/>
      <c r="C39" s="178"/>
      <c r="D39" s="124"/>
      <c r="E39" s="54">
        <f>'11B (N S) Sem1'!P39</f>
        <v>0</v>
      </c>
      <c r="F39" s="54">
        <f>'11B (N S) Sem2'!P39</f>
        <v>0</v>
      </c>
      <c r="G39" s="54">
        <f t="shared" si="0"/>
        <v>0</v>
      </c>
      <c r="H39" s="74"/>
      <c r="I39" s="55"/>
    </row>
    <row r="40" spans="1:9" ht="17.25" customHeight="1" x14ac:dyDescent="0.25">
      <c r="A40" s="120">
        <v>37</v>
      </c>
      <c r="B40" s="126"/>
      <c r="C40" s="177"/>
      <c r="D40" s="126"/>
      <c r="E40" s="54">
        <f>'11B (N S) Sem1'!P40</f>
        <v>0</v>
      </c>
      <c r="F40" s="54">
        <f>'11B (N S) Sem2'!P40</f>
        <v>0</v>
      </c>
      <c r="G40" s="54">
        <f t="shared" si="0"/>
        <v>0</v>
      </c>
      <c r="H40" s="74"/>
      <c r="I40" s="55"/>
    </row>
    <row r="41" spans="1:9" ht="18.75" customHeight="1" x14ac:dyDescent="0.25">
      <c r="A41" s="95">
        <v>38</v>
      </c>
      <c r="B41" s="126"/>
      <c r="C41" s="177"/>
      <c r="D41" s="126"/>
      <c r="E41" s="54">
        <f>'11B (N S) Sem1'!P41</f>
        <v>0</v>
      </c>
      <c r="F41" s="54">
        <f>'11B (N S) Sem2'!P41</f>
        <v>0</v>
      </c>
      <c r="G41" s="54">
        <f t="shared" si="0"/>
        <v>0</v>
      </c>
      <c r="H41" s="74"/>
      <c r="I41" s="55"/>
    </row>
    <row r="42" spans="1:9" ht="17.25" customHeight="1" x14ac:dyDescent="0.25">
      <c r="A42" s="120">
        <v>39</v>
      </c>
      <c r="B42" s="124"/>
      <c r="C42" s="178"/>
      <c r="D42" s="124"/>
      <c r="E42" s="54">
        <f>'11B (N S) Sem1'!P42</f>
        <v>0</v>
      </c>
      <c r="F42" s="54">
        <f>'11B (N S) Sem2'!P42</f>
        <v>0</v>
      </c>
      <c r="G42" s="54">
        <f t="shared" si="0"/>
        <v>0</v>
      </c>
      <c r="H42" s="74"/>
      <c r="I42" s="55"/>
    </row>
    <row r="43" spans="1:9" ht="16.5" customHeight="1" x14ac:dyDescent="0.25">
      <c r="A43" s="95">
        <v>40</v>
      </c>
      <c r="B43" s="126"/>
      <c r="C43" s="177"/>
      <c r="D43" s="126"/>
      <c r="E43" s="54">
        <f>'11B (N S) Sem1'!P43</f>
        <v>0</v>
      </c>
      <c r="F43" s="54">
        <f>'11B (N S) Sem2'!P43</f>
        <v>0</v>
      </c>
      <c r="G43" s="54">
        <f t="shared" si="0"/>
        <v>0</v>
      </c>
      <c r="H43" s="74"/>
      <c r="I43" s="55"/>
    </row>
    <row r="44" spans="1:9" ht="19.5" customHeight="1" x14ac:dyDescent="0.25">
      <c r="A44" s="120">
        <v>41</v>
      </c>
      <c r="B44" s="126"/>
      <c r="C44" s="177"/>
      <c r="D44" s="126"/>
      <c r="E44" s="54">
        <f>'11B (N S) Sem1'!P44</f>
        <v>0</v>
      </c>
      <c r="F44" s="54">
        <f>'11B (N S) Sem2'!P44</f>
        <v>0</v>
      </c>
      <c r="G44" s="54">
        <f t="shared" si="0"/>
        <v>0</v>
      </c>
      <c r="H44" s="74"/>
      <c r="I44" s="55"/>
    </row>
    <row r="45" spans="1:9" ht="18.75" customHeight="1" x14ac:dyDescent="0.25">
      <c r="A45" s="95">
        <v>42</v>
      </c>
      <c r="B45" s="126"/>
      <c r="C45" s="177"/>
      <c r="D45" s="126"/>
      <c r="E45" s="54">
        <f>'11B (N S) Sem1'!P45</f>
        <v>0</v>
      </c>
      <c r="F45" s="54">
        <f>'11B (N S) Sem2'!P45</f>
        <v>0</v>
      </c>
      <c r="G45" s="54">
        <f t="shared" si="0"/>
        <v>0</v>
      </c>
      <c r="H45" s="74"/>
      <c r="I45" s="55"/>
    </row>
    <row r="46" spans="1:9" ht="19.5" customHeight="1" x14ac:dyDescent="0.25">
      <c r="A46" s="120">
        <v>43</v>
      </c>
      <c r="B46" s="126"/>
      <c r="C46" s="177"/>
      <c r="D46" s="126"/>
      <c r="E46" s="54">
        <f>'11B (N S) Sem1'!P46</f>
        <v>0</v>
      </c>
      <c r="F46" s="54">
        <f>'11B (N S) Sem2'!P46</f>
        <v>0</v>
      </c>
      <c r="G46" s="54">
        <f t="shared" si="0"/>
        <v>0</v>
      </c>
      <c r="H46" s="74"/>
      <c r="I46" s="55"/>
    </row>
    <row r="47" spans="1:9" ht="18.75" customHeight="1" x14ac:dyDescent="0.25">
      <c r="A47" s="95">
        <v>44</v>
      </c>
      <c r="B47" s="126"/>
      <c r="C47" s="177"/>
      <c r="D47" s="126"/>
      <c r="E47" s="54">
        <f>'11B (N S) Sem1'!P47</f>
        <v>0</v>
      </c>
      <c r="F47" s="54">
        <f>'11B (N S) Sem2'!P47</f>
        <v>0</v>
      </c>
      <c r="G47" s="54">
        <f t="shared" si="0"/>
        <v>0</v>
      </c>
      <c r="H47" s="74"/>
      <c r="I47" s="55"/>
    </row>
    <row r="48" spans="1:9" ht="18.75" customHeight="1" x14ac:dyDescent="0.25">
      <c r="A48" s="120">
        <v>45</v>
      </c>
      <c r="B48" s="126"/>
      <c r="C48" s="177"/>
      <c r="D48" s="126"/>
      <c r="E48" s="54">
        <f>'11B (N S) Sem1'!P48</f>
        <v>0</v>
      </c>
      <c r="F48" s="54">
        <f>'11B (N S) Sem2'!P48</f>
        <v>0</v>
      </c>
      <c r="G48" s="54">
        <f t="shared" si="0"/>
        <v>0</v>
      </c>
      <c r="H48" s="74"/>
      <c r="I48" s="55"/>
    </row>
    <row r="49" spans="1:9" ht="18" customHeight="1" x14ac:dyDescent="0.25">
      <c r="A49" s="95">
        <v>46</v>
      </c>
      <c r="B49" s="126"/>
      <c r="C49" s="177"/>
      <c r="D49" s="126"/>
      <c r="E49" s="54">
        <f>'11B (N S) Sem1'!P49</f>
        <v>0</v>
      </c>
      <c r="F49" s="54">
        <f>'11B (N S) Sem2'!P49</f>
        <v>0</v>
      </c>
      <c r="G49" s="54">
        <f t="shared" si="0"/>
        <v>0</v>
      </c>
      <c r="H49" s="74"/>
      <c r="I49" s="55"/>
    </row>
    <row r="50" spans="1:9" ht="18.75" customHeight="1" x14ac:dyDescent="0.25">
      <c r="A50" s="120">
        <v>47</v>
      </c>
      <c r="B50" s="126"/>
      <c r="C50" s="177"/>
      <c r="D50" s="126"/>
      <c r="E50" s="54">
        <f>'11B (N S) Sem1'!P50</f>
        <v>0</v>
      </c>
      <c r="F50" s="54">
        <f>'11B (N S) Sem2'!P50</f>
        <v>0</v>
      </c>
      <c r="G50" s="54">
        <f t="shared" si="0"/>
        <v>0</v>
      </c>
      <c r="H50" s="74"/>
      <c r="I50" s="55"/>
    </row>
    <row r="51" spans="1:9" ht="19.5" customHeight="1" x14ac:dyDescent="0.25">
      <c r="A51" s="95">
        <v>48</v>
      </c>
      <c r="B51" s="126"/>
      <c r="C51" s="177"/>
      <c r="D51" s="126"/>
      <c r="E51" s="54">
        <f>'11B (N S) Sem1'!P51</f>
        <v>0</v>
      </c>
      <c r="F51" s="54">
        <f>'11B (N S) Sem2'!P51</f>
        <v>0</v>
      </c>
      <c r="G51" s="54">
        <f t="shared" si="0"/>
        <v>0</v>
      </c>
      <c r="H51" s="74"/>
      <c r="I51" s="55"/>
    </row>
    <row r="52" spans="1:9" ht="21.75" customHeight="1" x14ac:dyDescent="0.25">
      <c r="A52" s="120">
        <v>49</v>
      </c>
      <c r="B52" s="126"/>
      <c r="C52" s="177"/>
      <c r="D52" s="126"/>
      <c r="E52" s="54">
        <f>'11B (N S) Sem1'!P52</f>
        <v>0</v>
      </c>
      <c r="F52" s="54">
        <f>'11B (N S) Sem2'!P52</f>
        <v>0</v>
      </c>
      <c r="G52" s="54">
        <f t="shared" si="0"/>
        <v>0</v>
      </c>
      <c r="H52" s="74"/>
      <c r="I52" s="55"/>
    </row>
    <row r="53" spans="1:9" ht="17.25" customHeight="1" x14ac:dyDescent="0.25">
      <c r="A53" s="95">
        <v>50</v>
      </c>
      <c r="B53" s="126"/>
      <c r="C53" s="177"/>
      <c r="D53" s="126"/>
      <c r="E53" s="54">
        <f>'11B (N S) Sem1'!P53</f>
        <v>0</v>
      </c>
      <c r="F53" s="54">
        <f>'11B (N S) Sem2'!P53</f>
        <v>0</v>
      </c>
      <c r="G53" s="54">
        <f t="shared" si="0"/>
        <v>0</v>
      </c>
      <c r="H53" s="74"/>
      <c r="I53" s="55"/>
    </row>
    <row r="54" spans="1:9" ht="19.5" customHeight="1" x14ac:dyDescent="0.25">
      <c r="A54" s="120">
        <v>51</v>
      </c>
      <c r="B54" s="126"/>
      <c r="C54" s="177"/>
      <c r="D54" s="126"/>
      <c r="E54" s="54">
        <f>'11B (N S) Sem1'!P54</f>
        <v>0</v>
      </c>
      <c r="F54" s="54">
        <f>'11B (N S) Sem2'!P54</f>
        <v>0</v>
      </c>
      <c r="G54" s="54">
        <f t="shared" si="0"/>
        <v>0</v>
      </c>
      <c r="H54" s="74"/>
      <c r="I54" s="55"/>
    </row>
    <row r="55" spans="1:9" ht="19.5" customHeight="1" x14ac:dyDescent="0.25">
      <c r="A55" s="95">
        <v>52</v>
      </c>
      <c r="B55" s="20"/>
      <c r="C55" s="20"/>
      <c r="D55" s="20"/>
      <c r="E55" s="15">
        <f>'11B (N S) Sem1'!P55</f>
        <v>0</v>
      </c>
      <c r="F55" s="15">
        <f>'11B (N S) Sem2'!P55</f>
        <v>0</v>
      </c>
      <c r="G55" s="54">
        <f t="shared" si="0"/>
        <v>0</v>
      </c>
      <c r="H55" s="20"/>
      <c r="I55" s="20"/>
    </row>
    <row r="56" spans="1:9" ht="19.5" customHeight="1" x14ac:dyDescent="0.25">
      <c r="A56" s="120">
        <v>53</v>
      </c>
      <c r="B56" s="20"/>
      <c r="C56" s="20"/>
      <c r="D56" s="20"/>
      <c r="E56" s="15">
        <f>'11B (N S) Sem1'!P56</f>
        <v>0</v>
      </c>
      <c r="F56" s="15">
        <f>'11B (N S) Sem2'!P56</f>
        <v>0</v>
      </c>
      <c r="G56" s="54">
        <f t="shared" si="0"/>
        <v>0</v>
      </c>
      <c r="H56" s="20"/>
      <c r="I56" s="20"/>
    </row>
    <row r="57" spans="1:9" ht="19.5" customHeight="1" x14ac:dyDescent="0.25">
      <c r="A57" s="95">
        <v>54</v>
      </c>
      <c r="B57" s="20"/>
      <c r="C57" s="20"/>
      <c r="D57" s="20"/>
      <c r="E57" s="15">
        <f>'11B (N S) Sem1'!P57</f>
        <v>0</v>
      </c>
      <c r="F57" s="15">
        <f>'11B (N S) Sem2'!P57</f>
        <v>0</v>
      </c>
      <c r="G57" s="54">
        <f t="shared" si="0"/>
        <v>0</v>
      </c>
      <c r="H57" s="20"/>
      <c r="I57" s="20"/>
    </row>
    <row r="58" spans="1:9" ht="19.5" customHeight="1" x14ac:dyDescent="0.25">
      <c r="A58" s="120">
        <v>55</v>
      </c>
      <c r="B58" s="20"/>
      <c r="C58" s="20"/>
      <c r="D58" s="20"/>
      <c r="E58" s="15">
        <f>'11B (N S) Sem1'!P58</f>
        <v>0</v>
      </c>
      <c r="F58" s="15">
        <f>'11B (N S) Sem2'!P58</f>
        <v>0</v>
      </c>
      <c r="G58" s="54">
        <f t="shared" si="0"/>
        <v>0</v>
      </c>
      <c r="H58" s="20"/>
      <c r="I58" s="20"/>
    </row>
    <row r="59" spans="1:9" ht="13.5" customHeight="1" x14ac:dyDescent="0.25"/>
    <row r="60" spans="1:9" ht="13.5" customHeight="1" x14ac:dyDescent="0.25"/>
    <row r="61" spans="1:9" ht="13.5" customHeight="1" x14ac:dyDescent="0.25"/>
    <row r="62" spans="1:9" ht="13.5" customHeight="1" x14ac:dyDescent="0.25">
      <c r="A62" s="46"/>
      <c r="B62" s="46"/>
    </row>
    <row r="63" spans="1:9" ht="13.5" customHeight="1" x14ac:dyDescent="0.25">
      <c r="A63" s="46"/>
      <c r="B63" s="46"/>
    </row>
    <row r="64" spans="1:9" ht="13.5" customHeight="1" x14ac:dyDescent="0.25">
      <c r="A64" s="46"/>
      <c r="B64" s="46"/>
    </row>
    <row r="65" spans="1:4" ht="13.5" customHeight="1" x14ac:dyDescent="0.25">
      <c r="A65" s="46"/>
      <c r="B65" s="46"/>
    </row>
    <row r="66" spans="1:4" ht="13.5" customHeight="1" x14ac:dyDescent="0.25">
      <c r="A66" s="46"/>
      <c r="B66" s="46"/>
    </row>
    <row r="67" spans="1:4" ht="13.5" customHeight="1" x14ac:dyDescent="0.25">
      <c r="A67" s="46"/>
      <c r="B67" s="46"/>
    </row>
    <row r="68" spans="1:4" ht="13.5" customHeight="1" x14ac:dyDescent="0.25">
      <c r="A68" s="46"/>
      <c r="B68" s="46"/>
    </row>
    <row r="69" spans="1:4" ht="13.5" customHeight="1" x14ac:dyDescent="0.25">
      <c r="A69" s="46"/>
      <c r="B69" s="46"/>
    </row>
    <row r="70" spans="1:4" ht="13.5" customHeight="1" x14ac:dyDescent="0.25">
      <c r="A70" s="46"/>
      <c r="B70" s="46"/>
    </row>
    <row r="71" spans="1:4" ht="13.5" customHeight="1" x14ac:dyDescent="0.25">
      <c r="A71" s="46"/>
      <c r="B71" s="46"/>
    </row>
    <row r="72" spans="1:4" ht="13.5" customHeight="1" x14ac:dyDescent="0.25">
      <c r="A72" s="46"/>
      <c r="B72" s="46"/>
    </row>
    <row r="73" spans="1:4" ht="13.5" customHeight="1" x14ac:dyDescent="0.25">
      <c r="A73" s="46"/>
      <c r="B73" s="46"/>
    </row>
    <row r="74" spans="1:4" ht="13.5" customHeight="1" x14ac:dyDescent="0.25">
      <c r="A74" s="46"/>
      <c r="B74" s="46"/>
    </row>
    <row r="75" spans="1:4" ht="13.5" customHeight="1" x14ac:dyDescent="0.25">
      <c r="A75" s="46"/>
      <c r="B75" s="46"/>
      <c r="C75" s="9"/>
      <c r="D75" s="9"/>
    </row>
    <row r="76" spans="1:4" ht="13.5" customHeight="1" x14ac:dyDescent="0.25">
      <c r="A76" s="46"/>
      <c r="B76" s="46"/>
      <c r="C76" s="9"/>
      <c r="D76" s="9"/>
    </row>
    <row r="77" spans="1:4" ht="13.5" customHeight="1" x14ac:dyDescent="0.25">
      <c r="A77" s="46"/>
      <c r="B77" s="46"/>
      <c r="C77" s="9"/>
      <c r="D77" s="9"/>
    </row>
    <row r="78" spans="1:4" ht="13.5" customHeight="1" x14ac:dyDescent="0.25">
      <c r="A78" s="46"/>
      <c r="B78" s="46"/>
      <c r="C78" s="9"/>
      <c r="D78" s="9"/>
    </row>
    <row r="79" spans="1:4" ht="13.5" customHeight="1" x14ac:dyDescent="0.25">
      <c r="A79" s="46"/>
      <c r="B79" s="46"/>
      <c r="C79" s="9"/>
      <c r="D79" s="9"/>
    </row>
    <row r="80" spans="1:4" ht="13.5" customHeight="1" x14ac:dyDescent="0.25">
      <c r="A80" s="46"/>
      <c r="B80" s="46"/>
      <c r="C80" s="9"/>
      <c r="D80" s="9"/>
    </row>
    <row r="81" spans="1:4" ht="13.5" customHeight="1" x14ac:dyDescent="0.25">
      <c r="A81" s="46"/>
      <c r="B81" s="46"/>
      <c r="C81" s="9"/>
      <c r="D81" s="9"/>
    </row>
    <row r="82" spans="1:4" ht="13.5" customHeight="1" x14ac:dyDescent="0.25">
      <c r="A82" s="46"/>
      <c r="B82" s="46"/>
      <c r="C82" s="9"/>
      <c r="D82" s="9"/>
    </row>
    <row r="83" spans="1:4" ht="13.5" customHeight="1" x14ac:dyDescent="0.25">
      <c r="A83" s="46"/>
      <c r="B83" s="46"/>
      <c r="C83" s="9"/>
      <c r="D83" s="9"/>
    </row>
    <row r="84" spans="1:4" ht="13.5" customHeight="1" x14ac:dyDescent="0.25">
      <c r="A84" s="46"/>
      <c r="B84" s="46"/>
    </row>
    <row r="85" spans="1:4" ht="13.5" customHeight="1" x14ac:dyDescent="0.25">
      <c r="A85" s="46"/>
      <c r="B85" s="46"/>
    </row>
    <row r="86" spans="1:4" ht="13.5" customHeight="1" x14ac:dyDescent="0.25">
      <c r="A86" s="46"/>
      <c r="B86" s="46"/>
    </row>
    <row r="87" spans="1:4" ht="13.5" customHeight="1" x14ac:dyDescent="0.25">
      <c r="A87" s="46"/>
      <c r="B87" s="46"/>
    </row>
    <row r="88" spans="1:4" ht="13.5" customHeight="1" x14ac:dyDescent="0.25">
      <c r="A88" s="46"/>
      <c r="B88" s="46"/>
    </row>
    <row r="89" spans="1:4" ht="13.5" customHeight="1" x14ac:dyDescent="0.25">
      <c r="A89" s="46"/>
      <c r="B89" s="46"/>
    </row>
    <row r="90" spans="1:4" ht="13.5" customHeight="1" x14ac:dyDescent="0.25">
      <c r="A90" s="46"/>
      <c r="B90" s="46"/>
    </row>
    <row r="91" spans="1:4" ht="13.5" customHeight="1" x14ac:dyDescent="0.25">
      <c r="A91" s="46"/>
      <c r="B91" s="46"/>
    </row>
    <row r="92" spans="1:4" ht="13.5" customHeight="1" x14ac:dyDescent="0.25">
      <c r="A92" s="46"/>
      <c r="B92" s="46"/>
    </row>
    <row r="93" spans="1:4" ht="13.5" customHeight="1" x14ac:dyDescent="0.25">
      <c r="A93" s="46"/>
      <c r="B93" s="46"/>
    </row>
    <row r="94" spans="1:4" ht="13.5" customHeight="1" x14ac:dyDescent="0.25">
      <c r="A94" s="46"/>
      <c r="B94" s="46"/>
    </row>
    <row r="95" spans="1:4" ht="13.5" customHeight="1" x14ac:dyDescent="0.25">
      <c r="A95" s="46"/>
      <c r="B95" s="46"/>
    </row>
    <row r="96" spans="1:4" ht="13.5" customHeight="1" x14ac:dyDescent="0.25">
      <c r="A96" s="46"/>
      <c r="B96" s="46"/>
    </row>
    <row r="97" spans="1:2" ht="13.5" customHeight="1" x14ac:dyDescent="0.25">
      <c r="A97" s="46"/>
      <c r="B97" s="46"/>
    </row>
    <row r="98" spans="1:2" ht="13.5" customHeight="1" x14ac:dyDescent="0.25">
      <c r="A98" s="46"/>
      <c r="B98" s="46"/>
    </row>
    <row r="99" spans="1:2" ht="15" customHeight="1" x14ac:dyDescent="0.25">
      <c r="A99" s="46"/>
      <c r="B99" s="46"/>
    </row>
  </sheetData>
  <mergeCells count="2">
    <mergeCell ref="A1:K1"/>
    <mergeCell ref="A2:K2"/>
  </mergeCells>
  <pageMargins left="0.7" right="0.7" top="0.75" bottom="0.75" header="0.3" footer="0.3"/>
  <pageSetup paperSize="9" scale="79" fitToHeight="0" orientation="portrait" verticalDpi="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244"/>
  <sheetViews>
    <sheetView topLeftCell="A84" zoomScaleNormal="100" workbookViewId="0">
      <selection activeCell="B93" sqref="B6:B95"/>
    </sheetView>
  </sheetViews>
  <sheetFormatPr defaultRowHeight="15" x14ac:dyDescent="0.25"/>
  <cols>
    <col min="1" max="1" width="4" customWidth="1"/>
    <col min="2" max="2" width="35.28515625" customWidth="1"/>
    <col min="3" max="4" width="4.140625" style="10" customWidth="1"/>
    <col min="5" max="16" width="7.7109375" customWidth="1"/>
    <col min="17" max="17" width="7.7109375" style="204" customWidth="1"/>
    <col min="18" max="19" width="7.7109375" customWidth="1"/>
    <col min="20" max="20" width="7.7109375" style="37" customWidth="1"/>
    <col min="21" max="21" width="4.7109375" customWidth="1"/>
    <col min="22" max="22" width="30.85546875" customWidth="1"/>
    <col min="23" max="23" width="3.85546875" customWidth="1"/>
    <col min="24" max="24" width="3.7109375" customWidth="1"/>
  </cols>
  <sheetData>
    <row r="1" spans="1:23" ht="20.25" x14ac:dyDescent="0.25">
      <c r="A1" s="272" t="s">
        <v>60</v>
      </c>
      <c r="B1" s="273"/>
      <c r="C1" s="273"/>
      <c r="D1" s="273"/>
      <c r="E1" s="273"/>
      <c r="F1" s="273"/>
      <c r="G1" s="273"/>
      <c r="H1" s="273"/>
      <c r="I1" s="273"/>
      <c r="J1" s="273"/>
      <c r="K1" s="273"/>
      <c r="L1" s="273"/>
      <c r="M1" s="273"/>
      <c r="N1" s="273"/>
      <c r="O1" s="273"/>
      <c r="P1" s="273"/>
      <c r="Q1" s="273"/>
      <c r="R1" s="273"/>
      <c r="S1" s="273"/>
      <c r="T1" s="273"/>
    </row>
    <row r="2" spans="1:23" ht="18.75" customHeight="1" x14ac:dyDescent="0.25">
      <c r="A2" s="89"/>
      <c r="B2" s="90"/>
      <c r="C2" s="90"/>
      <c r="D2" s="90"/>
      <c r="E2" s="90"/>
      <c r="F2" s="90"/>
      <c r="G2" s="90"/>
      <c r="H2" s="90"/>
      <c r="I2" s="90"/>
      <c r="J2" s="90"/>
      <c r="K2" s="90"/>
      <c r="L2" s="90"/>
      <c r="M2" s="90"/>
      <c r="N2" s="90"/>
      <c r="O2" s="90"/>
      <c r="P2" s="90"/>
      <c r="Q2" s="199"/>
      <c r="R2" s="90"/>
      <c r="S2" s="90"/>
      <c r="T2" s="35"/>
    </row>
    <row r="3" spans="1:23" x14ac:dyDescent="0.25">
      <c r="A3" s="275" t="s">
        <v>61</v>
      </c>
      <c r="B3" s="275"/>
      <c r="C3" s="275"/>
      <c r="D3" s="275"/>
      <c r="E3" s="275"/>
      <c r="F3" s="275"/>
      <c r="G3" s="275"/>
      <c r="H3" s="275"/>
      <c r="I3" s="275"/>
      <c r="J3" s="275"/>
      <c r="K3" s="275"/>
      <c r="L3" s="275"/>
      <c r="M3" s="275"/>
      <c r="N3" s="275"/>
      <c r="O3" s="275"/>
      <c r="P3" s="275"/>
      <c r="Q3" s="275"/>
      <c r="R3" s="275"/>
      <c r="S3" s="275"/>
      <c r="T3" s="275"/>
      <c r="U3" s="3"/>
      <c r="V3" s="3"/>
      <c r="W3" s="3"/>
    </row>
    <row r="4" spans="1:23" ht="15.75" thickBot="1" x14ac:dyDescent="0.3">
      <c r="A4" s="4"/>
      <c r="B4" s="4"/>
      <c r="C4" s="4"/>
      <c r="D4" s="4"/>
      <c r="E4" s="4"/>
      <c r="F4" s="4"/>
      <c r="G4" s="4"/>
      <c r="H4" s="4"/>
      <c r="I4" s="4"/>
      <c r="J4" s="4"/>
      <c r="K4" s="4"/>
      <c r="L4" s="4"/>
      <c r="M4" s="4"/>
      <c r="N4" s="4"/>
      <c r="O4" s="4"/>
      <c r="P4" s="4"/>
      <c r="Q4" s="200"/>
      <c r="R4" s="4"/>
      <c r="S4" s="4"/>
      <c r="T4" s="4"/>
      <c r="U4" s="3"/>
      <c r="V4" s="3"/>
      <c r="W4" s="3"/>
    </row>
    <row r="5" spans="1:23" ht="58.5" customHeight="1" thickBot="1" x14ac:dyDescent="0.3">
      <c r="A5" s="76" t="s">
        <v>28</v>
      </c>
      <c r="B5" s="76" t="s">
        <v>1</v>
      </c>
      <c r="C5" s="80" t="s">
        <v>2</v>
      </c>
      <c r="D5" s="80" t="s">
        <v>3</v>
      </c>
      <c r="E5" s="25" t="s">
        <v>25</v>
      </c>
      <c r="F5" s="195" t="s">
        <v>4</v>
      </c>
      <c r="G5" s="195" t="s">
        <v>5</v>
      </c>
      <c r="H5" s="195" t="s">
        <v>6</v>
      </c>
      <c r="I5" s="195" t="s">
        <v>10</v>
      </c>
      <c r="J5" s="195" t="s">
        <v>11</v>
      </c>
      <c r="K5" s="195" t="s">
        <v>12</v>
      </c>
      <c r="L5" s="195" t="s">
        <v>13</v>
      </c>
      <c r="M5" s="195" t="s">
        <v>14</v>
      </c>
      <c r="N5" s="195" t="s">
        <v>29</v>
      </c>
      <c r="O5" s="195" t="s">
        <v>30</v>
      </c>
      <c r="P5" s="195" t="s">
        <v>15</v>
      </c>
      <c r="Q5" s="209" t="s">
        <v>16</v>
      </c>
      <c r="R5" s="195" t="s">
        <v>17</v>
      </c>
      <c r="S5" s="195" t="s">
        <v>18</v>
      </c>
      <c r="T5" s="99" t="s">
        <v>19</v>
      </c>
    </row>
    <row r="6" spans="1:23" ht="20.100000000000001" customHeight="1" thickBot="1" x14ac:dyDescent="0.3">
      <c r="A6" s="276">
        <v>1</v>
      </c>
      <c r="B6" s="247"/>
      <c r="C6" s="253">
        <v>17</v>
      </c>
      <c r="D6" s="254" t="s">
        <v>20</v>
      </c>
      <c r="E6" s="29" t="s">
        <v>21</v>
      </c>
      <c r="F6" s="30">
        <f>'11C (SS)Sem 1'!E4</f>
        <v>78</v>
      </c>
      <c r="G6" s="30">
        <f>'11C (SS)Sem 1'!F4</f>
        <v>59</v>
      </c>
      <c r="H6" s="30">
        <f>'11C (SS)Sem 1'!G4</f>
        <v>44</v>
      </c>
      <c r="I6" s="30">
        <f>'11C (SS)Sem 1'!H4</f>
        <v>63</v>
      </c>
      <c r="J6" s="30">
        <f>'11C (SS)Sem 1'!I4</f>
        <v>65</v>
      </c>
      <c r="K6" s="30">
        <f>'11C (SS)Sem 1'!J4</f>
        <v>55</v>
      </c>
      <c r="L6" s="30">
        <f>'11C (SS)Sem 1'!K4</f>
        <v>86</v>
      </c>
      <c r="M6" s="30">
        <f>'11C (SS)Sem 1'!L4</f>
        <v>88</v>
      </c>
      <c r="N6" s="30">
        <f>'11C (SS)Sem 1'!M4</f>
        <v>60</v>
      </c>
      <c r="O6" s="30">
        <f>'11C (SS)Sem 1'!N4</f>
        <v>62</v>
      </c>
      <c r="P6" s="30">
        <f>'11C (SS)Sem 1'!O4</f>
        <v>660</v>
      </c>
      <c r="Q6" s="198">
        <f>'11C (SS)Sem 1'!P4</f>
        <v>66</v>
      </c>
      <c r="R6" s="105">
        <f>'11C (SS)Sem 1'!Q4</f>
        <v>24</v>
      </c>
      <c r="S6" s="30">
        <f>'11C (SS)Sem 1'!R4</f>
        <v>0</v>
      </c>
      <c r="T6" s="210">
        <f>'11C (SS)Sem 1'!S4</f>
        <v>0</v>
      </c>
    </row>
    <row r="7" spans="1:23" ht="20.100000000000001" customHeight="1" thickBot="1" x14ac:dyDescent="0.3">
      <c r="A7" s="276"/>
      <c r="B7" s="247"/>
      <c r="C7" s="253">
        <v>17</v>
      </c>
      <c r="D7" s="254" t="s">
        <v>20</v>
      </c>
      <c r="E7" s="29" t="s">
        <v>22</v>
      </c>
      <c r="F7" s="38">
        <f>'11C (SS)Sem 2'!E4</f>
        <v>81</v>
      </c>
      <c r="G7" s="38">
        <f>'11C (SS)Sem 2'!F4</f>
        <v>71</v>
      </c>
      <c r="H7" s="38">
        <f>'11C (SS)Sem 2'!G4</f>
        <v>53</v>
      </c>
      <c r="I7" s="38">
        <f>'11C (SS)Sem 2'!H4</f>
        <v>76</v>
      </c>
      <c r="J7" s="38">
        <f>'11C (SS)Sem 2'!I4</f>
        <v>67</v>
      </c>
      <c r="K7" s="38">
        <f>'11C (SS)Sem 2'!J4</f>
        <v>69</v>
      </c>
      <c r="L7" s="38">
        <f>'11C (SS)Sem 2'!K4</f>
        <v>78</v>
      </c>
      <c r="M7" s="38">
        <f>'11C (SS)Sem 2'!L4</f>
        <v>96</v>
      </c>
      <c r="N7" s="38">
        <f>'11C (SS)Sem 2'!M4</f>
        <v>64</v>
      </c>
      <c r="O7" s="38">
        <f>'11C (SS)Sem 2'!N4</f>
        <v>62</v>
      </c>
      <c r="P7" s="30">
        <f>'11C (SS)Sem 2'!O4</f>
        <v>717</v>
      </c>
      <c r="Q7" s="198">
        <f>'11C (SS)Sem 2'!P4</f>
        <v>71.7</v>
      </c>
      <c r="R7" s="105">
        <f>'11C (SS)Sem 2'!Q4</f>
        <v>25</v>
      </c>
      <c r="S7" s="105">
        <f>'11C (SS)Sem 2'!R4</f>
        <v>0</v>
      </c>
      <c r="T7" s="105">
        <f>'11C (SS)Sem 2'!S4</f>
        <v>0</v>
      </c>
    </row>
    <row r="8" spans="1:23" ht="20.100000000000001" customHeight="1" thickBot="1" x14ac:dyDescent="0.3">
      <c r="A8" s="276"/>
      <c r="B8" s="247"/>
      <c r="C8" s="253">
        <v>17</v>
      </c>
      <c r="D8" s="254" t="s">
        <v>20</v>
      </c>
      <c r="E8" s="29" t="s">
        <v>16</v>
      </c>
      <c r="F8" s="30">
        <f>AVERAGE(F6:F7)</f>
        <v>79.5</v>
      </c>
      <c r="G8" s="30">
        <f t="shared" ref="G8:Q8" si="0">AVERAGE(G6:G7)</f>
        <v>65</v>
      </c>
      <c r="H8" s="30">
        <f t="shared" si="0"/>
        <v>48.5</v>
      </c>
      <c r="I8" s="30">
        <f t="shared" si="0"/>
        <v>69.5</v>
      </c>
      <c r="J8" s="30">
        <f t="shared" si="0"/>
        <v>66</v>
      </c>
      <c r="K8" s="30">
        <f t="shared" si="0"/>
        <v>62</v>
      </c>
      <c r="L8" s="30">
        <f t="shared" si="0"/>
        <v>82</v>
      </c>
      <c r="M8" s="30">
        <f t="shared" si="0"/>
        <v>92</v>
      </c>
      <c r="N8" s="30">
        <f t="shared" si="0"/>
        <v>62</v>
      </c>
      <c r="O8" s="30">
        <f t="shared" si="0"/>
        <v>62</v>
      </c>
      <c r="P8" s="30">
        <f t="shared" si="0"/>
        <v>688.5</v>
      </c>
      <c r="Q8" s="198">
        <f t="shared" si="0"/>
        <v>68.849999999999994</v>
      </c>
      <c r="R8" s="30">
        <f>'11C Sem avr (SS)'!$H$4</f>
        <v>25</v>
      </c>
      <c r="S8" s="30">
        <f>AVERAGE(S6:S7)</f>
        <v>0</v>
      </c>
      <c r="T8" s="30">
        <f>AVERAGE(T6:T7)</f>
        <v>0</v>
      </c>
    </row>
    <row r="9" spans="1:23" ht="20.100000000000001" customHeight="1" thickBot="1" x14ac:dyDescent="0.3">
      <c r="A9" s="252">
        <v>2</v>
      </c>
      <c r="B9" s="247"/>
      <c r="C9" s="247">
        <v>16</v>
      </c>
      <c r="D9" s="248" t="s">
        <v>23</v>
      </c>
      <c r="E9" s="29" t="s">
        <v>21</v>
      </c>
      <c r="F9" s="30">
        <f>'11C (SS)Sem 1'!E5</f>
        <v>93</v>
      </c>
      <c r="G9" s="30">
        <f>'11C (SS)Sem 1'!F5</f>
        <v>86</v>
      </c>
      <c r="H9" s="30">
        <f>'11C (SS)Sem 1'!G5</f>
        <v>54</v>
      </c>
      <c r="I9" s="30">
        <f>'11C (SS)Sem 1'!H5</f>
        <v>81</v>
      </c>
      <c r="J9" s="30">
        <f>'11C (SS)Sem 1'!I5</f>
        <v>85</v>
      </c>
      <c r="K9" s="30">
        <f>'11C (SS)Sem 1'!J5</f>
        <v>69</v>
      </c>
      <c r="L9" s="30">
        <f>'11C (SS)Sem 1'!K5</f>
        <v>88</v>
      </c>
      <c r="M9" s="30">
        <f>'11C (SS)Sem 1'!L5</f>
        <v>95</v>
      </c>
      <c r="N9" s="30">
        <f>'11C (SS)Sem 1'!M5</f>
        <v>78</v>
      </c>
      <c r="O9" s="30">
        <f>'11C (SS)Sem 1'!N5</f>
        <v>90</v>
      </c>
      <c r="P9" s="30">
        <f>'11C (SS)Sem 1'!O5</f>
        <v>819</v>
      </c>
      <c r="Q9" s="198">
        <f>'11C (SS)Sem 1'!P5</f>
        <v>81.900000000000006</v>
      </c>
      <c r="R9" s="105">
        <f>'11C (SS)Sem 1'!Q5</f>
        <v>8</v>
      </c>
      <c r="S9" s="30">
        <f>'11C (SS)Sem 1'!R5</f>
        <v>0</v>
      </c>
      <c r="T9" s="30">
        <f>'11C (SS)Sem 1'!S5</f>
        <v>0</v>
      </c>
    </row>
    <row r="10" spans="1:23" ht="20.100000000000001" customHeight="1" thickBot="1" x14ac:dyDescent="0.3">
      <c r="A10" s="252"/>
      <c r="B10" s="247"/>
      <c r="C10" s="247">
        <v>16</v>
      </c>
      <c r="D10" s="248" t="s">
        <v>23</v>
      </c>
      <c r="E10" s="29" t="s">
        <v>22</v>
      </c>
      <c r="F10" s="30">
        <f>'11C (SS)Sem 2'!E5</f>
        <v>88</v>
      </c>
      <c r="G10" s="30">
        <f>'11C (SS)Sem 2'!F5</f>
        <v>86</v>
      </c>
      <c r="H10" s="30">
        <f>'11C (SS)Sem 2'!G5</f>
        <v>66</v>
      </c>
      <c r="I10" s="30">
        <f>'11C (SS)Sem 2'!H5</f>
        <v>83</v>
      </c>
      <c r="J10" s="30">
        <f>'11C (SS)Sem 2'!I5</f>
        <v>77</v>
      </c>
      <c r="K10" s="30">
        <f>'11C (SS)Sem 2'!J5</f>
        <v>90</v>
      </c>
      <c r="L10" s="30">
        <f>'11C (SS)Sem 2'!K5</f>
        <v>89</v>
      </c>
      <c r="M10" s="30">
        <f>'11C (SS)Sem 2'!L5</f>
        <v>95</v>
      </c>
      <c r="N10" s="30">
        <f>'11C (SS)Sem 2'!M5</f>
        <v>82</v>
      </c>
      <c r="O10" s="30">
        <f>'11C (SS)Sem 2'!N5</f>
        <v>80</v>
      </c>
      <c r="P10" s="30">
        <f>'11C (SS)Sem 2'!O5</f>
        <v>836</v>
      </c>
      <c r="Q10" s="198">
        <f>'11C (SS)Sem 2'!P5</f>
        <v>83.6</v>
      </c>
      <c r="R10" s="105">
        <f>'11C (SS)Sem 2'!Q5</f>
        <v>10</v>
      </c>
      <c r="S10" s="105">
        <f>'11C (SS)Sem 2'!R5</f>
        <v>0</v>
      </c>
      <c r="T10" s="105">
        <f>'11C (SS)Sem 2'!S5</f>
        <v>0</v>
      </c>
    </row>
    <row r="11" spans="1:23" ht="20.100000000000001" customHeight="1" thickBot="1" x14ac:dyDescent="0.3">
      <c r="A11" s="252"/>
      <c r="B11" s="247"/>
      <c r="C11" s="247">
        <v>16</v>
      </c>
      <c r="D11" s="248" t="s">
        <v>23</v>
      </c>
      <c r="E11" s="29" t="s">
        <v>16</v>
      </c>
      <c r="F11" s="30">
        <f>AVERAGE(F9:F10)</f>
        <v>90.5</v>
      </c>
      <c r="G11" s="30">
        <f t="shared" ref="G11:Q11" si="1">AVERAGE(G9:G10)</f>
        <v>86</v>
      </c>
      <c r="H11" s="30">
        <f t="shared" si="1"/>
        <v>60</v>
      </c>
      <c r="I11" s="30">
        <f t="shared" si="1"/>
        <v>82</v>
      </c>
      <c r="J11" s="30">
        <f t="shared" si="1"/>
        <v>81</v>
      </c>
      <c r="K11" s="30">
        <f t="shared" si="1"/>
        <v>79.5</v>
      </c>
      <c r="L11" s="30">
        <f t="shared" si="1"/>
        <v>88.5</v>
      </c>
      <c r="M11" s="30">
        <f t="shared" si="1"/>
        <v>95</v>
      </c>
      <c r="N11" s="30">
        <f t="shared" si="1"/>
        <v>80</v>
      </c>
      <c r="O11" s="30">
        <f t="shared" si="1"/>
        <v>85</v>
      </c>
      <c r="P11" s="30">
        <f t="shared" si="1"/>
        <v>827.5</v>
      </c>
      <c r="Q11" s="198">
        <f t="shared" si="1"/>
        <v>82.75</v>
      </c>
      <c r="R11" s="30">
        <f>'11C Sem avr (SS)'!$H$5</f>
        <v>9</v>
      </c>
      <c r="S11" s="30">
        <f>AVERAGE(S9:S10)</f>
        <v>0</v>
      </c>
      <c r="T11" s="30">
        <f>AVERAGE(T9:T10)</f>
        <v>0</v>
      </c>
    </row>
    <row r="12" spans="1:23" ht="20.100000000000001" customHeight="1" thickBot="1" x14ac:dyDescent="0.3">
      <c r="A12" s="246">
        <v>3</v>
      </c>
      <c r="B12" s="247"/>
      <c r="C12" s="253">
        <v>16</v>
      </c>
      <c r="D12" s="254" t="s">
        <v>20</v>
      </c>
      <c r="E12" s="29" t="s">
        <v>21</v>
      </c>
      <c r="F12" s="30">
        <f>'11C (SS)Sem 1'!E6</f>
        <v>65</v>
      </c>
      <c r="G12" s="30">
        <f>'11C (SS)Sem 1'!F6</f>
        <v>62</v>
      </c>
      <c r="H12" s="30">
        <f>'11C (SS)Sem 1'!G6</f>
        <v>53</v>
      </c>
      <c r="I12" s="30">
        <f>'11C (SS)Sem 1'!H6</f>
        <v>56</v>
      </c>
      <c r="J12" s="30">
        <f>'11C (SS)Sem 1'!I6</f>
        <v>56</v>
      </c>
      <c r="K12" s="30">
        <f>'11C (SS)Sem 1'!J6</f>
        <v>57</v>
      </c>
      <c r="L12" s="30">
        <f>'11C (SS)Sem 1'!K6</f>
        <v>91</v>
      </c>
      <c r="M12" s="30">
        <f>'11C (SS)Sem 1'!L6</f>
        <v>85</v>
      </c>
      <c r="N12" s="30">
        <f>'11C (SS)Sem 1'!M6</f>
        <v>63</v>
      </c>
      <c r="O12" s="30">
        <f>'11C (SS)Sem 1'!N6</f>
        <v>69</v>
      </c>
      <c r="P12" s="30">
        <f>'11C (SS)Sem 1'!O6</f>
        <v>657</v>
      </c>
      <c r="Q12" s="198">
        <f>'11C (SS)Sem 1'!P6</f>
        <v>65.7</v>
      </c>
      <c r="R12" s="105">
        <f>'11C (SS)Sem 1'!Q6</f>
        <v>27</v>
      </c>
      <c r="S12" s="105">
        <f>'11C (SS)Sem 1'!R6</f>
        <v>0</v>
      </c>
      <c r="T12" s="105">
        <f>'11C (SS)Sem 1'!S6</f>
        <v>0</v>
      </c>
    </row>
    <row r="13" spans="1:23" ht="20.100000000000001" customHeight="1" thickBot="1" x14ac:dyDescent="0.3">
      <c r="A13" s="246"/>
      <c r="B13" s="247"/>
      <c r="C13" s="253">
        <v>16</v>
      </c>
      <c r="D13" s="254" t="s">
        <v>20</v>
      </c>
      <c r="E13" s="29" t="s">
        <v>22</v>
      </c>
      <c r="F13" s="30">
        <f>'11C (SS)Sem 2'!E6</f>
        <v>72</v>
      </c>
      <c r="G13" s="30">
        <f>'11C (SS)Sem 2'!F6</f>
        <v>68</v>
      </c>
      <c r="H13" s="30">
        <f>'11C (SS)Sem 2'!G6</f>
        <v>47</v>
      </c>
      <c r="I13" s="30">
        <f>'11C (SS)Sem 2'!H6</f>
        <v>58</v>
      </c>
      <c r="J13" s="30">
        <f>'11C (SS)Sem 2'!I6</f>
        <v>73</v>
      </c>
      <c r="K13" s="30">
        <f>'11C (SS)Sem 2'!J6</f>
        <v>71</v>
      </c>
      <c r="L13" s="30">
        <f>'11C (SS)Sem 2'!K6</f>
        <v>83</v>
      </c>
      <c r="M13" s="30">
        <f>'11C (SS)Sem 2'!L6</f>
        <v>96</v>
      </c>
      <c r="N13" s="30">
        <f>'11C (SS)Sem 2'!M6</f>
        <v>60</v>
      </c>
      <c r="O13" s="30">
        <f>'11C (SS)Sem 2'!N6</f>
        <v>63</v>
      </c>
      <c r="P13" s="30">
        <f>'11C (SS)Sem 2'!O6</f>
        <v>691</v>
      </c>
      <c r="Q13" s="198">
        <f>'11C (SS)Sem 2'!P6</f>
        <v>69.099999999999994</v>
      </c>
      <c r="R13" s="105">
        <f>'11C (SS)Sem 2'!Q6</f>
        <v>27</v>
      </c>
      <c r="S13" s="105">
        <f>'11C (SS)Sem 2'!R6</f>
        <v>0</v>
      </c>
      <c r="T13" s="105">
        <f>'11C (SS)Sem 2'!S6</f>
        <v>0</v>
      </c>
    </row>
    <row r="14" spans="1:23" ht="20.100000000000001" customHeight="1" thickBot="1" x14ac:dyDescent="0.3">
      <c r="A14" s="246"/>
      <c r="B14" s="247"/>
      <c r="C14" s="253">
        <v>16</v>
      </c>
      <c r="D14" s="254" t="s">
        <v>20</v>
      </c>
      <c r="E14" s="29" t="s">
        <v>16</v>
      </c>
      <c r="F14" s="30">
        <f>AVERAGE(F12:F13)</f>
        <v>68.5</v>
      </c>
      <c r="G14" s="30">
        <f t="shared" ref="G14:Q14" si="2">AVERAGE(G12:G13)</f>
        <v>65</v>
      </c>
      <c r="H14" s="30">
        <f t="shared" si="2"/>
        <v>50</v>
      </c>
      <c r="I14" s="30">
        <f t="shared" si="2"/>
        <v>57</v>
      </c>
      <c r="J14" s="30">
        <f t="shared" si="2"/>
        <v>64.5</v>
      </c>
      <c r="K14" s="30">
        <f t="shared" si="2"/>
        <v>64</v>
      </c>
      <c r="L14" s="30">
        <f t="shared" si="2"/>
        <v>87</v>
      </c>
      <c r="M14" s="30">
        <f t="shared" si="2"/>
        <v>90.5</v>
      </c>
      <c r="N14" s="30">
        <f t="shared" si="2"/>
        <v>61.5</v>
      </c>
      <c r="O14" s="30">
        <f t="shared" si="2"/>
        <v>66</v>
      </c>
      <c r="P14" s="30">
        <f t="shared" si="2"/>
        <v>674</v>
      </c>
      <c r="Q14" s="198">
        <f t="shared" si="2"/>
        <v>67.400000000000006</v>
      </c>
      <c r="R14" s="30">
        <f>'11C Sem avr (SS)'!$H$6</f>
        <v>26</v>
      </c>
      <c r="S14" s="30">
        <f>AVERAGE(S12:S13)</f>
        <v>0</v>
      </c>
      <c r="T14" s="30">
        <f>AVERAGE(T12:T13)</f>
        <v>0</v>
      </c>
    </row>
    <row r="15" spans="1:23" ht="20.100000000000001" customHeight="1" thickBot="1" x14ac:dyDescent="0.3">
      <c r="A15" s="252">
        <v>4</v>
      </c>
      <c r="B15" s="352"/>
      <c r="C15" s="252">
        <v>14</v>
      </c>
      <c r="D15" s="353" t="s">
        <v>20</v>
      </c>
      <c r="E15" s="29" t="s">
        <v>21</v>
      </c>
      <c r="F15" s="30">
        <f>'11C (SS)Sem 1'!E7</f>
        <v>81</v>
      </c>
      <c r="G15" s="30">
        <f>'11C (SS)Sem 1'!F7</f>
        <v>84</v>
      </c>
      <c r="H15" s="30">
        <f>'11C (SS)Sem 1'!G7</f>
        <v>75</v>
      </c>
      <c r="I15" s="30">
        <f>'11C (SS)Sem 1'!H7</f>
        <v>94</v>
      </c>
      <c r="J15" s="30">
        <f>'11C (SS)Sem 1'!I7</f>
        <v>85</v>
      </c>
      <c r="K15" s="30">
        <f>'11C (SS)Sem 1'!J7</f>
        <v>82</v>
      </c>
      <c r="L15" s="30">
        <f>'11C (SS)Sem 1'!K7</f>
        <v>99</v>
      </c>
      <c r="M15" s="30">
        <f>'11C (SS)Sem 1'!L7</f>
        <v>99</v>
      </c>
      <c r="N15" s="30">
        <f>'11C (SS)Sem 1'!M7</f>
        <v>85</v>
      </c>
      <c r="O15" s="30">
        <f>'11C (SS)Sem 1'!N7</f>
        <v>91</v>
      </c>
      <c r="P15" s="30">
        <f>'11C (SS)Sem 1'!O7</f>
        <v>875</v>
      </c>
      <c r="Q15" s="198">
        <f>'11C (SS)Sem 1'!P7</f>
        <v>87.5</v>
      </c>
      <c r="R15" s="105">
        <f>'11C (SS)Sem 1'!Q7</f>
        <v>5</v>
      </c>
      <c r="S15" s="105">
        <f>'11C (SS)Sem 1'!R7</f>
        <v>0</v>
      </c>
      <c r="T15" s="105">
        <f>'11C (SS)Sem 1'!S7</f>
        <v>0</v>
      </c>
    </row>
    <row r="16" spans="1:23" ht="20.100000000000001" customHeight="1" thickBot="1" x14ac:dyDescent="0.3">
      <c r="A16" s="252"/>
      <c r="B16" s="352"/>
      <c r="C16" s="252">
        <v>14</v>
      </c>
      <c r="D16" s="353" t="s">
        <v>20</v>
      </c>
      <c r="E16" s="29" t="s">
        <v>22</v>
      </c>
      <c r="F16" s="30">
        <f>'11C (SS)Sem 2'!E7</f>
        <v>87</v>
      </c>
      <c r="G16" s="30">
        <f>'11C (SS)Sem 2'!F7</f>
        <v>84</v>
      </c>
      <c r="H16" s="30">
        <f>'11C (SS)Sem 2'!G7</f>
        <v>89</v>
      </c>
      <c r="I16" s="30">
        <f>'11C (SS)Sem 2'!H7</f>
        <v>93</v>
      </c>
      <c r="J16" s="30">
        <f>'11C (SS)Sem 2'!I7</f>
        <v>89</v>
      </c>
      <c r="K16" s="30">
        <f>'11C (SS)Sem 2'!J7</f>
        <v>99</v>
      </c>
      <c r="L16" s="30">
        <f>'11C (SS)Sem 2'!K7</f>
        <v>92</v>
      </c>
      <c r="M16" s="30">
        <f>'11C (SS)Sem 2'!L7</f>
        <v>99</v>
      </c>
      <c r="N16" s="30">
        <f>'11C (SS)Sem 2'!M7</f>
        <v>88</v>
      </c>
      <c r="O16" s="30">
        <f>'11C (SS)Sem 2'!N7</f>
        <v>84</v>
      </c>
      <c r="P16" s="30">
        <f>'11C (SS)Sem 2'!O7</f>
        <v>904</v>
      </c>
      <c r="Q16" s="198">
        <f>'11C (SS)Sem 2'!P7</f>
        <v>90.4</v>
      </c>
      <c r="R16" s="105">
        <f>'11C (SS)Sem 2'!Q7</f>
        <v>5</v>
      </c>
      <c r="S16" s="105">
        <f>'11C (SS)Sem 2'!R7</f>
        <v>0</v>
      </c>
      <c r="T16" s="105">
        <f>'11C (SS)Sem 2'!S7</f>
        <v>0</v>
      </c>
    </row>
    <row r="17" spans="1:20" ht="20.100000000000001" customHeight="1" thickBot="1" x14ac:dyDescent="0.3">
      <c r="A17" s="252"/>
      <c r="B17" s="352"/>
      <c r="C17" s="252">
        <v>14</v>
      </c>
      <c r="D17" s="353" t="s">
        <v>20</v>
      </c>
      <c r="E17" s="29" t="s">
        <v>16</v>
      </c>
      <c r="F17" s="30">
        <f>AVERAGE(F15:F16)</f>
        <v>84</v>
      </c>
      <c r="G17" s="30">
        <f t="shared" ref="G17:Q17" si="3">AVERAGE(G15:G16)</f>
        <v>84</v>
      </c>
      <c r="H17" s="30">
        <f t="shared" si="3"/>
        <v>82</v>
      </c>
      <c r="I17" s="30">
        <f t="shared" si="3"/>
        <v>93.5</v>
      </c>
      <c r="J17" s="30">
        <f t="shared" si="3"/>
        <v>87</v>
      </c>
      <c r="K17" s="30">
        <f t="shared" si="3"/>
        <v>90.5</v>
      </c>
      <c r="L17" s="30">
        <f t="shared" si="3"/>
        <v>95.5</v>
      </c>
      <c r="M17" s="30">
        <f t="shared" si="3"/>
        <v>99</v>
      </c>
      <c r="N17" s="30">
        <f t="shared" si="3"/>
        <v>86.5</v>
      </c>
      <c r="O17" s="30">
        <f t="shared" si="3"/>
        <v>87.5</v>
      </c>
      <c r="P17" s="30">
        <f t="shared" si="3"/>
        <v>889.5</v>
      </c>
      <c r="Q17" s="198">
        <f t="shared" si="3"/>
        <v>88.95</v>
      </c>
      <c r="R17" s="30">
        <f>'11C Sem avr (SS)'!$H$7</f>
        <v>5</v>
      </c>
      <c r="S17" s="30">
        <f>AVERAGE(S15:S16)</f>
        <v>0</v>
      </c>
      <c r="T17" s="30">
        <f>AVERAGE(T15:T16)</f>
        <v>0</v>
      </c>
    </row>
    <row r="18" spans="1:20" ht="20.100000000000001" customHeight="1" thickBot="1" x14ac:dyDescent="0.3">
      <c r="A18" s="252">
        <v>5</v>
      </c>
      <c r="B18" s="247"/>
      <c r="C18" s="247">
        <v>17</v>
      </c>
      <c r="D18" s="248" t="s">
        <v>23</v>
      </c>
      <c r="E18" s="29" t="s">
        <v>21</v>
      </c>
      <c r="F18" s="30">
        <f>'11C (SS)Sem 1'!E8</f>
        <v>70</v>
      </c>
      <c r="G18" s="30">
        <f>'11C (SS)Sem 1'!F8</f>
        <v>60</v>
      </c>
      <c r="H18" s="30">
        <f>'11C (SS)Sem 1'!G8</f>
        <v>44</v>
      </c>
      <c r="I18" s="30">
        <f>'11C (SS)Sem 1'!H8</f>
        <v>52</v>
      </c>
      <c r="J18" s="30">
        <f>'11C (SS)Sem 1'!I8</f>
        <v>54</v>
      </c>
      <c r="K18" s="30">
        <f>'11C (SS)Sem 1'!J8</f>
        <v>50</v>
      </c>
      <c r="L18" s="30">
        <f>'11C (SS)Sem 1'!K8</f>
        <v>74</v>
      </c>
      <c r="M18" s="30">
        <f>'11C (SS)Sem 1'!L8</f>
        <v>76</v>
      </c>
      <c r="N18" s="30">
        <f>'11C (SS)Sem 1'!M8</f>
        <v>46</v>
      </c>
      <c r="O18" s="30">
        <f>'11C (SS)Sem 1'!N8</f>
        <v>46</v>
      </c>
      <c r="P18" s="30">
        <f>'11C (SS)Sem 1'!O8</f>
        <v>572</v>
      </c>
      <c r="Q18" s="198">
        <f>'11C (SS)Sem 1'!P8</f>
        <v>57.2</v>
      </c>
      <c r="R18" s="105">
        <f>'11C (SS)Sem 1'!Q8</f>
        <v>30</v>
      </c>
      <c r="S18" s="105">
        <f>'11C (SS)Sem 1'!R8</f>
        <v>0</v>
      </c>
      <c r="T18" s="105">
        <f>'11C (SS)Sem 1'!S8</f>
        <v>0</v>
      </c>
    </row>
    <row r="19" spans="1:20" ht="20.100000000000001" customHeight="1" thickBot="1" x14ac:dyDescent="0.3">
      <c r="A19" s="252"/>
      <c r="B19" s="247"/>
      <c r="C19" s="247">
        <v>17</v>
      </c>
      <c r="D19" s="248" t="s">
        <v>23</v>
      </c>
      <c r="E19" s="29" t="s">
        <v>22</v>
      </c>
      <c r="F19" s="30">
        <f>'11C (SS)Sem 2'!E8</f>
        <v>80</v>
      </c>
      <c r="G19" s="30">
        <f>'11C (SS)Sem 2'!F8</f>
        <v>60</v>
      </c>
      <c r="H19" s="30">
        <f>'11C (SS)Sem 2'!G8</f>
        <v>41</v>
      </c>
      <c r="I19" s="30">
        <f>'11C (SS)Sem 2'!H8</f>
        <v>49</v>
      </c>
      <c r="J19" s="30">
        <f>'11C (SS)Sem 2'!I8</f>
        <v>51</v>
      </c>
      <c r="K19" s="30">
        <f>'11C (SS)Sem 2'!J8</f>
        <v>62</v>
      </c>
      <c r="L19" s="30">
        <f>'11C (SS)Sem 2'!K8</f>
        <v>83</v>
      </c>
      <c r="M19" s="30">
        <f>'11C (SS)Sem 2'!L8</f>
        <v>83</v>
      </c>
      <c r="N19" s="30">
        <f>'11C (SS)Sem 2'!M8</f>
        <v>49</v>
      </c>
      <c r="O19" s="30">
        <f>'11C (SS)Sem 2'!N8</f>
        <v>48</v>
      </c>
      <c r="P19" s="30">
        <f>'11C (SS)Sem 2'!O8</f>
        <v>606</v>
      </c>
      <c r="Q19" s="198">
        <f>'11C (SS)Sem 2'!P8</f>
        <v>60.6</v>
      </c>
      <c r="R19" s="105">
        <f>'11C (SS)Sem 2'!Q8</f>
        <v>30</v>
      </c>
      <c r="S19" s="105">
        <f>'11C (SS)Sem 2'!R8</f>
        <v>0</v>
      </c>
      <c r="T19" s="105">
        <f>'11C (SS)Sem 2'!S8</f>
        <v>0</v>
      </c>
    </row>
    <row r="20" spans="1:20" ht="20.100000000000001" customHeight="1" thickBot="1" x14ac:dyDescent="0.3">
      <c r="A20" s="252"/>
      <c r="B20" s="247"/>
      <c r="C20" s="247">
        <v>17</v>
      </c>
      <c r="D20" s="248" t="s">
        <v>23</v>
      </c>
      <c r="E20" s="29" t="s">
        <v>16</v>
      </c>
      <c r="F20" s="30">
        <f>AVERAGE(F18:F19)</f>
        <v>75</v>
      </c>
      <c r="G20" s="30">
        <f t="shared" ref="G20:Q20" si="4">AVERAGE(G18:G19)</f>
        <v>60</v>
      </c>
      <c r="H20" s="30">
        <f t="shared" si="4"/>
        <v>42.5</v>
      </c>
      <c r="I20" s="30">
        <f t="shared" si="4"/>
        <v>50.5</v>
      </c>
      <c r="J20" s="30">
        <f t="shared" si="4"/>
        <v>52.5</v>
      </c>
      <c r="K20" s="30">
        <f t="shared" si="4"/>
        <v>56</v>
      </c>
      <c r="L20" s="30">
        <f t="shared" si="4"/>
        <v>78.5</v>
      </c>
      <c r="M20" s="30">
        <f t="shared" si="4"/>
        <v>79.5</v>
      </c>
      <c r="N20" s="30">
        <f t="shared" si="4"/>
        <v>47.5</v>
      </c>
      <c r="O20" s="30">
        <f t="shared" si="4"/>
        <v>47</v>
      </c>
      <c r="P20" s="30">
        <f t="shared" si="4"/>
        <v>589</v>
      </c>
      <c r="Q20" s="198">
        <f t="shared" si="4"/>
        <v>58.900000000000006</v>
      </c>
      <c r="R20" s="30">
        <f>'11C Sem avr (SS)'!$H$8</f>
        <v>30</v>
      </c>
      <c r="S20" s="30">
        <f>AVERAGE(S18:S19)</f>
        <v>0</v>
      </c>
      <c r="T20" s="30">
        <f>AVERAGE(T18:T19)</f>
        <v>0</v>
      </c>
    </row>
    <row r="21" spans="1:20" ht="20.100000000000001" customHeight="1" thickBot="1" x14ac:dyDescent="0.3">
      <c r="A21" s="246">
        <v>6</v>
      </c>
      <c r="B21" s="247"/>
      <c r="C21" s="247">
        <v>16</v>
      </c>
      <c r="D21" s="248" t="s">
        <v>23</v>
      </c>
      <c r="E21" s="29" t="s">
        <v>21</v>
      </c>
      <c r="F21" s="30">
        <f>'11C (SS)Sem 1'!E9</f>
        <v>82</v>
      </c>
      <c r="G21" s="30">
        <f>'11C (SS)Sem 1'!F9</f>
        <v>73</v>
      </c>
      <c r="H21" s="30">
        <f>'11C (SS)Sem 1'!G9</f>
        <v>77</v>
      </c>
      <c r="I21" s="30">
        <f>'11C (SS)Sem 1'!H9</f>
        <v>68</v>
      </c>
      <c r="J21" s="30">
        <f>'11C (SS)Sem 1'!I9</f>
        <v>75</v>
      </c>
      <c r="K21" s="30">
        <f>'11C (SS)Sem 1'!J9</f>
        <v>63</v>
      </c>
      <c r="L21" s="30">
        <f>'11C (SS)Sem 1'!K9</f>
        <v>86</v>
      </c>
      <c r="M21" s="30">
        <f>'11C (SS)Sem 1'!L9</f>
        <v>90</v>
      </c>
      <c r="N21" s="30">
        <f>'11C (SS)Sem 1'!M9</f>
        <v>69</v>
      </c>
      <c r="O21" s="30">
        <f>'11C (SS)Sem 1'!N9</f>
        <v>64</v>
      </c>
      <c r="P21" s="30">
        <f>'11C (SS)Sem 1'!O9</f>
        <v>747</v>
      </c>
      <c r="Q21" s="198">
        <f>'11C (SS)Sem 1'!P9</f>
        <v>74.7</v>
      </c>
      <c r="R21" s="105">
        <f>'11C (SS)Sem 1'!Q9</f>
        <v>13</v>
      </c>
      <c r="S21" s="105">
        <f>'11C (SS)Sem 1'!R9</f>
        <v>0</v>
      </c>
      <c r="T21" s="105">
        <f>'11C (SS)Sem 1'!S9</f>
        <v>0</v>
      </c>
    </row>
    <row r="22" spans="1:20" ht="20.100000000000001" customHeight="1" thickBot="1" x14ac:dyDescent="0.3">
      <c r="A22" s="246"/>
      <c r="B22" s="247"/>
      <c r="C22" s="247">
        <v>16</v>
      </c>
      <c r="D22" s="248" t="s">
        <v>23</v>
      </c>
      <c r="E22" s="29" t="s">
        <v>22</v>
      </c>
      <c r="F22" s="30">
        <f>'11C (SS)Sem 2'!E9</f>
        <v>85</v>
      </c>
      <c r="G22" s="30">
        <f>'11C (SS)Sem 2'!F9</f>
        <v>66</v>
      </c>
      <c r="H22" s="30">
        <f>'11C (SS)Sem 2'!G9</f>
        <v>73</v>
      </c>
      <c r="I22" s="30">
        <f>'11C (SS)Sem 2'!H9</f>
        <v>75</v>
      </c>
      <c r="J22" s="30">
        <f>'11C (SS)Sem 2'!I9</f>
        <v>79</v>
      </c>
      <c r="K22" s="30">
        <f>'11C (SS)Sem 2'!J9</f>
        <v>71</v>
      </c>
      <c r="L22" s="30">
        <f>'11C (SS)Sem 2'!K9</f>
        <v>98</v>
      </c>
      <c r="M22" s="30">
        <f>'11C (SS)Sem 2'!L9</f>
        <v>84</v>
      </c>
      <c r="N22" s="30">
        <f>'11C (SS)Sem 2'!M9</f>
        <v>69</v>
      </c>
      <c r="O22" s="30">
        <f>'11C (SS)Sem 2'!N9</f>
        <v>65</v>
      </c>
      <c r="P22" s="30">
        <f>'11C (SS)Sem 2'!O9</f>
        <v>765</v>
      </c>
      <c r="Q22" s="198">
        <f>'11C (SS)Sem 2'!P9</f>
        <v>76.5</v>
      </c>
      <c r="R22" s="105">
        <f>'11C (SS)Sem 2'!Q9</f>
        <v>18</v>
      </c>
      <c r="S22" s="105">
        <f>'11C (SS)Sem 2'!R9</f>
        <v>0</v>
      </c>
      <c r="T22" s="105">
        <f>'11C (SS)Sem 2'!S9</f>
        <v>0</v>
      </c>
    </row>
    <row r="23" spans="1:20" ht="20.100000000000001" customHeight="1" thickBot="1" x14ac:dyDescent="0.3">
      <c r="A23" s="246"/>
      <c r="B23" s="247"/>
      <c r="C23" s="247">
        <v>16</v>
      </c>
      <c r="D23" s="248" t="s">
        <v>23</v>
      </c>
      <c r="E23" s="29" t="s">
        <v>16</v>
      </c>
      <c r="F23" s="30">
        <f>AVERAGE(F21:F22)</f>
        <v>83.5</v>
      </c>
      <c r="G23" s="30">
        <f t="shared" ref="G23:Q23" si="5">AVERAGE(G21:G22)</f>
        <v>69.5</v>
      </c>
      <c r="H23" s="30">
        <f t="shared" si="5"/>
        <v>75</v>
      </c>
      <c r="I23" s="30">
        <f t="shared" si="5"/>
        <v>71.5</v>
      </c>
      <c r="J23" s="30">
        <f t="shared" si="5"/>
        <v>77</v>
      </c>
      <c r="K23" s="30">
        <f t="shared" si="5"/>
        <v>67</v>
      </c>
      <c r="L23" s="30">
        <f t="shared" si="5"/>
        <v>92</v>
      </c>
      <c r="M23" s="30">
        <f t="shared" si="5"/>
        <v>87</v>
      </c>
      <c r="N23" s="30">
        <f t="shared" si="5"/>
        <v>69</v>
      </c>
      <c r="O23" s="30">
        <f t="shared" si="5"/>
        <v>64.5</v>
      </c>
      <c r="P23" s="30">
        <f t="shared" si="5"/>
        <v>756</v>
      </c>
      <c r="Q23" s="198">
        <f t="shared" si="5"/>
        <v>75.599999999999994</v>
      </c>
      <c r="R23" s="30">
        <f>'11C Sem avr (SS)'!$H$9</f>
        <v>14</v>
      </c>
      <c r="S23" s="30">
        <f>AVERAGE(S21:S22)</f>
        <v>0</v>
      </c>
      <c r="T23" s="30">
        <f>AVERAGE(T21:T22)</f>
        <v>0</v>
      </c>
    </row>
    <row r="24" spans="1:20" ht="20.100000000000001" customHeight="1" thickBot="1" x14ac:dyDescent="0.3">
      <c r="A24" s="252">
        <v>7</v>
      </c>
      <c r="B24" s="247"/>
      <c r="C24" s="253">
        <v>16</v>
      </c>
      <c r="D24" s="254" t="s">
        <v>20</v>
      </c>
      <c r="E24" s="29" t="s">
        <v>21</v>
      </c>
      <c r="F24" s="30">
        <f>'11C (SS)Sem 1'!E10</f>
        <v>77</v>
      </c>
      <c r="G24" s="30">
        <f>'11C (SS)Sem 1'!F10</f>
        <v>76</v>
      </c>
      <c r="H24" s="30">
        <f>'11C (SS)Sem 1'!G10</f>
        <v>53</v>
      </c>
      <c r="I24" s="30">
        <f>'11C (SS)Sem 1'!H10</f>
        <v>65</v>
      </c>
      <c r="J24" s="30">
        <f>'11C (SS)Sem 1'!I10</f>
        <v>68</v>
      </c>
      <c r="K24" s="30">
        <f>'11C (SS)Sem 1'!J10</f>
        <v>67</v>
      </c>
      <c r="L24" s="30">
        <f>'11C (SS)Sem 1'!K10</f>
        <v>97</v>
      </c>
      <c r="M24" s="30">
        <f>'11C (SS)Sem 1'!L10</f>
        <v>92</v>
      </c>
      <c r="N24" s="30">
        <f>'11C (SS)Sem 1'!M10</f>
        <v>73</v>
      </c>
      <c r="O24" s="30">
        <f>'11C (SS)Sem 1'!N10</f>
        <v>70</v>
      </c>
      <c r="P24" s="30">
        <f>'11C (SS)Sem 1'!O10</f>
        <v>738</v>
      </c>
      <c r="Q24" s="198">
        <f>'11C (SS)Sem 1'!P10</f>
        <v>73.8</v>
      </c>
      <c r="R24" s="105">
        <f>'11C (SS)Sem 1'!Q10</f>
        <v>15</v>
      </c>
      <c r="S24" s="105">
        <f>'11C (SS)Sem 1'!R10</f>
        <v>0</v>
      </c>
      <c r="T24" s="105">
        <f>'11C (SS)Sem 1'!S10</f>
        <v>0</v>
      </c>
    </row>
    <row r="25" spans="1:20" ht="20.100000000000001" customHeight="1" thickBot="1" x14ac:dyDescent="0.3">
      <c r="A25" s="252"/>
      <c r="B25" s="247"/>
      <c r="C25" s="253">
        <v>16</v>
      </c>
      <c r="D25" s="254" t="s">
        <v>20</v>
      </c>
      <c r="E25" s="29" t="s">
        <v>22</v>
      </c>
      <c r="F25" s="30">
        <f>'11C (SS)Sem 2'!E10</f>
        <v>80</v>
      </c>
      <c r="G25" s="30">
        <f>'11C (SS)Sem 2'!F10</f>
        <v>77</v>
      </c>
      <c r="H25" s="30">
        <f>'11C (SS)Sem 2'!G10</f>
        <v>62</v>
      </c>
      <c r="I25" s="30">
        <f>'11C (SS)Sem 2'!H10</f>
        <v>68</v>
      </c>
      <c r="J25" s="30">
        <f>'11C (SS)Sem 2'!I10</f>
        <v>73</v>
      </c>
      <c r="K25" s="30">
        <f>'11C (SS)Sem 2'!J10</f>
        <v>85</v>
      </c>
      <c r="L25" s="30">
        <f>'11C (SS)Sem 2'!K10</f>
        <v>95</v>
      </c>
      <c r="M25" s="30">
        <f>'11C (SS)Sem 2'!L10</f>
        <v>99</v>
      </c>
      <c r="N25" s="30">
        <f>'11C (SS)Sem 2'!M10</f>
        <v>62</v>
      </c>
      <c r="O25" s="30">
        <f>'11C (SS)Sem 2'!N10</f>
        <v>64</v>
      </c>
      <c r="P25" s="30">
        <f>'11C (SS)Sem 2'!O10</f>
        <v>765</v>
      </c>
      <c r="Q25" s="198">
        <f>'11C (SS)Sem 2'!P10</f>
        <v>76.5</v>
      </c>
      <c r="R25" s="105">
        <f>'11C (SS)Sem 2'!Q10</f>
        <v>18</v>
      </c>
      <c r="S25" s="105">
        <f>'11C (SS)Sem 2'!R10</f>
        <v>0</v>
      </c>
      <c r="T25" s="105">
        <f>'11C (SS)Sem 2'!S10</f>
        <v>0</v>
      </c>
    </row>
    <row r="26" spans="1:20" ht="20.100000000000001" customHeight="1" thickBot="1" x14ac:dyDescent="0.3">
      <c r="A26" s="252"/>
      <c r="B26" s="247"/>
      <c r="C26" s="253">
        <v>16</v>
      </c>
      <c r="D26" s="254" t="s">
        <v>20</v>
      </c>
      <c r="E26" s="29" t="s">
        <v>16</v>
      </c>
      <c r="F26" s="30">
        <f>AVERAGE(F24:F25)</f>
        <v>78.5</v>
      </c>
      <c r="G26" s="30">
        <f t="shared" ref="G26:Q26" si="6">AVERAGE(G24:G25)</f>
        <v>76.5</v>
      </c>
      <c r="H26" s="30">
        <f t="shared" si="6"/>
        <v>57.5</v>
      </c>
      <c r="I26" s="30">
        <f t="shared" si="6"/>
        <v>66.5</v>
      </c>
      <c r="J26" s="30">
        <f t="shared" si="6"/>
        <v>70.5</v>
      </c>
      <c r="K26" s="30">
        <f t="shared" si="6"/>
        <v>76</v>
      </c>
      <c r="L26" s="30">
        <f t="shared" si="6"/>
        <v>96</v>
      </c>
      <c r="M26" s="30">
        <f t="shared" si="6"/>
        <v>95.5</v>
      </c>
      <c r="N26" s="30">
        <f t="shared" si="6"/>
        <v>67.5</v>
      </c>
      <c r="O26" s="30">
        <f t="shared" si="6"/>
        <v>67</v>
      </c>
      <c r="P26" s="30">
        <f t="shared" si="6"/>
        <v>751.5</v>
      </c>
      <c r="Q26" s="198">
        <f t="shared" si="6"/>
        <v>75.150000000000006</v>
      </c>
      <c r="R26" s="30">
        <f>'11C Sem avr (SS)'!$H$10</f>
        <v>15</v>
      </c>
      <c r="S26" s="30">
        <f>AVERAGE(S24:S25)</f>
        <v>0</v>
      </c>
      <c r="T26" s="30">
        <f>AVERAGE(T24:T25)</f>
        <v>0</v>
      </c>
    </row>
    <row r="27" spans="1:20" ht="20.100000000000001" customHeight="1" thickBot="1" x14ac:dyDescent="0.3">
      <c r="A27" s="252">
        <v>8</v>
      </c>
      <c r="B27" s="247"/>
      <c r="C27" s="253">
        <v>16</v>
      </c>
      <c r="D27" s="254" t="s">
        <v>23</v>
      </c>
      <c r="E27" s="29" t="s">
        <v>21</v>
      </c>
      <c r="F27" s="30">
        <f>'11C (SS)Sem 1'!E11</f>
        <v>85</v>
      </c>
      <c r="G27" s="30">
        <f>'11C (SS)Sem 1'!F11</f>
        <v>93</v>
      </c>
      <c r="H27" s="30">
        <f>'11C (SS)Sem 1'!G11</f>
        <v>64</v>
      </c>
      <c r="I27" s="30">
        <f>'11C (SS)Sem 1'!H11</f>
        <v>97</v>
      </c>
      <c r="J27" s="30">
        <f>'11C (SS)Sem 1'!I11</f>
        <v>94</v>
      </c>
      <c r="K27" s="30">
        <f>'11C (SS)Sem 1'!J11</f>
        <v>82</v>
      </c>
      <c r="L27" s="30">
        <f>'11C (SS)Sem 1'!K11</f>
        <v>98</v>
      </c>
      <c r="M27" s="30">
        <f>'11C (SS)Sem 1'!L11</f>
        <v>100</v>
      </c>
      <c r="N27" s="30">
        <f>'11C (SS)Sem 1'!M11</f>
        <v>95</v>
      </c>
      <c r="O27" s="30">
        <f>'11C (SS)Sem 1'!N11</f>
        <v>100</v>
      </c>
      <c r="P27" s="30">
        <f>'11C (SS)Sem 1'!O11</f>
        <v>908</v>
      </c>
      <c r="Q27" s="198">
        <f>'11C (SS)Sem 1'!P11</f>
        <v>90.8</v>
      </c>
      <c r="R27" s="105">
        <f>'11C (SS)Sem 1'!Q11</f>
        <v>4</v>
      </c>
      <c r="S27" s="105">
        <f>'11C (SS)Sem 1'!R11</f>
        <v>0</v>
      </c>
      <c r="T27" s="105">
        <f>'11C (SS)Sem 1'!S11</f>
        <v>0</v>
      </c>
    </row>
    <row r="28" spans="1:20" ht="20.100000000000001" customHeight="1" thickBot="1" x14ac:dyDescent="0.3">
      <c r="A28" s="252"/>
      <c r="B28" s="247"/>
      <c r="C28" s="253">
        <v>16</v>
      </c>
      <c r="D28" s="254" t="s">
        <v>23</v>
      </c>
      <c r="E28" s="29" t="s">
        <v>22</v>
      </c>
      <c r="F28" s="30">
        <f>'11C (SS)Sem 2'!E11</f>
        <v>95</v>
      </c>
      <c r="G28" s="30">
        <f>'11C (SS)Sem 2'!F11</f>
        <v>92</v>
      </c>
      <c r="H28" s="30">
        <f>'11C (SS)Sem 2'!G11</f>
        <v>63</v>
      </c>
      <c r="I28" s="30">
        <f>'11C (SS)Sem 2'!H11</f>
        <v>99</v>
      </c>
      <c r="J28" s="30">
        <f>'11C (SS)Sem 2'!I11</f>
        <v>97</v>
      </c>
      <c r="K28" s="30">
        <f>'11C (SS)Sem 2'!J11</f>
        <v>96</v>
      </c>
      <c r="L28" s="30">
        <f>'11C (SS)Sem 2'!K11</f>
        <v>88</v>
      </c>
      <c r="M28" s="30">
        <f>'11C (SS)Sem 2'!L11</f>
        <v>98</v>
      </c>
      <c r="N28" s="30">
        <f>'11C (SS)Sem 2'!M11</f>
        <v>89</v>
      </c>
      <c r="O28" s="30">
        <f>'11C (SS)Sem 2'!N11</f>
        <v>92</v>
      </c>
      <c r="P28" s="30">
        <f>'11C (SS)Sem 2'!O11</f>
        <v>909</v>
      </c>
      <c r="Q28" s="198">
        <f>'11C (SS)Sem 2'!P11</f>
        <v>90.9</v>
      </c>
      <c r="R28" s="105">
        <f>'11C (SS)Sem 2'!Q11</f>
        <v>4</v>
      </c>
      <c r="S28" s="105">
        <f>'11C (SS)Sem 2'!R11</f>
        <v>0</v>
      </c>
      <c r="T28" s="105">
        <f>'11C (SS)Sem 2'!S11</f>
        <v>0</v>
      </c>
    </row>
    <row r="29" spans="1:20" ht="20.100000000000001" customHeight="1" thickBot="1" x14ac:dyDescent="0.3">
      <c r="A29" s="252"/>
      <c r="B29" s="247"/>
      <c r="C29" s="253">
        <v>16</v>
      </c>
      <c r="D29" s="254" t="s">
        <v>23</v>
      </c>
      <c r="E29" s="29" t="s">
        <v>16</v>
      </c>
      <c r="F29" s="30">
        <f>AVERAGE(F27:F28)</f>
        <v>90</v>
      </c>
      <c r="G29" s="30">
        <f t="shared" ref="G29:Q29" si="7">AVERAGE(G27:G28)</f>
        <v>92.5</v>
      </c>
      <c r="H29" s="30">
        <f t="shared" si="7"/>
        <v>63.5</v>
      </c>
      <c r="I29" s="30">
        <f t="shared" si="7"/>
        <v>98</v>
      </c>
      <c r="J29" s="30">
        <f t="shared" si="7"/>
        <v>95.5</v>
      </c>
      <c r="K29" s="30">
        <f t="shared" si="7"/>
        <v>89</v>
      </c>
      <c r="L29" s="30">
        <f t="shared" si="7"/>
        <v>93</v>
      </c>
      <c r="M29" s="30">
        <f t="shared" si="7"/>
        <v>99</v>
      </c>
      <c r="N29" s="30">
        <f t="shared" si="7"/>
        <v>92</v>
      </c>
      <c r="O29" s="30">
        <f t="shared" si="7"/>
        <v>96</v>
      </c>
      <c r="P29" s="30">
        <f t="shared" si="7"/>
        <v>908.5</v>
      </c>
      <c r="Q29" s="198">
        <f t="shared" si="7"/>
        <v>90.85</v>
      </c>
      <c r="R29" s="30">
        <f>'11C Sem avr (SS)'!$H$11</f>
        <v>4</v>
      </c>
      <c r="S29" s="30">
        <f>AVERAGE(S27:S28)</f>
        <v>0</v>
      </c>
      <c r="T29" s="30">
        <f>AVERAGE(T27:T28)</f>
        <v>0</v>
      </c>
    </row>
    <row r="30" spans="1:20" ht="20.100000000000001" customHeight="1" thickBot="1" x14ac:dyDescent="0.3">
      <c r="A30" s="246">
        <v>9</v>
      </c>
      <c r="B30" s="247"/>
      <c r="C30" s="253">
        <v>16</v>
      </c>
      <c r="D30" s="254" t="s">
        <v>20</v>
      </c>
      <c r="E30" s="29" t="s">
        <v>21</v>
      </c>
      <c r="F30" s="30">
        <f>'11C (SS)Sem 1'!E12</f>
        <v>75</v>
      </c>
      <c r="G30" s="30">
        <f>'11C (SS)Sem 1'!F12</f>
        <v>71</v>
      </c>
      <c r="H30" s="30">
        <f>'11C (SS)Sem 1'!G12</f>
        <v>46</v>
      </c>
      <c r="I30" s="30">
        <f>'11C (SS)Sem 1'!H12</f>
        <v>59</v>
      </c>
      <c r="J30" s="30">
        <f>'11C (SS)Sem 1'!I12</f>
        <v>61</v>
      </c>
      <c r="K30" s="30">
        <f>'11C (SS)Sem 1'!J12</f>
        <v>57</v>
      </c>
      <c r="L30" s="30">
        <f>'11C (SS)Sem 1'!K12</f>
        <v>82</v>
      </c>
      <c r="M30" s="30">
        <f>'11C (SS)Sem 1'!L12</f>
        <v>91</v>
      </c>
      <c r="N30" s="30">
        <f>'11C (SS)Sem 1'!M12</f>
        <v>60</v>
      </c>
      <c r="O30" s="30">
        <f>'11C (SS)Sem 1'!N12</f>
        <v>64</v>
      </c>
      <c r="P30" s="30">
        <f>'11C (SS)Sem 1'!O12</f>
        <v>666</v>
      </c>
      <c r="Q30" s="198">
        <f>'11C (SS)Sem 1'!P12</f>
        <v>66.599999999999994</v>
      </c>
      <c r="R30" s="105">
        <f>'11C (SS)Sem 1'!Q12</f>
        <v>23</v>
      </c>
      <c r="S30" s="105">
        <f>'11C (SS)Sem 1'!R12</f>
        <v>0</v>
      </c>
      <c r="T30" s="105">
        <f>'11C (SS)Sem 1'!S12</f>
        <v>0</v>
      </c>
    </row>
    <row r="31" spans="1:20" ht="20.100000000000001" customHeight="1" thickBot="1" x14ac:dyDescent="0.3">
      <c r="A31" s="246"/>
      <c r="B31" s="247"/>
      <c r="C31" s="253">
        <v>16</v>
      </c>
      <c r="D31" s="254" t="s">
        <v>20</v>
      </c>
      <c r="E31" s="29" t="s">
        <v>22</v>
      </c>
      <c r="F31" s="30">
        <f>'11C (SS)Sem 2'!E12</f>
        <v>88</v>
      </c>
      <c r="G31" s="30">
        <f>'11C (SS)Sem 2'!F12</f>
        <v>79</v>
      </c>
      <c r="H31" s="30">
        <f>'11C (SS)Sem 2'!G12</f>
        <v>49</v>
      </c>
      <c r="I31" s="30">
        <f>'11C (SS)Sem 2'!H12</f>
        <v>68</v>
      </c>
      <c r="J31" s="30">
        <f>'11C (SS)Sem 2'!I12</f>
        <v>66</v>
      </c>
      <c r="K31" s="30">
        <f>'11C (SS)Sem 2'!J12</f>
        <v>74</v>
      </c>
      <c r="L31" s="30">
        <f>'11C (SS)Sem 2'!K12</f>
        <v>82</v>
      </c>
      <c r="M31" s="30">
        <f>'11C (SS)Sem 2'!L12</f>
        <v>96</v>
      </c>
      <c r="N31" s="30">
        <f>'11C (SS)Sem 2'!M12</f>
        <v>51</v>
      </c>
      <c r="O31" s="30">
        <f>'11C (SS)Sem 2'!N12</f>
        <v>63</v>
      </c>
      <c r="P31" s="30">
        <f>'11C (SS)Sem 2'!O12</f>
        <v>716</v>
      </c>
      <c r="Q31" s="198">
        <f>'11C (SS)Sem 2'!P12</f>
        <v>71.599999999999994</v>
      </c>
      <c r="R31" s="105">
        <f>'11C (SS)Sem 2'!Q12</f>
        <v>26</v>
      </c>
      <c r="S31" s="105">
        <f>'11C (SS)Sem 2'!R12</f>
        <v>0</v>
      </c>
      <c r="T31" s="105">
        <f>'11C (SS)Sem 2'!S12</f>
        <v>0</v>
      </c>
    </row>
    <row r="32" spans="1:20" ht="20.100000000000001" customHeight="1" thickBot="1" x14ac:dyDescent="0.3">
      <c r="A32" s="246"/>
      <c r="B32" s="247"/>
      <c r="C32" s="253">
        <v>16</v>
      </c>
      <c r="D32" s="254" t="s">
        <v>20</v>
      </c>
      <c r="E32" s="29" t="s">
        <v>16</v>
      </c>
      <c r="F32" s="30">
        <f>AVERAGE(F30:F31)</f>
        <v>81.5</v>
      </c>
      <c r="G32" s="30">
        <f t="shared" ref="G32:Q32" si="8">AVERAGE(G30:G31)</f>
        <v>75</v>
      </c>
      <c r="H32" s="30">
        <f t="shared" si="8"/>
        <v>47.5</v>
      </c>
      <c r="I32" s="30">
        <f t="shared" si="8"/>
        <v>63.5</v>
      </c>
      <c r="J32" s="30">
        <f t="shared" si="8"/>
        <v>63.5</v>
      </c>
      <c r="K32" s="30">
        <f t="shared" si="8"/>
        <v>65.5</v>
      </c>
      <c r="L32" s="30">
        <f t="shared" si="8"/>
        <v>82</v>
      </c>
      <c r="M32" s="30">
        <f t="shared" si="8"/>
        <v>93.5</v>
      </c>
      <c r="N32" s="30">
        <f t="shared" si="8"/>
        <v>55.5</v>
      </c>
      <c r="O32" s="30">
        <f t="shared" si="8"/>
        <v>63.5</v>
      </c>
      <c r="P32" s="30">
        <f t="shared" si="8"/>
        <v>691</v>
      </c>
      <c r="Q32" s="198">
        <f t="shared" si="8"/>
        <v>69.099999999999994</v>
      </c>
      <c r="R32" s="30">
        <f>'11C Sem avr (SS)'!$H$12</f>
        <v>24</v>
      </c>
      <c r="S32" s="30">
        <f>AVERAGE(S30:S31)</f>
        <v>0</v>
      </c>
      <c r="T32" s="30">
        <f>AVERAGE(T30:T31)</f>
        <v>0</v>
      </c>
    </row>
    <row r="33" spans="1:20" ht="20.100000000000001" customHeight="1" thickBot="1" x14ac:dyDescent="0.3">
      <c r="A33" s="252">
        <v>10</v>
      </c>
      <c r="B33" s="247"/>
      <c r="C33" s="247">
        <v>16</v>
      </c>
      <c r="D33" s="248" t="s">
        <v>23</v>
      </c>
      <c r="E33" s="29" t="s">
        <v>21</v>
      </c>
      <c r="F33" s="30">
        <f>'11C (SS)Sem 1'!E13</f>
        <v>65</v>
      </c>
      <c r="G33" s="30">
        <f>'11C (SS)Sem 1'!F13</f>
        <v>61</v>
      </c>
      <c r="H33" s="30">
        <f>'11C (SS)Sem 1'!G13</f>
        <v>52</v>
      </c>
      <c r="I33" s="30">
        <f>'11C (SS)Sem 1'!H13</f>
        <v>54</v>
      </c>
      <c r="J33" s="30">
        <f>'11C (SS)Sem 1'!I13</f>
        <v>63</v>
      </c>
      <c r="K33" s="30">
        <f>'11C (SS)Sem 1'!J13</f>
        <v>52</v>
      </c>
      <c r="L33" s="30">
        <f>'11C (SS)Sem 1'!K13</f>
        <v>78</v>
      </c>
      <c r="M33" s="30">
        <f>'11C (SS)Sem 1'!L13</f>
        <v>82</v>
      </c>
      <c r="N33" s="30">
        <f>'11C (SS)Sem 1'!M13</f>
        <v>58</v>
      </c>
      <c r="O33" s="30">
        <f>'11C (SS)Sem 1'!N13</f>
        <v>55</v>
      </c>
      <c r="P33" s="30">
        <f>'11C (SS)Sem 1'!O13</f>
        <v>620</v>
      </c>
      <c r="Q33" s="198">
        <f>'11C (SS)Sem 1'!P13</f>
        <v>62</v>
      </c>
      <c r="R33" s="105">
        <f>'11C (SS)Sem 1'!Q13</f>
        <v>28</v>
      </c>
      <c r="S33" s="105">
        <f>'11C (SS)Sem 1'!R13</f>
        <v>0</v>
      </c>
      <c r="T33" s="105">
        <f>'11C (SS)Sem 1'!S13</f>
        <v>0</v>
      </c>
    </row>
    <row r="34" spans="1:20" ht="20.100000000000001" customHeight="1" thickBot="1" x14ac:dyDescent="0.3">
      <c r="A34" s="252"/>
      <c r="B34" s="247"/>
      <c r="C34" s="247">
        <v>16</v>
      </c>
      <c r="D34" s="248" t="s">
        <v>23</v>
      </c>
      <c r="E34" s="29" t="s">
        <v>22</v>
      </c>
      <c r="F34" s="30">
        <f>'11C (SS)Sem 2'!E13</f>
        <v>89</v>
      </c>
      <c r="G34" s="30">
        <f>'11C (SS)Sem 2'!F13</f>
        <v>67</v>
      </c>
      <c r="H34" s="30">
        <f>'11C (SS)Sem 2'!G13</f>
        <v>52</v>
      </c>
      <c r="I34" s="30">
        <f>'11C (SS)Sem 2'!H13</f>
        <v>60</v>
      </c>
      <c r="J34" s="30">
        <f>'11C (SS)Sem 2'!I13</f>
        <v>61</v>
      </c>
      <c r="K34" s="30">
        <f>'11C (SS)Sem 2'!J13</f>
        <v>68</v>
      </c>
      <c r="L34" s="30">
        <f>'11C (SS)Sem 2'!K13</f>
        <v>81</v>
      </c>
      <c r="M34" s="30">
        <f>'11C (SS)Sem 2'!L13</f>
        <v>92</v>
      </c>
      <c r="N34" s="30">
        <f>'11C (SS)Sem 2'!M13</f>
        <v>58</v>
      </c>
      <c r="O34" s="30">
        <f>'11C (SS)Sem 2'!N13</f>
        <v>56</v>
      </c>
      <c r="P34" s="30">
        <f>'11C (SS)Sem 2'!O13</f>
        <v>684</v>
      </c>
      <c r="Q34" s="198">
        <f>'11C (SS)Sem 2'!P13</f>
        <v>68.400000000000006</v>
      </c>
      <c r="R34" s="105">
        <f>'11C (SS)Sem 2'!Q13</f>
        <v>28</v>
      </c>
      <c r="S34" s="105">
        <f>'11C (SS)Sem 2'!R13</f>
        <v>0</v>
      </c>
      <c r="T34" s="105">
        <f>'11C (SS)Sem 2'!S13</f>
        <v>0</v>
      </c>
    </row>
    <row r="35" spans="1:20" ht="20.100000000000001" customHeight="1" thickBot="1" x14ac:dyDescent="0.3">
      <c r="A35" s="252"/>
      <c r="B35" s="247"/>
      <c r="C35" s="247">
        <v>16</v>
      </c>
      <c r="D35" s="248" t="s">
        <v>23</v>
      </c>
      <c r="E35" s="29" t="s">
        <v>16</v>
      </c>
      <c r="F35" s="30">
        <f>AVERAGE(F33:F34)</f>
        <v>77</v>
      </c>
      <c r="G35" s="30">
        <f t="shared" ref="G35:Q35" si="9">AVERAGE(G33:G34)</f>
        <v>64</v>
      </c>
      <c r="H35" s="30">
        <f t="shared" si="9"/>
        <v>52</v>
      </c>
      <c r="I35" s="30">
        <f t="shared" si="9"/>
        <v>57</v>
      </c>
      <c r="J35" s="30">
        <f t="shared" si="9"/>
        <v>62</v>
      </c>
      <c r="K35" s="30">
        <f t="shared" si="9"/>
        <v>60</v>
      </c>
      <c r="L35" s="30">
        <f t="shared" si="9"/>
        <v>79.5</v>
      </c>
      <c r="M35" s="30">
        <f t="shared" si="9"/>
        <v>87</v>
      </c>
      <c r="N35" s="30">
        <f t="shared" si="9"/>
        <v>58</v>
      </c>
      <c r="O35" s="30">
        <f t="shared" si="9"/>
        <v>55.5</v>
      </c>
      <c r="P35" s="30">
        <f t="shared" si="9"/>
        <v>652</v>
      </c>
      <c r="Q35" s="198">
        <f t="shared" si="9"/>
        <v>65.2</v>
      </c>
      <c r="R35" s="30">
        <f>'11C Sem avr (SS)'!$H$13</f>
        <v>28</v>
      </c>
      <c r="S35" s="30">
        <f>AVERAGE(S33:S34)</f>
        <v>0</v>
      </c>
      <c r="T35" s="30">
        <f>AVERAGE(T33:T34)</f>
        <v>0</v>
      </c>
    </row>
    <row r="36" spans="1:20" ht="20.100000000000001" customHeight="1" thickBot="1" x14ac:dyDescent="0.3">
      <c r="A36" s="246">
        <v>11</v>
      </c>
      <c r="B36" s="247"/>
      <c r="C36" s="247">
        <v>14</v>
      </c>
      <c r="D36" s="248" t="s">
        <v>23</v>
      </c>
      <c r="E36" s="29" t="s">
        <v>21</v>
      </c>
      <c r="F36" s="30">
        <f>'11C (SS)Sem 1'!E14</f>
        <v>90</v>
      </c>
      <c r="G36" s="30">
        <f>'11C (SS)Sem 1'!F14</f>
        <v>90</v>
      </c>
      <c r="H36" s="30">
        <f>'11C (SS)Sem 1'!G14</f>
        <v>82</v>
      </c>
      <c r="I36" s="30">
        <f>'11C (SS)Sem 1'!H14</f>
        <v>100</v>
      </c>
      <c r="J36" s="30">
        <f>'11C (SS)Sem 1'!I14</f>
        <v>98</v>
      </c>
      <c r="K36" s="30">
        <f>'11C (SS)Sem 1'!J14</f>
        <v>80</v>
      </c>
      <c r="L36" s="30">
        <f>'11C (SS)Sem 1'!K14</f>
        <v>100</v>
      </c>
      <c r="M36" s="30">
        <f>'11C (SS)Sem 1'!L14</f>
        <v>99</v>
      </c>
      <c r="N36" s="30">
        <f>'11C (SS)Sem 1'!M14</f>
        <v>98</v>
      </c>
      <c r="O36" s="30">
        <f>'11C (SS)Sem 1'!N14</f>
        <v>98</v>
      </c>
      <c r="P36" s="30">
        <f>'11C (SS)Sem 1'!O14</f>
        <v>935</v>
      </c>
      <c r="Q36" s="198">
        <f>'11C (SS)Sem 1'!P14</f>
        <v>93.5</v>
      </c>
      <c r="R36" s="105">
        <f>'11C (SS)Sem 1'!Q14</f>
        <v>2</v>
      </c>
      <c r="S36" s="105">
        <f>'11C (SS)Sem 1'!R14</f>
        <v>0</v>
      </c>
      <c r="T36" s="105">
        <f>'11C (SS)Sem 1'!S14</f>
        <v>0</v>
      </c>
    </row>
    <row r="37" spans="1:20" ht="20.100000000000001" customHeight="1" thickBot="1" x14ac:dyDescent="0.3">
      <c r="A37" s="246"/>
      <c r="B37" s="247"/>
      <c r="C37" s="247">
        <v>14</v>
      </c>
      <c r="D37" s="248" t="s">
        <v>23</v>
      </c>
      <c r="E37" s="29" t="s">
        <v>22</v>
      </c>
      <c r="F37" s="30">
        <f>'11C (SS)Sem 2'!E14</f>
        <v>93</v>
      </c>
      <c r="G37" s="30">
        <f>'11C (SS)Sem 2'!F14</f>
        <v>92</v>
      </c>
      <c r="H37" s="30">
        <f>'11C (SS)Sem 2'!G14</f>
        <v>91</v>
      </c>
      <c r="I37" s="30">
        <f>'11C (SS)Sem 2'!H14</f>
        <v>100</v>
      </c>
      <c r="J37" s="30">
        <f>'11C (SS)Sem 2'!I14</f>
        <v>100</v>
      </c>
      <c r="K37" s="30">
        <f>'11C (SS)Sem 2'!J14</f>
        <v>99</v>
      </c>
      <c r="L37" s="30">
        <f>'11C (SS)Sem 2'!K14</f>
        <v>92</v>
      </c>
      <c r="M37" s="30">
        <f>'11C (SS)Sem 2'!L14</f>
        <v>100</v>
      </c>
      <c r="N37" s="30">
        <f>'11C (SS)Sem 2'!M14</f>
        <v>94</v>
      </c>
      <c r="O37" s="30">
        <f>'11C (SS)Sem 2'!N14</f>
        <v>97</v>
      </c>
      <c r="P37" s="30">
        <f>'11C (SS)Sem 2'!O14</f>
        <v>958</v>
      </c>
      <c r="Q37" s="198">
        <f>'11C (SS)Sem 2'!P14</f>
        <v>95.8</v>
      </c>
      <c r="R37" s="105">
        <f>'11C (SS)Sem 2'!Q14</f>
        <v>2</v>
      </c>
      <c r="S37" s="105">
        <f>'11C (SS)Sem 2'!R14</f>
        <v>0</v>
      </c>
      <c r="T37" s="105">
        <f>'11C (SS)Sem 2'!S14</f>
        <v>0</v>
      </c>
    </row>
    <row r="38" spans="1:20" ht="20.100000000000001" customHeight="1" thickBot="1" x14ac:dyDescent="0.3">
      <c r="A38" s="246"/>
      <c r="B38" s="247"/>
      <c r="C38" s="247">
        <v>14</v>
      </c>
      <c r="D38" s="248" t="s">
        <v>23</v>
      </c>
      <c r="E38" s="29" t="s">
        <v>16</v>
      </c>
      <c r="F38" s="30">
        <f>AVERAGE(F36:F37)</f>
        <v>91.5</v>
      </c>
      <c r="G38" s="30">
        <f t="shared" ref="G38:Q38" si="10">AVERAGE(G36:G37)</f>
        <v>91</v>
      </c>
      <c r="H38" s="30">
        <f t="shared" si="10"/>
        <v>86.5</v>
      </c>
      <c r="I38" s="30">
        <f t="shared" si="10"/>
        <v>100</v>
      </c>
      <c r="J38" s="30">
        <f t="shared" si="10"/>
        <v>99</v>
      </c>
      <c r="K38" s="30">
        <f t="shared" si="10"/>
        <v>89.5</v>
      </c>
      <c r="L38" s="30">
        <f t="shared" si="10"/>
        <v>96</v>
      </c>
      <c r="M38" s="30">
        <f t="shared" si="10"/>
        <v>99.5</v>
      </c>
      <c r="N38" s="30">
        <f t="shared" si="10"/>
        <v>96</v>
      </c>
      <c r="O38" s="30">
        <f t="shared" si="10"/>
        <v>97.5</v>
      </c>
      <c r="P38" s="30">
        <f t="shared" si="10"/>
        <v>946.5</v>
      </c>
      <c r="Q38" s="198">
        <f t="shared" si="10"/>
        <v>94.65</v>
      </c>
      <c r="R38" s="30">
        <f>'11C Sem avr (SS)'!$H$14</f>
        <v>2</v>
      </c>
      <c r="S38" s="30">
        <f>AVERAGE(S36:S37)</f>
        <v>0</v>
      </c>
      <c r="T38" s="30">
        <f>AVERAGE(T36:T37)</f>
        <v>0</v>
      </c>
    </row>
    <row r="39" spans="1:20" ht="20.100000000000001" customHeight="1" thickBot="1" x14ac:dyDescent="0.3">
      <c r="A39" s="246">
        <v>12</v>
      </c>
      <c r="B39" s="247"/>
      <c r="C39" s="253">
        <v>16</v>
      </c>
      <c r="D39" s="254" t="s">
        <v>23</v>
      </c>
      <c r="E39" s="29" t="s">
        <v>21</v>
      </c>
      <c r="F39" s="30">
        <f>'11C (SS)Sem 1'!E15</f>
        <v>66</v>
      </c>
      <c r="G39" s="30">
        <f>'11C (SS)Sem 1'!F15</f>
        <v>69</v>
      </c>
      <c r="H39" s="30">
        <f>'11C (SS)Sem 1'!G15</f>
        <v>49</v>
      </c>
      <c r="I39" s="30">
        <f>'11C (SS)Sem 1'!H15</f>
        <v>57</v>
      </c>
      <c r="J39" s="30">
        <f>'11C (SS)Sem 1'!I15</f>
        <v>53</v>
      </c>
      <c r="K39" s="30">
        <f>'11C (SS)Sem 1'!J15</f>
        <v>56</v>
      </c>
      <c r="L39" s="30">
        <f>'11C (SS)Sem 1'!K15</f>
        <v>80</v>
      </c>
      <c r="M39" s="30">
        <f>'11C (SS)Sem 1'!L15</f>
        <v>84</v>
      </c>
      <c r="N39" s="30">
        <f>'11C (SS)Sem 1'!M15</f>
        <v>54</v>
      </c>
      <c r="O39" s="30">
        <f>'11C (SS)Sem 1'!N15</f>
        <v>48</v>
      </c>
      <c r="P39" s="30">
        <f>'11C (SS)Sem 1'!O15</f>
        <v>616</v>
      </c>
      <c r="Q39" s="198">
        <f>'11C (SS)Sem 1'!P15</f>
        <v>61.6</v>
      </c>
      <c r="R39" s="105">
        <f>'11C (SS)Sem 1'!Q15</f>
        <v>29</v>
      </c>
      <c r="S39" s="105">
        <f>'11C (SS)Sem 1'!R15</f>
        <v>0</v>
      </c>
      <c r="T39" s="105">
        <f>'11C (SS)Sem 1'!S15</f>
        <v>0</v>
      </c>
    </row>
    <row r="40" spans="1:20" ht="20.100000000000001" customHeight="1" thickBot="1" x14ac:dyDescent="0.3">
      <c r="A40" s="246"/>
      <c r="B40" s="247"/>
      <c r="C40" s="253">
        <v>16</v>
      </c>
      <c r="D40" s="254" t="s">
        <v>23</v>
      </c>
      <c r="E40" s="29" t="s">
        <v>22</v>
      </c>
      <c r="F40" s="30">
        <f>'11C (SS)Sem 2'!E15</f>
        <v>76</v>
      </c>
      <c r="G40" s="30">
        <f>'11C (SS)Sem 2'!F15</f>
        <v>71</v>
      </c>
      <c r="H40" s="30">
        <f>'11C (SS)Sem 2'!G15</f>
        <v>57</v>
      </c>
      <c r="I40" s="30">
        <f>'11C (SS)Sem 2'!H15</f>
        <v>67</v>
      </c>
      <c r="J40" s="30">
        <f>'11C (SS)Sem 2'!I15</f>
        <v>65</v>
      </c>
      <c r="K40" s="30">
        <f>'11C (SS)Sem 2'!J15</f>
        <v>72</v>
      </c>
      <c r="L40" s="30">
        <f>'11C (SS)Sem 2'!K15</f>
        <v>88</v>
      </c>
      <c r="M40" s="30">
        <f>'11C (SS)Sem 2'!L15</f>
        <v>92</v>
      </c>
      <c r="N40" s="30">
        <f>'11C (SS)Sem 2'!M15</f>
        <v>63</v>
      </c>
      <c r="O40" s="30">
        <f>'11C (SS)Sem 2'!N15</f>
        <v>70</v>
      </c>
      <c r="P40" s="30">
        <f>'11C (SS)Sem 2'!O15</f>
        <v>721</v>
      </c>
      <c r="Q40" s="198">
        <f>'11C (SS)Sem 2'!P15</f>
        <v>72.099999999999994</v>
      </c>
      <c r="R40" s="105">
        <f>'11C (SS)Sem 2'!Q15</f>
        <v>24</v>
      </c>
      <c r="S40" s="105">
        <f>'11C (SS)Sem 2'!R15</f>
        <v>0</v>
      </c>
      <c r="T40" s="105">
        <f>'11C (SS)Sem 2'!S15</f>
        <v>0</v>
      </c>
    </row>
    <row r="41" spans="1:20" ht="20.100000000000001" customHeight="1" thickBot="1" x14ac:dyDescent="0.3">
      <c r="A41" s="246"/>
      <c r="B41" s="247"/>
      <c r="C41" s="253">
        <v>16</v>
      </c>
      <c r="D41" s="254" t="s">
        <v>23</v>
      </c>
      <c r="E41" s="29" t="s">
        <v>16</v>
      </c>
      <c r="F41" s="30">
        <f>AVERAGE(F39:F40)</f>
        <v>71</v>
      </c>
      <c r="G41" s="30">
        <f t="shared" ref="G41:Q41" si="11">AVERAGE(G39:G40)</f>
        <v>70</v>
      </c>
      <c r="H41" s="30">
        <f t="shared" si="11"/>
        <v>53</v>
      </c>
      <c r="I41" s="30">
        <f t="shared" si="11"/>
        <v>62</v>
      </c>
      <c r="J41" s="30">
        <f t="shared" si="11"/>
        <v>59</v>
      </c>
      <c r="K41" s="30">
        <f t="shared" si="11"/>
        <v>64</v>
      </c>
      <c r="L41" s="30">
        <f t="shared" si="11"/>
        <v>84</v>
      </c>
      <c r="M41" s="30">
        <f t="shared" si="11"/>
        <v>88</v>
      </c>
      <c r="N41" s="30">
        <f t="shared" si="11"/>
        <v>58.5</v>
      </c>
      <c r="O41" s="30">
        <f t="shared" si="11"/>
        <v>59</v>
      </c>
      <c r="P41" s="30">
        <f t="shared" si="11"/>
        <v>668.5</v>
      </c>
      <c r="Q41" s="198">
        <f t="shared" si="11"/>
        <v>66.849999999999994</v>
      </c>
      <c r="R41" s="30">
        <f>'11C Sem avr (SS)'!$H$15</f>
        <v>27</v>
      </c>
      <c r="S41" s="30">
        <f>AVERAGE(S39:S40)</f>
        <v>0</v>
      </c>
      <c r="T41" s="30">
        <f>AVERAGE(T39:T40)</f>
        <v>0</v>
      </c>
    </row>
    <row r="42" spans="1:20" ht="20.100000000000001" customHeight="1" thickBot="1" x14ac:dyDescent="0.3">
      <c r="A42" s="246">
        <v>13</v>
      </c>
      <c r="B42" s="247"/>
      <c r="C42" s="247">
        <v>16</v>
      </c>
      <c r="D42" s="248" t="s">
        <v>20</v>
      </c>
      <c r="E42" s="29" t="s">
        <v>21</v>
      </c>
      <c r="F42" s="30">
        <f>'11C (SS)Sem 1'!E16</f>
        <v>85</v>
      </c>
      <c r="G42" s="30">
        <f>'11C (SS)Sem 1'!F16</f>
        <v>87</v>
      </c>
      <c r="H42" s="30">
        <f>'11C (SS)Sem 1'!G16</f>
        <v>93</v>
      </c>
      <c r="I42" s="30">
        <f>'11C (SS)Sem 1'!H16</f>
        <v>90</v>
      </c>
      <c r="J42" s="30">
        <f>'11C (SS)Sem 1'!I16</f>
        <v>93</v>
      </c>
      <c r="K42" s="30">
        <f>'11C (SS)Sem 1'!J16</f>
        <v>87</v>
      </c>
      <c r="L42" s="30">
        <f>'11C (SS)Sem 1'!K16</f>
        <v>96</v>
      </c>
      <c r="M42" s="30">
        <f>'11C (SS)Sem 1'!L16</f>
        <v>97</v>
      </c>
      <c r="N42" s="30">
        <f>'11C (SS)Sem 1'!M16</f>
        <v>96</v>
      </c>
      <c r="O42" s="30">
        <f>'11C (SS)Sem 1'!N16</f>
        <v>95</v>
      </c>
      <c r="P42" s="30">
        <f>'11C (SS)Sem 1'!O16</f>
        <v>919</v>
      </c>
      <c r="Q42" s="198">
        <f>'11C (SS)Sem 1'!P16</f>
        <v>91.9</v>
      </c>
      <c r="R42" s="105">
        <f>'11C (SS)Sem 1'!Q16</f>
        <v>3</v>
      </c>
      <c r="S42" s="105">
        <f>'11C (SS)Sem 1'!R16</f>
        <v>0</v>
      </c>
      <c r="T42" s="105">
        <f>'11C (SS)Sem 1'!S16</f>
        <v>0</v>
      </c>
    </row>
    <row r="43" spans="1:20" ht="20.100000000000001" customHeight="1" thickBot="1" x14ac:dyDescent="0.3">
      <c r="A43" s="246"/>
      <c r="B43" s="247"/>
      <c r="C43" s="247">
        <v>16</v>
      </c>
      <c r="D43" s="248" t="s">
        <v>20</v>
      </c>
      <c r="E43" s="29" t="s">
        <v>22</v>
      </c>
      <c r="F43" s="30">
        <f>'11C (SS)Sem 2'!E16</f>
        <v>92</v>
      </c>
      <c r="G43" s="30">
        <f>'11C (SS)Sem 2'!F16</f>
        <v>90</v>
      </c>
      <c r="H43" s="30">
        <f>'11C (SS)Sem 2'!G16</f>
        <v>98</v>
      </c>
      <c r="I43" s="30">
        <f>'11C (SS)Sem 2'!H16</f>
        <v>97</v>
      </c>
      <c r="J43" s="30">
        <f>'11C (SS)Sem 2'!I16</f>
        <v>93</v>
      </c>
      <c r="K43" s="30">
        <f>'11C (SS)Sem 2'!J16</f>
        <v>99</v>
      </c>
      <c r="L43" s="30">
        <f>'11C (SS)Sem 2'!K16</f>
        <v>95</v>
      </c>
      <c r="M43" s="30">
        <f>'11C (SS)Sem 2'!L16</f>
        <v>97</v>
      </c>
      <c r="N43" s="30">
        <f>'11C (SS)Sem 2'!M16</f>
        <v>97</v>
      </c>
      <c r="O43" s="30">
        <f>'11C (SS)Sem 2'!N16</f>
        <v>93</v>
      </c>
      <c r="P43" s="30">
        <f>'11C (SS)Sem 2'!O16</f>
        <v>951</v>
      </c>
      <c r="Q43" s="198">
        <f>'11C (SS)Sem 2'!P16</f>
        <v>95.1</v>
      </c>
      <c r="R43" s="105">
        <f>'11C (SS)Sem 2'!Q16</f>
        <v>3</v>
      </c>
      <c r="S43" s="105">
        <f>'11C (SS)Sem 2'!R16</f>
        <v>0</v>
      </c>
      <c r="T43" s="105">
        <f>'11C (SS)Sem 2'!S16</f>
        <v>0</v>
      </c>
    </row>
    <row r="44" spans="1:20" ht="20.100000000000001" customHeight="1" thickBot="1" x14ac:dyDescent="0.3">
      <c r="A44" s="246"/>
      <c r="B44" s="247"/>
      <c r="C44" s="247">
        <v>16</v>
      </c>
      <c r="D44" s="248" t="s">
        <v>20</v>
      </c>
      <c r="E44" s="29" t="s">
        <v>16</v>
      </c>
      <c r="F44" s="30">
        <f>AVERAGE(F42:F43)</f>
        <v>88.5</v>
      </c>
      <c r="G44" s="30">
        <f t="shared" ref="G44:Q44" si="12">AVERAGE(G42:G43)</f>
        <v>88.5</v>
      </c>
      <c r="H44" s="30">
        <f t="shared" si="12"/>
        <v>95.5</v>
      </c>
      <c r="I44" s="30">
        <f t="shared" si="12"/>
        <v>93.5</v>
      </c>
      <c r="J44" s="30">
        <f t="shared" si="12"/>
        <v>93</v>
      </c>
      <c r="K44" s="30">
        <f t="shared" si="12"/>
        <v>93</v>
      </c>
      <c r="L44" s="30">
        <f t="shared" si="12"/>
        <v>95.5</v>
      </c>
      <c r="M44" s="30">
        <f t="shared" si="12"/>
        <v>97</v>
      </c>
      <c r="N44" s="30">
        <f t="shared" si="12"/>
        <v>96.5</v>
      </c>
      <c r="O44" s="30">
        <f t="shared" si="12"/>
        <v>94</v>
      </c>
      <c r="P44" s="30">
        <f t="shared" si="12"/>
        <v>935</v>
      </c>
      <c r="Q44" s="198">
        <f t="shared" si="12"/>
        <v>93.5</v>
      </c>
      <c r="R44" s="30">
        <f>'11C Sem avr (SS)'!$H$16</f>
        <v>3</v>
      </c>
      <c r="S44" s="30">
        <f>AVERAGE(S42:S43)</f>
        <v>0</v>
      </c>
      <c r="T44" s="30">
        <f>AVERAGE(T42:T43)</f>
        <v>0</v>
      </c>
    </row>
    <row r="45" spans="1:20" ht="20.100000000000001" customHeight="1" thickBot="1" x14ac:dyDescent="0.3">
      <c r="A45" s="252">
        <v>14</v>
      </c>
      <c r="B45" s="247"/>
      <c r="C45" s="253">
        <v>15</v>
      </c>
      <c r="D45" s="254" t="s">
        <v>23</v>
      </c>
      <c r="E45" s="29" t="s">
        <v>21</v>
      </c>
      <c r="F45" s="30">
        <f>'11C (SS)Sem 1'!E17</f>
        <v>74</v>
      </c>
      <c r="G45" s="30">
        <f>'11C (SS)Sem 1'!F17</f>
        <v>77</v>
      </c>
      <c r="H45" s="30">
        <f>'11C (SS)Sem 1'!G17</f>
        <v>57</v>
      </c>
      <c r="I45" s="30">
        <f>'11C (SS)Sem 1'!H17</f>
        <v>64</v>
      </c>
      <c r="J45" s="30">
        <f>'11C (SS)Sem 1'!I17</f>
        <v>65</v>
      </c>
      <c r="K45" s="30">
        <f>'11C (SS)Sem 1'!J17</f>
        <v>58</v>
      </c>
      <c r="L45" s="30">
        <f>'11C (SS)Sem 1'!K17</f>
        <v>76</v>
      </c>
      <c r="M45" s="30">
        <f>'11C (SS)Sem 1'!L17</f>
        <v>88</v>
      </c>
      <c r="N45" s="30">
        <f>'11C (SS)Sem 1'!M17</f>
        <v>56</v>
      </c>
      <c r="O45" s="30">
        <f>'11C (SS)Sem 1'!N17</f>
        <v>61</v>
      </c>
      <c r="P45" s="30">
        <f>'11C (SS)Sem 1'!O17</f>
        <v>676</v>
      </c>
      <c r="Q45" s="198">
        <f>'11C (SS)Sem 1'!P17</f>
        <v>67.599999999999994</v>
      </c>
      <c r="R45" s="105">
        <f>'11C (SS)Sem 1'!Q17</f>
        <v>22</v>
      </c>
      <c r="S45" s="105">
        <f>'11C (SS)Sem 1'!R17</f>
        <v>0</v>
      </c>
      <c r="T45" s="105">
        <f>'11C (SS)Sem 1'!S17</f>
        <v>0</v>
      </c>
    </row>
    <row r="46" spans="1:20" ht="20.100000000000001" customHeight="1" thickBot="1" x14ac:dyDescent="0.3">
      <c r="A46" s="252"/>
      <c r="B46" s="247"/>
      <c r="C46" s="253">
        <v>15</v>
      </c>
      <c r="D46" s="254" t="s">
        <v>23</v>
      </c>
      <c r="E46" s="29" t="s">
        <v>22</v>
      </c>
      <c r="F46" s="30">
        <f>'11C (SS)Sem 2'!E17</f>
        <v>90</v>
      </c>
      <c r="G46" s="30">
        <f>'11C (SS)Sem 2'!F17</f>
        <v>82</v>
      </c>
      <c r="H46" s="30">
        <f>'11C (SS)Sem 2'!G17</f>
        <v>77</v>
      </c>
      <c r="I46" s="30">
        <f>'11C (SS)Sem 2'!H17</f>
        <v>81</v>
      </c>
      <c r="J46" s="30">
        <f>'11C (SS)Sem 2'!I17</f>
        <v>81</v>
      </c>
      <c r="K46" s="30">
        <f>'11C (SS)Sem 2'!J17</f>
        <v>88</v>
      </c>
      <c r="L46" s="30">
        <f>'11C (SS)Sem 2'!K17</f>
        <v>82</v>
      </c>
      <c r="M46" s="30">
        <f>'11C (SS)Sem 2'!L17</f>
        <v>90</v>
      </c>
      <c r="N46" s="30">
        <f>'11C (SS)Sem 2'!M17</f>
        <v>76</v>
      </c>
      <c r="O46" s="30">
        <f>'11C (SS)Sem 2'!N17</f>
        <v>72</v>
      </c>
      <c r="P46" s="30">
        <f>'11C (SS)Sem 2'!O17</f>
        <v>819</v>
      </c>
      <c r="Q46" s="198">
        <f>'11C (SS)Sem 2'!P17</f>
        <v>81.900000000000006</v>
      </c>
      <c r="R46" s="105">
        <f>'11C (SS)Sem 2'!Q17</f>
        <v>11</v>
      </c>
      <c r="S46" s="105">
        <f>'11C (SS)Sem 2'!R17</f>
        <v>0</v>
      </c>
      <c r="T46" s="105">
        <f>'11C (SS)Sem 2'!S17</f>
        <v>0</v>
      </c>
    </row>
    <row r="47" spans="1:20" ht="20.100000000000001" customHeight="1" thickBot="1" x14ac:dyDescent="0.3">
      <c r="A47" s="252"/>
      <c r="B47" s="247"/>
      <c r="C47" s="253">
        <v>15</v>
      </c>
      <c r="D47" s="254" t="s">
        <v>23</v>
      </c>
      <c r="E47" s="29" t="s">
        <v>16</v>
      </c>
      <c r="F47" s="30">
        <f>AVERAGE(F45:F46)</f>
        <v>82</v>
      </c>
      <c r="G47" s="30">
        <f t="shared" ref="G47:Q47" si="13">AVERAGE(G45:G46)</f>
        <v>79.5</v>
      </c>
      <c r="H47" s="30">
        <f t="shared" si="13"/>
        <v>67</v>
      </c>
      <c r="I47" s="30">
        <f t="shared" si="13"/>
        <v>72.5</v>
      </c>
      <c r="J47" s="30">
        <f t="shared" si="13"/>
        <v>73</v>
      </c>
      <c r="K47" s="30">
        <f t="shared" si="13"/>
        <v>73</v>
      </c>
      <c r="L47" s="30">
        <f t="shared" si="13"/>
        <v>79</v>
      </c>
      <c r="M47" s="30">
        <f t="shared" si="13"/>
        <v>89</v>
      </c>
      <c r="N47" s="30">
        <f t="shared" si="13"/>
        <v>66</v>
      </c>
      <c r="O47" s="30">
        <f t="shared" si="13"/>
        <v>66.5</v>
      </c>
      <c r="P47" s="30">
        <f t="shared" si="13"/>
        <v>747.5</v>
      </c>
      <c r="Q47" s="198">
        <f t="shared" si="13"/>
        <v>74.75</v>
      </c>
      <c r="R47" s="30">
        <f>'11C Sem avr (SS)'!$H$17</f>
        <v>16</v>
      </c>
      <c r="S47" s="30">
        <f>AVERAGE(S45:S46)</f>
        <v>0</v>
      </c>
      <c r="T47" s="30">
        <f>AVERAGE(T45:T46)</f>
        <v>0</v>
      </c>
    </row>
    <row r="48" spans="1:20" ht="20.100000000000001" customHeight="1" thickBot="1" x14ac:dyDescent="0.3">
      <c r="A48" s="246">
        <v>15</v>
      </c>
      <c r="B48" s="247"/>
      <c r="C48" s="253">
        <v>15</v>
      </c>
      <c r="D48" s="254" t="s">
        <v>23</v>
      </c>
      <c r="E48" s="29" t="s">
        <v>21</v>
      </c>
      <c r="F48" s="30">
        <f>'11C (SS)Sem 1'!E18</f>
        <v>79</v>
      </c>
      <c r="G48" s="30">
        <f>'11C (SS)Sem 1'!F18</f>
        <v>84</v>
      </c>
      <c r="H48" s="31">
        <f>'11C (SS)Sem 1'!G18</f>
        <v>63</v>
      </c>
      <c r="I48" s="30">
        <f>'11C (SS)Sem 1'!H18</f>
        <v>83</v>
      </c>
      <c r="J48" s="30">
        <f>'11C (SS)Sem 1'!I18</f>
        <v>80</v>
      </c>
      <c r="K48" s="30">
        <f>'11C (SS)Sem 1'!J18</f>
        <v>71</v>
      </c>
      <c r="L48" s="30">
        <f>'11C (SS)Sem 1'!K18</f>
        <v>89</v>
      </c>
      <c r="M48" s="30">
        <f>'11C (SS)Sem 1'!L18</f>
        <v>92</v>
      </c>
      <c r="N48" s="30">
        <f>'11C (SS)Sem 1'!M18</f>
        <v>72</v>
      </c>
      <c r="O48" s="30">
        <f>'11C (SS)Sem 1'!N18</f>
        <v>77</v>
      </c>
      <c r="P48" s="30">
        <f>'11C (SS)Sem 1'!O18</f>
        <v>790</v>
      </c>
      <c r="Q48" s="198">
        <f>'11C (SS)Sem 1'!P18</f>
        <v>79</v>
      </c>
      <c r="R48" s="105">
        <f>'11C (SS)Sem 1'!Q18</f>
        <v>9</v>
      </c>
      <c r="S48" s="105">
        <f>'11C (SS)Sem 1'!R18</f>
        <v>0</v>
      </c>
      <c r="T48" s="105">
        <f>'11C (SS)Sem 1'!S18</f>
        <v>0</v>
      </c>
    </row>
    <row r="49" spans="1:25" ht="20.100000000000001" customHeight="1" thickBot="1" x14ac:dyDescent="0.3">
      <c r="A49" s="246"/>
      <c r="B49" s="247"/>
      <c r="C49" s="253">
        <v>15</v>
      </c>
      <c r="D49" s="254" t="s">
        <v>23</v>
      </c>
      <c r="E49" s="29" t="s">
        <v>22</v>
      </c>
      <c r="F49" s="30">
        <f>'11C (SS)Sem 2'!E18</f>
        <v>92</v>
      </c>
      <c r="G49" s="30">
        <f>'11C (SS)Sem 2'!F18</f>
        <v>86</v>
      </c>
      <c r="H49" s="31">
        <f>'11C (SS)Sem 2'!G18</f>
        <v>94</v>
      </c>
      <c r="I49" s="30">
        <f>'11C (SS)Sem 2'!H18</f>
        <v>86</v>
      </c>
      <c r="J49" s="30">
        <f>'11C (SS)Sem 2'!I18</f>
        <v>83</v>
      </c>
      <c r="K49" s="30">
        <f>'11C (SS)Sem 2'!J18</f>
        <v>96</v>
      </c>
      <c r="L49" s="30">
        <f>'11C (SS)Sem 2'!K18</f>
        <v>85</v>
      </c>
      <c r="M49" s="30">
        <f>'11C (SS)Sem 2'!L18</f>
        <v>95</v>
      </c>
      <c r="N49" s="30">
        <f>'11C (SS)Sem 2'!M18</f>
        <v>86</v>
      </c>
      <c r="O49" s="30">
        <f>'11C (SS)Sem 2'!N18</f>
        <v>74</v>
      </c>
      <c r="P49" s="30">
        <f>'11C (SS)Sem 2'!O18</f>
        <v>877</v>
      </c>
      <c r="Q49" s="198">
        <f>'11C (SS)Sem 2'!P18</f>
        <v>87.7</v>
      </c>
      <c r="R49" s="105">
        <f>'11C (SS)Sem 2'!Q18</f>
        <v>7</v>
      </c>
      <c r="S49" s="105">
        <f>'11C (SS)Sem 2'!R18</f>
        <v>0</v>
      </c>
      <c r="T49" s="105">
        <f>'11C (SS)Sem 2'!S18</f>
        <v>0</v>
      </c>
      <c r="U49" s="6"/>
      <c r="V49" s="6"/>
      <c r="W49" s="6"/>
      <c r="X49" s="6"/>
      <c r="Y49" s="6"/>
    </row>
    <row r="50" spans="1:25" ht="20.100000000000001" customHeight="1" thickBot="1" x14ac:dyDescent="0.3">
      <c r="A50" s="246"/>
      <c r="B50" s="247"/>
      <c r="C50" s="253">
        <v>15</v>
      </c>
      <c r="D50" s="254" t="s">
        <v>23</v>
      </c>
      <c r="E50" s="29" t="s">
        <v>16</v>
      </c>
      <c r="F50" s="30">
        <f>AVERAGE(F48:F49)</f>
        <v>85.5</v>
      </c>
      <c r="G50" s="30">
        <f t="shared" ref="G50:Q50" si="14">AVERAGE(G48:G49)</f>
        <v>85</v>
      </c>
      <c r="H50" s="30">
        <f t="shared" si="14"/>
        <v>78.5</v>
      </c>
      <c r="I50" s="30">
        <f t="shared" si="14"/>
        <v>84.5</v>
      </c>
      <c r="J50" s="30">
        <f t="shared" si="14"/>
        <v>81.5</v>
      </c>
      <c r="K50" s="30">
        <f t="shared" si="14"/>
        <v>83.5</v>
      </c>
      <c r="L50" s="30">
        <f t="shared" si="14"/>
        <v>87</v>
      </c>
      <c r="M50" s="30">
        <f t="shared" si="14"/>
        <v>93.5</v>
      </c>
      <c r="N50" s="30">
        <f t="shared" si="14"/>
        <v>79</v>
      </c>
      <c r="O50" s="30">
        <f t="shared" si="14"/>
        <v>75.5</v>
      </c>
      <c r="P50" s="30">
        <f t="shared" si="14"/>
        <v>833.5</v>
      </c>
      <c r="Q50" s="198">
        <f t="shared" si="14"/>
        <v>83.35</v>
      </c>
      <c r="R50" s="30">
        <f>'11C Sem avr (SS)'!$H$18</f>
        <v>8</v>
      </c>
      <c r="S50" s="30">
        <f>AVERAGE(S48:S49)</f>
        <v>0</v>
      </c>
      <c r="T50" s="30">
        <f>AVERAGE(T48:T49)</f>
        <v>0</v>
      </c>
      <c r="U50" s="6"/>
      <c r="V50" s="6"/>
      <c r="W50" s="6"/>
      <c r="X50" s="6"/>
      <c r="Y50" s="6"/>
    </row>
    <row r="51" spans="1:25" ht="20.100000000000001" customHeight="1" thickBot="1" x14ac:dyDescent="0.3">
      <c r="A51" s="252">
        <v>16</v>
      </c>
      <c r="B51" s="247"/>
      <c r="C51" s="247">
        <v>16</v>
      </c>
      <c r="D51" s="248" t="s">
        <v>23</v>
      </c>
      <c r="E51" s="29" t="s">
        <v>21</v>
      </c>
      <c r="F51" s="30">
        <f>'11C (SS)Sem 1'!E19</f>
        <v>78</v>
      </c>
      <c r="G51" s="30">
        <f>'11C (SS)Sem 1'!F19</f>
        <v>59</v>
      </c>
      <c r="H51" s="30">
        <f>'11C (SS)Sem 1'!G19</f>
        <v>76</v>
      </c>
      <c r="I51" s="30">
        <f>'11C (SS)Sem 1'!H19</f>
        <v>50</v>
      </c>
      <c r="J51" s="30">
        <f>'11C (SS)Sem 1'!I19</f>
        <v>63</v>
      </c>
      <c r="K51" s="30">
        <f>'11C (SS)Sem 1'!J19</f>
        <v>73</v>
      </c>
      <c r="L51" s="30">
        <f>'11C (SS)Sem 1'!K19</f>
        <v>85</v>
      </c>
      <c r="M51" s="30">
        <f>'11C (SS)Sem 1'!L19</f>
        <v>90</v>
      </c>
      <c r="N51" s="30">
        <f>'11C (SS)Sem 1'!M19</f>
        <v>45</v>
      </c>
      <c r="O51" s="30">
        <f>'11C (SS)Sem 1'!N19</f>
        <v>41</v>
      </c>
      <c r="P51" s="30">
        <f>'11C (SS)Sem 1'!O19</f>
        <v>660</v>
      </c>
      <c r="Q51" s="198">
        <f>'11C (SS)Sem 1'!P19</f>
        <v>66</v>
      </c>
      <c r="R51" s="105">
        <f>'11C (SS)Sem 1'!Q19</f>
        <v>24</v>
      </c>
      <c r="S51" s="105">
        <f>'11C (SS)Sem 1'!R19</f>
        <v>0</v>
      </c>
      <c r="T51" s="105">
        <f>'11C (SS)Sem 1'!S19</f>
        <v>0</v>
      </c>
      <c r="U51" s="6"/>
      <c r="V51" s="6"/>
      <c r="W51" s="6"/>
      <c r="X51" s="6"/>
      <c r="Y51" s="6"/>
    </row>
    <row r="52" spans="1:25" ht="20.100000000000001" customHeight="1" thickBot="1" x14ac:dyDescent="0.3">
      <c r="A52" s="252"/>
      <c r="B52" s="247"/>
      <c r="C52" s="247">
        <v>16</v>
      </c>
      <c r="D52" s="248" t="s">
        <v>23</v>
      </c>
      <c r="E52" s="29" t="s">
        <v>22</v>
      </c>
      <c r="F52" s="30">
        <f>'11C (SS)Sem 2'!E19</f>
        <v>87</v>
      </c>
      <c r="G52" s="30">
        <f>'11C (SS)Sem 2'!F19</f>
        <v>56</v>
      </c>
      <c r="H52" s="30">
        <f>'11C (SS)Sem 2'!G19</f>
        <v>52</v>
      </c>
      <c r="I52" s="30">
        <f>'11C (SS)Sem 2'!H19</f>
        <v>51</v>
      </c>
      <c r="J52" s="30">
        <f>'11C (SS)Sem 2'!I19</f>
        <v>62</v>
      </c>
      <c r="K52" s="30">
        <f>'11C (SS)Sem 2'!J19</f>
        <v>49</v>
      </c>
      <c r="L52" s="30">
        <f>'11C (SS)Sem 2'!K19</f>
        <v>73</v>
      </c>
      <c r="M52" s="30">
        <f>'11C (SS)Sem 2'!L19</f>
        <v>89</v>
      </c>
      <c r="N52" s="30">
        <f>'11C (SS)Sem 2'!M19</f>
        <v>46</v>
      </c>
      <c r="O52" s="30">
        <f>'11C (SS)Sem 2'!N19</f>
        <v>66</v>
      </c>
      <c r="P52" s="30">
        <f>'11C (SS)Sem 2'!O19</f>
        <v>631</v>
      </c>
      <c r="Q52" s="198">
        <f>'11C (SS)Sem 2'!P19</f>
        <v>63.1</v>
      </c>
      <c r="R52" s="105">
        <f>'11C (SS)Sem 2'!Q19</f>
        <v>29</v>
      </c>
      <c r="S52" s="105">
        <f>'11C (SS)Sem 2'!R19</f>
        <v>0</v>
      </c>
      <c r="T52" s="105">
        <f>'11C (SS)Sem 2'!S19</f>
        <v>0</v>
      </c>
      <c r="U52" s="6"/>
      <c r="V52" s="6"/>
      <c r="W52" s="6"/>
      <c r="X52" s="6"/>
      <c r="Y52" s="6"/>
    </row>
    <row r="53" spans="1:25" ht="20.100000000000001" customHeight="1" thickBot="1" x14ac:dyDescent="0.3">
      <c r="A53" s="252"/>
      <c r="B53" s="247"/>
      <c r="C53" s="247">
        <v>16</v>
      </c>
      <c r="D53" s="248" t="s">
        <v>23</v>
      </c>
      <c r="E53" s="29" t="s">
        <v>16</v>
      </c>
      <c r="F53" s="30">
        <f>AVERAGE(F51:F52)</f>
        <v>82.5</v>
      </c>
      <c r="G53" s="30">
        <f t="shared" ref="G53:Q53" si="15">AVERAGE(G51:G52)</f>
        <v>57.5</v>
      </c>
      <c r="H53" s="30">
        <f t="shared" si="15"/>
        <v>64</v>
      </c>
      <c r="I53" s="30">
        <f t="shared" si="15"/>
        <v>50.5</v>
      </c>
      <c r="J53" s="30">
        <f t="shared" si="15"/>
        <v>62.5</v>
      </c>
      <c r="K53" s="30">
        <f t="shared" si="15"/>
        <v>61</v>
      </c>
      <c r="L53" s="30">
        <f t="shared" si="15"/>
        <v>79</v>
      </c>
      <c r="M53" s="30">
        <f t="shared" si="15"/>
        <v>89.5</v>
      </c>
      <c r="N53" s="30">
        <f t="shared" si="15"/>
        <v>45.5</v>
      </c>
      <c r="O53" s="30">
        <f t="shared" si="15"/>
        <v>53.5</v>
      </c>
      <c r="P53" s="30">
        <f t="shared" si="15"/>
        <v>645.5</v>
      </c>
      <c r="Q53" s="198">
        <f t="shared" si="15"/>
        <v>64.55</v>
      </c>
      <c r="R53" s="30">
        <f>'11C Sem avr (SS)'!$H$19</f>
        <v>29</v>
      </c>
      <c r="S53" s="30">
        <f>AVERAGE(S51:S52)</f>
        <v>0</v>
      </c>
      <c r="T53" s="30">
        <f>AVERAGE(T51:T52)</f>
        <v>0</v>
      </c>
      <c r="U53" s="6"/>
      <c r="V53" s="6"/>
      <c r="W53" s="6"/>
      <c r="X53" s="6"/>
      <c r="Y53" s="6"/>
    </row>
    <row r="54" spans="1:25" ht="20.100000000000001" customHeight="1" thickBot="1" x14ac:dyDescent="0.3">
      <c r="A54" s="252">
        <v>17</v>
      </c>
      <c r="B54" s="247"/>
      <c r="C54" s="253">
        <v>17</v>
      </c>
      <c r="D54" s="254" t="s">
        <v>23</v>
      </c>
      <c r="E54" s="29" t="s">
        <v>21</v>
      </c>
      <c r="F54" s="30">
        <f>'11C (SS)Sem 1'!E20</f>
        <v>94</v>
      </c>
      <c r="G54" s="30">
        <f>'11C (SS)Sem 1'!F20</f>
        <v>92</v>
      </c>
      <c r="H54" s="30">
        <f>'11C (SS)Sem 1'!G20</f>
        <v>98</v>
      </c>
      <c r="I54" s="30">
        <f>'11C (SS)Sem 1'!H20</f>
        <v>100</v>
      </c>
      <c r="J54" s="30">
        <f>'11C (SS)Sem 1'!I20</f>
        <v>100</v>
      </c>
      <c r="K54" s="30">
        <f>'11C (SS)Sem 1'!J20</f>
        <v>83</v>
      </c>
      <c r="L54" s="30">
        <f>'11C (SS)Sem 1'!K20</f>
        <v>100</v>
      </c>
      <c r="M54" s="30">
        <f>'11C (SS)Sem 1'!L20</f>
        <v>100</v>
      </c>
      <c r="N54" s="30">
        <f>'11C (SS)Sem 1'!M20</f>
        <v>99</v>
      </c>
      <c r="O54" s="30">
        <f>'11C (SS)Sem 1'!N20</f>
        <v>97</v>
      </c>
      <c r="P54" s="30">
        <f>'11C (SS)Sem 1'!O20</f>
        <v>963</v>
      </c>
      <c r="Q54" s="198">
        <f>'11C (SS)Sem 1'!P20</f>
        <v>96.3</v>
      </c>
      <c r="R54" s="105">
        <f>'11C (SS)Sem 1'!Q20</f>
        <v>1</v>
      </c>
      <c r="S54" s="105">
        <f>'11C (SS)Sem 1'!R20</f>
        <v>0</v>
      </c>
      <c r="T54" s="105">
        <f>'11C (SS)Sem 1'!S20</f>
        <v>0</v>
      </c>
      <c r="U54" s="6"/>
      <c r="V54" s="6"/>
      <c r="W54" s="6"/>
      <c r="X54" s="6"/>
      <c r="Y54" s="6"/>
    </row>
    <row r="55" spans="1:25" ht="20.100000000000001" customHeight="1" thickBot="1" x14ac:dyDescent="0.3">
      <c r="A55" s="252"/>
      <c r="B55" s="247"/>
      <c r="C55" s="253">
        <v>17</v>
      </c>
      <c r="D55" s="254" t="s">
        <v>23</v>
      </c>
      <c r="E55" s="29" t="s">
        <v>22</v>
      </c>
      <c r="F55" s="30">
        <f>'11C (SS)Sem 2'!E20</f>
        <v>95</v>
      </c>
      <c r="G55" s="30">
        <f>'11C (SS)Sem 2'!F20</f>
        <v>94</v>
      </c>
      <c r="H55" s="30">
        <f>'11C (SS)Sem 2'!G20</f>
        <v>100</v>
      </c>
      <c r="I55" s="30">
        <f>'11C (SS)Sem 2'!H20</f>
        <v>100</v>
      </c>
      <c r="J55" s="30">
        <f>'11C (SS)Sem 2'!I20</f>
        <v>96</v>
      </c>
      <c r="K55" s="30">
        <f>'11C (SS)Sem 2'!J20</f>
        <v>99</v>
      </c>
      <c r="L55" s="30">
        <f>'11C (SS)Sem 2'!K20</f>
        <v>94</v>
      </c>
      <c r="M55" s="30">
        <f>'11C (SS)Sem 2'!L20</f>
        <v>100</v>
      </c>
      <c r="N55" s="30">
        <f>'11C (SS)Sem 2'!M20</f>
        <v>99</v>
      </c>
      <c r="O55" s="30">
        <f>'11C (SS)Sem 2'!N20</f>
        <v>99</v>
      </c>
      <c r="P55" s="30">
        <f>'11C (SS)Sem 2'!O20</f>
        <v>976</v>
      </c>
      <c r="Q55" s="198">
        <f>'11C (SS)Sem 2'!P20</f>
        <v>97.6</v>
      </c>
      <c r="R55" s="105">
        <f>'11C (SS)Sem 2'!Q20</f>
        <v>1</v>
      </c>
      <c r="S55" s="105">
        <f>'11C (SS)Sem 2'!R20</f>
        <v>0</v>
      </c>
      <c r="T55" s="105">
        <f>'11C (SS)Sem 2'!S20</f>
        <v>0</v>
      </c>
      <c r="U55" s="6"/>
      <c r="V55" s="6"/>
      <c r="W55" s="6"/>
      <c r="X55" s="6"/>
      <c r="Y55" s="6"/>
    </row>
    <row r="56" spans="1:25" ht="20.100000000000001" customHeight="1" thickBot="1" x14ac:dyDescent="0.3">
      <c r="A56" s="252"/>
      <c r="B56" s="247"/>
      <c r="C56" s="253">
        <v>17</v>
      </c>
      <c r="D56" s="254" t="s">
        <v>23</v>
      </c>
      <c r="E56" s="29" t="s">
        <v>16</v>
      </c>
      <c r="F56" s="30">
        <f>AVERAGE(F54:F55)</f>
        <v>94.5</v>
      </c>
      <c r="G56" s="30">
        <f t="shared" ref="G56:Q56" si="16">AVERAGE(G54:G55)</f>
        <v>93</v>
      </c>
      <c r="H56" s="30">
        <f t="shared" si="16"/>
        <v>99</v>
      </c>
      <c r="I56" s="30">
        <f t="shared" si="16"/>
        <v>100</v>
      </c>
      <c r="J56" s="30">
        <f t="shared" si="16"/>
        <v>98</v>
      </c>
      <c r="K56" s="30">
        <f t="shared" si="16"/>
        <v>91</v>
      </c>
      <c r="L56" s="30">
        <f t="shared" si="16"/>
        <v>97</v>
      </c>
      <c r="M56" s="30">
        <f t="shared" si="16"/>
        <v>100</v>
      </c>
      <c r="N56" s="30">
        <f t="shared" si="16"/>
        <v>99</v>
      </c>
      <c r="O56" s="30">
        <f t="shared" si="16"/>
        <v>98</v>
      </c>
      <c r="P56" s="30">
        <f t="shared" si="16"/>
        <v>969.5</v>
      </c>
      <c r="Q56" s="198">
        <f t="shared" si="16"/>
        <v>96.949999999999989</v>
      </c>
      <c r="R56" s="30">
        <f>'11C Sem avr (SS)'!$H$20</f>
        <v>1</v>
      </c>
      <c r="S56" s="30">
        <f>AVERAGE(S54:S55)</f>
        <v>0</v>
      </c>
      <c r="T56" s="30">
        <f>AVERAGE(T54:T55)</f>
        <v>0</v>
      </c>
      <c r="U56" s="6"/>
      <c r="V56" s="6"/>
      <c r="W56" s="6"/>
      <c r="X56" s="6"/>
      <c r="Y56" s="6"/>
    </row>
    <row r="57" spans="1:25" ht="20.100000000000001" customHeight="1" thickBot="1" x14ac:dyDescent="0.3">
      <c r="A57" s="252">
        <v>18</v>
      </c>
      <c r="B57" s="247"/>
      <c r="C57" s="247">
        <v>16</v>
      </c>
      <c r="D57" s="255" t="s">
        <v>23</v>
      </c>
      <c r="E57" s="29" t="s">
        <v>21</v>
      </c>
      <c r="F57" s="30">
        <f>'11C (SS)Sem 1'!E21</f>
        <v>75</v>
      </c>
      <c r="G57" s="30">
        <f>'11C (SS)Sem 1'!F21</f>
        <v>54</v>
      </c>
      <c r="H57" s="31">
        <f>'11C (SS)Sem 1'!G21</f>
        <v>54</v>
      </c>
      <c r="I57" s="30">
        <f>'11C (SS)Sem 1'!H21</f>
        <v>64</v>
      </c>
      <c r="J57" s="30">
        <f>'11C (SS)Sem 1'!I21</f>
        <v>65</v>
      </c>
      <c r="K57" s="30">
        <f>'11C (SS)Sem 1'!J21</f>
        <v>68</v>
      </c>
      <c r="L57" s="30">
        <f>'11C (SS)Sem 1'!K21</f>
        <v>85</v>
      </c>
      <c r="M57" s="30">
        <f>'11C (SS)Sem 1'!L21</f>
        <v>91</v>
      </c>
      <c r="N57" s="30">
        <f>'11C (SS)Sem 1'!M21</f>
        <v>68</v>
      </c>
      <c r="O57" s="30">
        <f>'11C (SS)Sem 1'!N21</f>
        <v>61</v>
      </c>
      <c r="P57" s="30">
        <f>'11C (SS)Sem 1'!O21</f>
        <v>685</v>
      </c>
      <c r="Q57" s="198">
        <f>'11C (SS)Sem 1'!P21</f>
        <v>68.5</v>
      </c>
      <c r="R57" s="105">
        <f>'11C (SS)Sem 1'!Q21</f>
        <v>20</v>
      </c>
      <c r="S57" s="105">
        <f>'11C (SS)Sem 1'!R21</f>
        <v>0</v>
      </c>
      <c r="T57" s="105">
        <f>'11C (SS)Sem 1'!S21</f>
        <v>0</v>
      </c>
      <c r="U57" s="6"/>
      <c r="V57" s="6"/>
      <c r="W57" s="6"/>
      <c r="X57" s="6"/>
      <c r="Y57" s="6"/>
    </row>
    <row r="58" spans="1:25" ht="20.100000000000001" customHeight="1" thickBot="1" x14ac:dyDescent="0.3">
      <c r="A58" s="252"/>
      <c r="B58" s="247"/>
      <c r="C58" s="247">
        <v>16</v>
      </c>
      <c r="D58" s="256" t="s">
        <v>23</v>
      </c>
      <c r="E58" s="29" t="s">
        <v>22</v>
      </c>
      <c r="F58" s="30">
        <f>'11C (SS)Sem 2'!E21</f>
        <v>79</v>
      </c>
      <c r="G58" s="30">
        <f>'11C (SS)Sem 2'!F21</f>
        <v>76</v>
      </c>
      <c r="H58" s="31">
        <f>'11C (SS)Sem 2'!G21</f>
        <v>56</v>
      </c>
      <c r="I58" s="30">
        <f>'11C (SS)Sem 2'!H21</f>
        <v>70</v>
      </c>
      <c r="J58" s="30">
        <f>'11C (SS)Sem 2'!I21</f>
        <v>67</v>
      </c>
      <c r="K58" s="30">
        <f>'11C (SS)Sem 2'!J21</f>
        <v>71</v>
      </c>
      <c r="L58" s="30">
        <f>'11C (SS)Sem 2'!K21</f>
        <v>84</v>
      </c>
      <c r="M58" s="30">
        <f>'11C (SS)Sem 2'!L21</f>
        <v>89</v>
      </c>
      <c r="N58" s="30">
        <f>'11C (SS)Sem 2'!M21</f>
        <v>67</v>
      </c>
      <c r="O58" s="30">
        <f>'11C (SS)Sem 2'!N21</f>
        <v>64</v>
      </c>
      <c r="P58" s="30">
        <f>'11C (SS)Sem 2'!O21</f>
        <v>723</v>
      </c>
      <c r="Q58" s="198">
        <f>'11C (SS)Sem 2'!P21</f>
        <v>72.3</v>
      </c>
      <c r="R58" s="105">
        <f>'11C (SS)Sem 2'!Q21</f>
        <v>23</v>
      </c>
      <c r="S58" s="105">
        <f>'11C (SS)Sem 2'!R21</f>
        <v>0</v>
      </c>
      <c r="T58" s="105">
        <f>'11C (SS)Sem 2'!S21</f>
        <v>0</v>
      </c>
      <c r="U58" s="6"/>
      <c r="V58" s="6"/>
      <c r="W58" s="6"/>
      <c r="X58" s="6"/>
      <c r="Y58" s="6"/>
    </row>
    <row r="59" spans="1:25" ht="20.100000000000001" customHeight="1" thickBot="1" x14ac:dyDescent="0.3">
      <c r="A59" s="252"/>
      <c r="B59" s="247"/>
      <c r="C59" s="247">
        <v>16</v>
      </c>
      <c r="D59" s="257" t="s">
        <v>23</v>
      </c>
      <c r="E59" s="29" t="s">
        <v>16</v>
      </c>
      <c r="F59" s="30">
        <f>AVERAGE(F57:F58)</f>
        <v>77</v>
      </c>
      <c r="G59" s="30">
        <f t="shared" ref="G59:Q59" si="17">AVERAGE(G57:G58)</f>
        <v>65</v>
      </c>
      <c r="H59" s="30">
        <f t="shared" si="17"/>
        <v>55</v>
      </c>
      <c r="I59" s="30">
        <f t="shared" si="17"/>
        <v>67</v>
      </c>
      <c r="J59" s="30">
        <f t="shared" si="17"/>
        <v>66</v>
      </c>
      <c r="K59" s="30">
        <f t="shared" si="17"/>
        <v>69.5</v>
      </c>
      <c r="L59" s="30">
        <f t="shared" si="17"/>
        <v>84.5</v>
      </c>
      <c r="M59" s="30">
        <f t="shared" si="17"/>
        <v>90</v>
      </c>
      <c r="N59" s="30">
        <f t="shared" si="17"/>
        <v>67.5</v>
      </c>
      <c r="O59" s="30">
        <f t="shared" si="17"/>
        <v>62.5</v>
      </c>
      <c r="P59" s="30">
        <f t="shared" si="17"/>
        <v>704</v>
      </c>
      <c r="Q59" s="198">
        <f t="shared" si="17"/>
        <v>70.400000000000006</v>
      </c>
      <c r="R59" s="30">
        <f>'11C Sem avr (SS)'!$H$21</f>
        <v>23</v>
      </c>
      <c r="S59" s="30">
        <f>AVERAGE(S57:S58)</f>
        <v>0</v>
      </c>
      <c r="T59" s="30">
        <f>AVERAGE(T57:T58)</f>
        <v>0</v>
      </c>
      <c r="U59" s="6"/>
      <c r="V59" s="6"/>
      <c r="W59" s="6"/>
      <c r="X59" s="6"/>
      <c r="Y59" s="6"/>
    </row>
    <row r="60" spans="1:25" ht="20.100000000000001" customHeight="1" thickBot="1" x14ac:dyDescent="0.3">
      <c r="A60" s="246">
        <v>19</v>
      </c>
      <c r="B60" s="247"/>
      <c r="C60" s="247">
        <v>16</v>
      </c>
      <c r="D60" s="248" t="s">
        <v>20</v>
      </c>
      <c r="E60" s="29" t="s">
        <v>21</v>
      </c>
      <c r="F60" s="30">
        <f>'11C (SS)Sem 1'!E22</f>
        <v>80</v>
      </c>
      <c r="G60" s="30">
        <f>'11C (SS)Sem 1'!F22</f>
        <v>75</v>
      </c>
      <c r="H60" s="30">
        <f>'11C (SS)Sem 1'!G22</f>
        <v>57</v>
      </c>
      <c r="I60" s="30">
        <f>'11C (SS)Sem 1'!H22</f>
        <v>73</v>
      </c>
      <c r="J60" s="30">
        <f>'11C (SS)Sem 1'!I22</f>
        <v>80</v>
      </c>
      <c r="K60" s="30">
        <f>'11C (SS)Sem 1'!J22</f>
        <v>71</v>
      </c>
      <c r="L60" s="30">
        <f>'11C (SS)Sem 1'!K22</f>
        <v>94</v>
      </c>
      <c r="M60" s="30">
        <f>'11C (SS)Sem 1'!L22</f>
        <v>96</v>
      </c>
      <c r="N60" s="30">
        <f>'11C (SS)Sem 1'!M22</f>
        <v>80</v>
      </c>
      <c r="O60" s="30">
        <f>'11C (SS)Sem 1'!N22</f>
        <v>82</v>
      </c>
      <c r="P60" s="30">
        <f>'11C (SS)Sem 1'!O22</f>
        <v>788</v>
      </c>
      <c r="Q60" s="198">
        <f>'11C (SS)Sem 1'!P22</f>
        <v>78.8</v>
      </c>
      <c r="R60" s="105">
        <f>'11C (SS)Sem 1'!Q22</f>
        <v>10</v>
      </c>
      <c r="S60" s="105">
        <f>'11C (SS)Sem 1'!R22</f>
        <v>0</v>
      </c>
      <c r="T60" s="105">
        <f>'11C (SS)Sem 1'!S22</f>
        <v>0</v>
      </c>
      <c r="U60" s="6"/>
      <c r="V60" s="6"/>
      <c r="W60" s="6"/>
      <c r="X60" s="6"/>
      <c r="Y60" s="6"/>
    </row>
    <row r="61" spans="1:25" ht="20.100000000000001" customHeight="1" thickBot="1" x14ac:dyDescent="0.3">
      <c r="A61" s="246"/>
      <c r="B61" s="247"/>
      <c r="C61" s="247">
        <v>16</v>
      </c>
      <c r="D61" s="248" t="s">
        <v>20</v>
      </c>
      <c r="E61" s="29" t="s">
        <v>22</v>
      </c>
      <c r="F61" s="30">
        <f>'11C (SS)Sem 2'!E22</f>
        <v>89</v>
      </c>
      <c r="G61" s="30">
        <f>'11C (SS)Sem 2'!F22</f>
        <v>79</v>
      </c>
      <c r="H61" s="30">
        <f>'11C (SS)Sem 2'!G22</f>
        <v>88</v>
      </c>
      <c r="I61" s="30">
        <f>'11C (SS)Sem 2'!H22</f>
        <v>85</v>
      </c>
      <c r="J61" s="30">
        <f>'11C (SS)Sem 2'!I22</f>
        <v>84</v>
      </c>
      <c r="K61" s="30">
        <f>'11C (SS)Sem 2'!J22</f>
        <v>90</v>
      </c>
      <c r="L61" s="30">
        <f>'11C (SS)Sem 2'!K22</f>
        <v>90</v>
      </c>
      <c r="M61" s="30">
        <f>'11C (SS)Sem 2'!L22</f>
        <v>92</v>
      </c>
      <c r="N61" s="30">
        <f>'11C (SS)Sem 2'!M22</f>
        <v>82</v>
      </c>
      <c r="O61" s="30">
        <f>'11C (SS)Sem 2'!N22</f>
        <v>88</v>
      </c>
      <c r="P61" s="30">
        <f>'11C (SS)Sem 2'!O22</f>
        <v>867</v>
      </c>
      <c r="Q61" s="198">
        <f>'11C (SS)Sem 2'!P22</f>
        <v>86.7</v>
      </c>
      <c r="R61" s="105">
        <f>'11C (SS)Sem 2'!Q22</f>
        <v>8</v>
      </c>
      <c r="S61" s="105">
        <f>'11C (SS)Sem 2'!R22</f>
        <v>0</v>
      </c>
      <c r="T61" s="105">
        <f>'11C (SS)Sem 2'!S22</f>
        <v>0</v>
      </c>
      <c r="U61" s="6"/>
      <c r="V61" s="6"/>
      <c r="W61" s="6"/>
      <c r="X61" s="6"/>
      <c r="Y61" s="6"/>
    </row>
    <row r="62" spans="1:25" ht="20.100000000000001" customHeight="1" thickBot="1" x14ac:dyDescent="0.3">
      <c r="A62" s="246"/>
      <c r="B62" s="247"/>
      <c r="C62" s="247">
        <v>16</v>
      </c>
      <c r="D62" s="248" t="s">
        <v>20</v>
      </c>
      <c r="E62" s="29" t="s">
        <v>16</v>
      </c>
      <c r="F62" s="30">
        <f>AVERAGE(F60:F61)</f>
        <v>84.5</v>
      </c>
      <c r="G62" s="30">
        <f t="shared" ref="G62:Q62" si="18">AVERAGE(G60:G61)</f>
        <v>77</v>
      </c>
      <c r="H62" s="30">
        <f t="shared" si="18"/>
        <v>72.5</v>
      </c>
      <c r="I62" s="30">
        <f t="shared" si="18"/>
        <v>79</v>
      </c>
      <c r="J62" s="30">
        <f t="shared" si="18"/>
        <v>82</v>
      </c>
      <c r="K62" s="30">
        <f t="shared" si="18"/>
        <v>80.5</v>
      </c>
      <c r="L62" s="30">
        <f t="shared" si="18"/>
        <v>92</v>
      </c>
      <c r="M62" s="30">
        <f t="shared" si="18"/>
        <v>94</v>
      </c>
      <c r="N62" s="30">
        <f t="shared" si="18"/>
        <v>81</v>
      </c>
      <c r="O62" s="30">
        <f t="shared" si="18"/>
        <v>85</v>
      </c>
      <c r="P62" s="30">
        <f t="shared" si="18"/>
        <v>827.5</v>
      </c>
      <c r="Q62" s="198">
        <f t="shared" si="18"/>
        <v>82.75</v>
      </c>
      <c r="R62" s="30">
        <f>'11C Sem avr (SS)'!$H$22</f>
        <v>9</v>
      </c>
      <c r="S62" s="30">
        <f>AVERAGE(S60:S61)</f>
        <v>0</v>
      </c>
      <c r="T62" s="30">
        <f>AVERAGE(T60:T61)</f>
        <v>0</v>
      </c>
      <c r="U62" s="6"/>
      <c r="V62" s="6"/>
      <c r="W62" s="6"/>
      <c r="X62" s="6"/>
      <c r="Y62" s="6"/>
    </row>
    <row r="63" spans="1:25" ht="20.100000000000001" customHeight="1" thickBot="1" x14ac:dyDescent="0.3">
      <c r="A63" s="246">
        <v>20</v>
      </c>
      <c r="B63" s="247"/>
      <c r="C63" s="253">
        <v>17</v>
      </c>
      <c r="D63" s="254" t="s">
        <v>23</v>
      </c>
      <c r="E63" s="29" t="s">
        <v>21</v>
      </c>
      <c r="F63" s="30">
        <f>'11C (SS)Sem 1'!E23</f>
        <v>78</v>
      </c>
      <c r="G63" s="30">
        <f>'11C (SS)Sem 1'!F23</f>
        <v>72</v>
      </c>
      <c r="H63" s="30">
        <f>'11C (SS)Sem 1'!G23</f>
        <v>50</v>
      </c>
      <c r="I63" s="30">
        <f>'11C (SS)Sem 1'!H23</f>
        <v>69</v>
      </c>
      <c r="J63" s="30">
        <f>'11C (SS)Sem 1'!I23</f>
        <v>65</v>
      </c>
      <c r="K63" s="30">
        <f>'11C (SS)Sem 1'!J23</f>
        <v>70</v>
      </c>
      <c r="L63" s="30">
        <f>'11C (SS)Sem 1'!K23</f>
        <v>78</v>
      </c>
      <c r="M63" s="30">
        <f>'11C (SS)Sem 1'!L23</f>
        <v>92</v>
      </c>
      <c r="N63" s="30">
        <f>'11C (SS)Sem 1'!M23</f>
        <v>62</v>
      </c>
      <c r="O63" s="30">
        <f>'11C (SS)Sem 1'!N23</f>
        <v>74</v>
      </c>
      <c r="P63" s="30">
        <f>'11C (SS)Sem 1'!O23</f>
        <v>710</v>
      </c>
      <c r="Q63" s="198">
        <f>'11C (SS)Sem 1'!P23</f>
        <v>71</v>
      </c>
      <c r="R63" s="105">
        <f>'11C (SS)Sem 1'!Q23</f>
        <v>17</v>
      </c>
      <c r="S63" s="105">
        <f>'11C (SS)Sem 1'!R23</f>
        <v>0</v>
      </c>
      <c r="T63" s="105">
        <f>'11C (SS)Sem 1'!S23</f>
        <v>0</v>
      </c>
      <c r="U63" s="6"/>
      <c r="V63" s="6"/>
      <c r="W63" s="6"/>
      <c r="X63" s="6"/>
      <c r="Y63" s="6"/>
    </row>
    <row r="64" spans="1:25" ht="20.100000000000001" customHeight="1" thickBot="1" x14ac:dyDescent="0.3">
      <c r="A64" s="246"/>
      <c r="B64" s="247"/>
      <c r="C64" s="253">
        <v>17</v>
      </c>
      <c r="D64" s="254" t="s">
        <v>23</v>
      </c>
      <c r="E64" s="29" t="s">
        <v>22</v>
      </c>
      <c r="F64" s="30">
        <f>'11C (SS)Sem 2'!E23</f>
        <v>84</v>
      </c>
      <c r="G64" s="30">
        <f>'11C (SS)Sem 2'!F23</f>
        <v>76</v>
      </c>
      <c r="H64" s="30">
        <f>'11C (SS)Sem 2'!G23</f>
        <v>64</v>
      </c>
      <c r="I64" s="30">
        <f>'11C (SS)Sem 2'!H23</f>
        <v>73</v>
      </c>
      <c r="J64" s="30">
        <f>'11C (SS)Sem 2'!I23</f>
        <v>68</v>
      </c>
      <c r="K64" s="30">
        <f>'11C (SS)Sem 2'!J23</f>
        <v>83</v>
      </c>
      <c r="L64" s="30">
        <f>'11C (SS)Sem 2'!K23</f>
        <v>78</v>
      </c>
      <c r="M64" s="30">
        <f>'11C (SS)Sem 2'!L23</f>
        <v>89</v>
      </c>
      <c r="N64" s="30">
        <f>'11C (SS)Sem 2'!M23</f>
        <v>64</v>
      </c>
      <c r="O64" s="30">
        <f>'11C (SS)Sem 2'!N23</f>
        <v>65</v>
      </c>
      <c r="P64" s="30">
        <f>'11C (SS)Sem 2'!O23</f>
        <v>744</v>
      </c>
      <c r="Q64" s="198">
        <f>'11C (SS)Sem 2'!P23</f>
        <v>74.400000000000006</v>
      </c>
      <c r="R64" s="105">
        <f>'11C (SS)Sem 2'!Q23</f>
        <v>21</v>
      </c>
      <c r="S64" s="105">
        <f>'11C (SS)Sem 2'!R23</f>
        <v>0</v>
      </c>
      <c r="T64" s="105">
        <f>'11C (SS)Sem 2'!S23</f>
        <v>0</v>
      </c>
      <c r="U64" s="6"/>
      <c r="V64" s="6"/>
      <c r="W64" s="6"/>
      <c r="X64" s="6"/>
      <c r="Y64" s="6"/>
    </row>
    <row r="65" spans="1:25" ht="20.100000000000001" customHeight="1" thickBot="1" x14ac:dyDescent="0.3">
      <c r="A65" s="246"/>
      <c r="B65" s="247"/>
      <c r="C65" s="253">
        <v>17</v>
      </c>
      <c r="D65" s="254" t="s">
        <v>23</v>
      </c>
      <c r="E65" s="29" t="s">
        <v>16</v>
      </c>
      <c r="F65" s="30">
        <f>AVERAGE(F63:F64)</f>
        <v>81</v>
      </c>
      <c r="G65" s="30">
        <f t="shared" ref="G65:Q65" si="19">AVERAGE(G63:G64)</f>
        <v>74</v>
      </c>
      <c r="H65" s="30">
        <f t="shared" si="19"/>
        <v>57</v>
      </c>
      <c r="I65" s="30">
        <f t="shared" si="19"/>
        <v>71</v>
      </c>
      <c r="J65" s="30">
        <f t="shared" si="19"/>
        <v>66.5</v>
      </c>
      <c r="K65" s="30">
        <f t="shared" si="19"/>
        <v>76.5</v>
      </c>
      <c r="L65" s="30">
        <f t="shared" si="19"/>
        <v>78</v>
      </c>
      <c r="M65" s="30">
        <f t="shared" si="19"/>
        <v>90.5</v>
      </c>
      <c r="N65" s="30">
        <f t="shared" si="19"/>
        <v>63</v>
      </c>
      <c r="O65" s="30">
        <f t="shared" si="19"/>
        <v>69.5</v>
      </c>
      <c r="P65" s="30">
        <f t="shared" si="19"/>
        <v>727</v>
      </c>
      <c r="Q65" s="198">
        <f t="shared" si="19"/>
        <v>72.7</v>
      </c>
      <c r="R65" s="30">
        <f>'11C Sem avr (SS)'!$H$23</f>
        <v>19</v>
      </c>
      <c r="S65" s="30">
        <f>AVERAGE(S63:S64)</f>
        <v>0</v>
      </c>
      <c r="T65" s="30">
        <f>AVERAGE(T63:T64)</f>
        <v>0</v>
      </c>
      <c r="U65" s="6"/>
      <c r="V65" s="6"/>
      <c r="W65" s="6"/>
      <c r="X65" s="6"/>
      <c r="Y65" s="6"/>
    </row>
    <row r="66" spans="1:25" ht="20.100000000000001" customHeight="1" thickBot="1" x14ac:dyDescent="0.3">
      <c r="A66" s="246">
        <v>21</v>
      </c>
      <c r="B66" s="247"/>
      <c r="C66" s="253">
        <v>15</v>
      </c>
      <c r="D66" s="254" t="s">
        <v>23</v>
      </c>
      <c r="E66" s="29" t="s">
        <v>21</v>
      </c>
      <c r="F66" s="30">
        <f>'11C (SS)Sem 1'!E24</f>
        <v>83</v>
      </c>
      <c r="G66" s="30">
        <f>'11C (SS)Sem 1'!F24</f>
        <v>70</v>
      </c>
      <c r="H66" s="30">
        <f>'11C (SS)Sem 1'!G24</f>
        <v>60</v>
      </c>
      <c r="I66" s="30">
        <f>'11C (SS)Sem 1'!H24</f>
        <v>62</v>
      </c>
      <c r="J66" s="30">
        <f>'11C (SS)Sem 1'!I24</f>
        <v>74</v>
      </c>
      <c r="K66" s="30">
        <f>'11C (SS)Sem 1'!J24</f>
        <v>58</v>
      </c>
      <c r="L66" s="30">
        <f>'11C (SS)Sem 1'!K24</f>
        <v>89</v>
      </c>
      <c r="M66" s="30">
        <f>'11C (SS)Sem 1'!L24</f>
        <v>81</v>
      </c>
      <c r="N66" s="30">
        <f>'11C (SS)Sem 1'!M24</f>
        <v>67</v>
      </c>
      <c r="O66" s="30">
        <f>'11C (SS)Sem 1'!N24</f>
        <v>68</v>
      </c>
      <c r="P66" s="30">
        <f>'11C (SS)Sem 1'!O24</f>
        <v>712</v>
      </c>
      <c r="Q66" s="198">
        <f>'11C (SS)Sem 1'!P24</f>
        <v>71.2</v>
      </c>
      <c r="R66" s="105">
        <f>'11C (SS)Sem 1'!Q24</f>
        <v>16</v>
      </c>
      <c r="S66" s="105">
        <f>'11C (SS)Sem 1'!R24</f>
        <v>0</v>
      </c>
      <c r="T66" s="105">
        <f>'11C (SS)Sem 1'!S24</f>
        <v>0</v>
      </c>
      <c r="U66" s="6"/>
      <c r="V66" s="6"/>
      <c r="W66" s="6"/>
      <c r="X66" s="6"/>
      <c r="Y66" s="6"/>
    </row>
    <row r="67" spans="1:25" ht="20.100000000000001" customHeight="1" thickBot="1" x14ac:dyDescent="0.3">
      <c r="A67" s="246"/>
      <c r="B67" s="247"/>
      <c r="C67" s="253">
        <v>15</v>
      </c>
      <c r="D67" s="254" t="s">
        <v>23</v>
      </c>
      <c r="E67" s="29" t="s">
        <v>22</v>
      </c>
      <c r="F67" s="30">
        <f>'11C (SS)Sem 2'!E24</f>
        <v>91</v>
      </c>
      <c r="G67" s="30">
        <f>'11C (SS)Sem 2'!F24</f>
        <v>79</v>
      </c>
      <c r="H67" s="30">
        <f>'11C (SS)Sem 2'!G24</f>
        <v>55</v>
      </c>
      <c r="I67" s="30">
        <f>'11C (SS)Sem 2'!H24</f>
        <v>71</v>
      </c>
      <c r="J67" s="30">
        <f>'11C (SS)Sem 2'!I24</f>
        <v>68</v>
      </c>
      <c r="K67" s="30">
        <f>'11C (SS)Sem 2'!J24</f>
        <v>86</v>
      </c>
      <c r="L67" s="30">
        <f>'11C (SS)Sem 2'!K24</f>
        <v>88</v>
      </c>
      <c r="M67" s="30">
        <f>'11C (SS)Sem 2'!L24</f>
        <v>89</v>
      </c>
      <c r="N67" s="30">
        <f>'11C (SS)Sem 2'!M24</f>
        <v>65</v>
      </c>
      <c r="O67" s="30">
        <f>'11C (SS)Sem 2'!N24</f>
        <v>79</v>
      </c>
      <c r="P67" s="30">
        <f>'11C (SS)Sem 2'!O24</f>
        <v>771</v>
      </c>
      <c r="Q67" s="198">
        <f>'11C (SS)Sem 2'!P24</f>
        <v>77.099999999999994</v>
      </c>
      <c r="R67" s="105">
        <f>'11C (SS)Sem 2'!Q24</f>
        <v>16</v>
      </c>
      <c r="S67" s="105">
        <f>'11C (SS)Sem 2'!R24</f>
        <v>0</v>
      </c>
      <c r="T67" s="105">
        <f>'11C (SS)Sem 2'!S24</f>
        <v>0</v>
      </c>
      <c r="U67" s="6"/>
      <c r="V67" s="6"/>
      <c r="W67" s="6"/>
      <c r="X67" s="6"/>
      <c r="Y67" s="6"/>
    </row>
    <row r="68" spans="1:25" ht="20.100000000000001" customHeight="1" thickBot="1" x14ac:dyDescent="0.3">
      <c r="A68" s="246"/>
      <c r="B68" s="247"/>
      <c r="C68" s="253">
        <v>15</v>
      </c>
      <c r="D68" s="254" t="s">
        <v>23</v>
      </c>
      <c r="E68" s="29" t="s">
        <v>16</v>
      </c>
      <c r="F68" s="30">
        <f>AVERAGE(F66:F67)</f>
        <v>87</v>
      </c>
      <c r="G68" s="30">
        <f t="shared" ref="G68:Q68" si="20">AVERAGE(G66:G67)</f>
        <v>74.5</v>
      </c>
      <c r="H68" s="30">
        <f t="shared" si="20"/>
        <v>57.5</v>
      </c>
      <c r="I68" s="30">
        <f t="shared" si="20"/>
        <v>66.5</v>
      </c>
      <c r="J68" s="30">
        <f t="shared" si="20"/>
        <v>71</v>
      </c>
      <c r="K68" s="30">
        <f t="shared" si="20"/>
        <v>72</v>
      </c>
      <c r="L68" s="30">
        <f t="shared" si="20"/>
        <v>88.5</v>
      </c>
      <c r="M68" s="30">
        <f t="shared" si="20"/>
        <v>85</v>
      </c>
      <c r="N68" s="30">
        <f t="shared" si="20"/>
        <v>66</v>
      </c>
      <c r="O68" s="30">
        <f t="shared" si="20"/>
        <v>73.5</v>
      </c>
      <c r="P68" s="30">
        <f t="shared" si="20"/>
        <v>741.5</v>
      </c>
      <c r="Q68" s="198">
        <f t="shared" si="20"/>
        <v>74.150000000000006</v>
      </c>
      <c r="R68" s="30">
        <f>'11C Sem avr (SS)'!$H$24</f>
        <v>17</v>
      </c>
      <c r="S68" s="30">
        <f>AVERAGE(S66:S67)</f>
        <v>0</v>
      </c>
      <c r="T68" s="30">
        <f>AVERAGE(T66:T67)</f>
        <v>0</v>
      </c>
      <c r="U68" s="6"/>
      <c r="V68" s="6"/>
      <c r="W68" s="6"/>
      <c r="X68" s="6"/>
      <c r="Y68" s="6"/>
    </row>
    <row r="69" spans="1:25" ht="20.100000000000001" customHeight="1" thickBot="1" x14ac:dyDescent="0.3">
      <c r="A69" s="252">
        <v>22</v>
      </c>
      <c r="B69" s="247"/>
      <c r="C69" s="247">
        <v>16</v>
      </c>
      <c r="D69" s="248" t="s">
        <v>23</v>
      </c>
      <c r="E69" s="29" t="s">
        <v>21</v>
      </c>
      <c r="F69" s="30">
        <f>'11C (SS)Sem 1'!E25</f>
        <v>67</v>
      </c>
      <c r="G69" s="30">
        <f>'11C (SS)Sem 1'!F25</f>
        <v>69</v>
      </c>
      <c r="H69" s="30">
        <f>'11C (SS)Sem 1'!G25</f>
        <v>53</v>
      </c>
      <c r="I69" s="30">
        <f>'11C (SS)Sem 1'!H25</f>
        <v>63</v>
      </c>
      <c r="J69" s="30">
        <f>'11C (SS)Sem 1'!I25</f>
        <v>63</v>
      </c>
      <c r="K69" s="30">
        <f>'11C (SS)Sem 1'!J25</f>
        <v>58</v>
      </c>
      <c r="L69" s="30">
        <f>'11C (SS)Sem 1'!K25</f>
        <v>77</v>
      </c>
      <c r="M69" s="30">
        <f>'11C (SS)Sem 1'!L25</f>
        <v>83</v>
      </c>
      <c r="N69" s="30">
        <f>'11C (SS)Sem 1'!M25</f>
        <v>56</v>
      </c>
      <c r="O69" s="30">
        <f>'11C (SS)Sem 1'!N25</f>
        <v>69</v>
      </c>
      <c r="P69" s="30">
        <f>'11C (SS)Sem 1'!O25</f>
        <v>658</v>
      </c>
      <c r="Q69" s="198">
        <f>'11C (SS)Sem 1'!P25</f>
        <v>65.8</v>
      </c>
      <c r="R69" s="105">
        <f>'11C (SS)Sem 1'!Q25</f>
        <v>26</v>
      </c>
      <c r="S69" s="105">
        <f>'11C (SS)Sem 1'!R25</f>
        <v>0</v>
      </c>
      <c r="T69" s="105">
        <f>'11C (SS)Sem 1'!S25</f>
        <v>0</v>
      </c>
      <c r="U69" s="6"/>
      <c r="V69" s="6"/>
      <c r="W69" s="6"/>
      <c r="X69" s="6"/>
      <c r="Y69" s="6"/>
    </row>
    <row r="70" spans="1:25" ht="20.100000000000001" customHeight="1" thickBot="1" x14ac:dyDescent="0.3">
      <c r="A70" s="252"/>
      <c r="B70" s="247"/>
      <c r="C70" s="247">
        <v>16</v>
      </c>
      <c r="D70" s="248" t="s">
        <v>23</v>
      </c>
      <c r="E70" s="29" t="s">
        <v>22</v>
      </c>
      <c r="F70" s="30">
        <f>'11C (SS)Sem 2'!E25</f>
        <v>81</v>
      </c>
      <c r="G70" s="30">
        <f>'11C (SS)Sem 2'!F25</f>
        <v>76</v>
      </c>
      <c r="H70" s="30">
        <f>'11C (SS)Sem 2'!G25</f>
        <v>65</v>
      </c>
      <c r="I70" s="30">
        <f>'11C (SS)Sem 2'!H25</f>
        <v>80</v>
      </c>
      <c r="J70" s="30">
        <f>'11C (SS)Sem 2'!I25</f>
        <v>69</v>
      </c>
      <c r="K70" s="30">
        <f>'11C (SS)Sem 2'!J25</f>
        <v>81</v>
      </c>
      <c r="L70" s="30">
        <f>'11C (SS)Sem 2'!K25</f>
        <v>80</v>
      </c>
      <c r="M70" s="30">
        <f>'11C (SS)Sem 2'!L25</f>
        <v>99</v>
      </c>
      <c r="N70" s="30">
        <f>'11C (SS)Sem 2'!M25</f>
        <v>70</v>
      </c>
      <c r="O70" s="30">
        <f>'11C (SS)Sem 2'!N25</f>
        <v>86</v>
      </c>
      <c r="P70" s="30">
        <f>'11C (SS)Sem 2'!O25</f>
        <v>787</v>
      </c>
      <c r="Q70" s="198">
        <f>'11C (SS)Sem 2'!P25</f>
        <v>78.7</v>
      </c>
      <c r="R70" s="105">
        <f>'11C (SS)Sem 2'!Q25</f>
        <v>14</v>
      </c>
      <c r="S70" s="105">
        <f>'11C (SS)Sem 2'!R25</f>
        <v>0</v>
      </c>
      <c r="T70" s="105">
        <f>'11C (SS)Sem 2'!S25</f>
        <v>0</v>
      </c>
      <c r="U70" s="6"/>
      <c r="V70" s="6"/>
      <c r="W70" s="6"/>
      <c r="X70" s="6"/>
      <c r="Y70" s="6"/>
    </row>
    <row r="71" spans="1:25" ht="20.100000000000001" customHeight="1" thickBot="1" x14ac:dyDescent="0.3">
      <c r="A71" s="252"/>
      <c r="B71" s="247"/>
      <c r="C71" s="247">
        <v>16</v>
      </c>
      <c r="D71" s="248" t="s">
        <v>23</v>
      </c>
      <c r="E71" s="29" t="s">
        <v>16</v>
      </c>
      <c r="F71" s="30">
        <f>AVERAGE(F69:F70)</f>
        <v>74</v>
      </c>
      <c r="G71" s="30">
        <f t="shared" ref="G71:Q71" si="21">AVERAGE(G69:G70)</f>
        <v>72.5</v>
      </c>
      <c r="H71" s="30">
        <f t="shared" si="21"/>
        <v>59</v>
      </c>
      <c r="I71" s="30">
        <f t="shared" si="21"/>
        <v>71.5</v>
      </c>
      <c r="J71" s="30">
        <f t="shared" si="21"/>
        <v>66</v>
      </c>
      <c r="K71" s="30">
        <f t="shared" si="21"/>
        <v>69.5</v>
      </c>
      <c r="L71" s="30">
        <f t="shared" si="21"/>
        <v>78.5</v>
      </c>
      <c r="M71" s="30">
        <f t="shared" si="21"/>
        <v>91</v>
      </c>
      <c r="N71" s="30">
        <f t="shared" si="21"/>
        <v>63</v>
      </c>
      <c r="O71" s="30">
        <f t="shared" si="21"/>
        <v>77.5</v>
      </c>
      <c r="P71" s="30">
        <f t="shared" si="21"/>
        <v>722.5</v>
      </c>
      <c r="Q71" s="198">
        <f t="shared" si="21"/>
        <v>72.25</v>
      </c>
      <c r="R71" s="30">
        <f>'11C Sem avr (SS)'!$H$25</f>
        <v>20</v>
      </c>
      <c r="S71" s="30">
        <f>AVERAGE(S69:S70)</f>
        <v>0</v>
      </c>
      <c r="T71" s="30">
        <f>AVERAGE(T69:T70)</f>
        <v>0</v>
      </c>
      <c r="U71" s="6"/>
      <c r="V71" s="6"/>
      <c r="W71" s="6"/>
      <c r="X71" s="6"/>
      <c r="Y71" s="6"/>
    </row>
    <row r="72" spans="1:25" ht="20.100000000000001" customHeight="1" thickBot="1" x14ac:dyDescent="0.3">
      <c r="A72" s="252">
        <v>23</v>
      </c>
      <c r="B72" s="247"/>
      <c r="C72" s="247">
        <v>16</v>
      </c>
      <c r="D72" s="248" t="s">
        <v>23</v>
      </c>
      <c r="E72" s="29" t="s">
        <v>21</v>
      </c>
      <c r="F72" s="30">
        <f>'11C (SS)Sem 1'!E26</f>
        <v>84</v>
      </c>
      <c r="G72" s="30">
        <f>'11C (SS)Sem 1'!F26</f>
        <v>60</v>
      </c>
      <c r="H72" s="30">
        <f>'11C (SS)Sem 1'!G26</f>
        <v>54</v>
      </c>
      <c r="I72" s="30">
        <f>'11C (SS)Sem 1'!H26</f>
        <v>65</v>
      </c>
      <c r="J72" s="30">
        <f>'11C (SS)Sem 1'!I26</f>
        <v>57</v>
      </c>
      <c r="K72" s="30">
        <f>'11C (SS)Sem 1'!J26</f>
        <v>55</v>
      </c>
      <c r="L72" s="30">
        <f>'11C (SS)Sem 1'!K26</f>
        <v>79</v>
      </c>
      <c r="M72" s="30">
        <f>'11C (SS)Sem 1'!L26</f>
        <v>87</v>
      </c>
      <c r="N72" s="30">
        <f>'11C (SS)Sem 1'!M26</f>
        <v>69</v>
      </c>
      <c r="O72" s="30">
        <f>'11C (SS)Sem 1'!N26</f>
        <v>71</v>
      </c>
      <c r="P72" s="30">
        <f>'11C (SS)Sem 1'!O26</f>
        <v>681</v>
      </c>
      <c r="Q72" s="198">
        <f>'11C (SS)Sem 1'!P26</f>
        <v>68.099999999999994</v>
      </c>
      <c r="R72" s="105">
        <f>'11C (SS)Sem 1'!Q26</f>
        <v>21</v>
      </c>
      <c r="S72" s="105">
        <f>'11C (SS)Sem 1'!R26</f>
        <v>0</v>
      </c>
      <c r="T72" s="105">
        <f>'11C (SS)Sem 1'!S26</f>
        <v>0</v>
      </c>
      <c r="U72" s="6"/>
      <c r="V72" s="6"/>
      <c r="W72" s="6"/>
      <c r="X72" s="6"/>
      <c r="Y72" s="6"/>
    </row>
    <row r="73" spans="1:25" ht="20.100000000000001" customHeight="1" thickBot="1" x14ac:dyDescent="0.3">
      <c r="A73" s="252"/>
      <c r="B73" s="247"/>
      <c r="C73" s="247">
        <v>16</v>
      </c>
      <c r="D73" s="248" t="s">
        <v>23</v>
      </c>
      <c r="E73" s="29" t="s">
        <v>22</v>
      </c>
      <c r="F73" s="30">
        <f>'11C (SS)Sem 2'!E26</f>
        <v>86</v>
      </c>
      <c r="G73" s="30">
        <f>'11C (SS)Sem 2'!F26</f>
        <v>65</v>
      </c>
      <c r="H73" s="30">
        <f>'11C (SS)Sem 2'!G26</f>
        <v>63</v>
      </c>
      <c r="I73" s="30">
        <f>'11C (SS)Sem 2'!H26</f>
        <v>75</v>
      </c>
      <c r="J73" s="30">
        <f>'11C (SS)Sem 2'!I26</f>
        <v>74</v>
      </c>
      <c r="K73" s="30">
        <f>'11C (SS)Sem 2'!J26</f>
        <v>82</v>
      </c>
      <c r="L73" s="30">
        <f>'11C (SS)Sem 2'!K26</f>
        <v>87</v>
      </c>
      <c r="M73" s="30">
        <f>'11C (SS)Sem 2'!L26</f>
        <v>87</v>
      </c>
      <c r="N73" s="30">
        <f>'11C (SS)Sem 2'!M26</f>
        <v>67</v>
      </c>
      <c r="O73" s="30">
        <f>'11C (SS)Sem 2'!N26</f>
        <v>64</v>
      </c>
      <c r="P73" s="30">
        <f>'11C (SS)Sem 2'!O26</f>
        <v>750</v>
      </c>
      <c r="Q73" s="198">
        <f>'11C (SS)Sem 2'!P26</f>
        <v>75</v>
      </c>
      <c r="R73" s="105">
        <f>'11C (SS)Sem 2'!Q26</f>
        <v>20</v>
      </c>
      <c r="S73" s="105">
        <f>'11C (SS)Sem 2'!R26</f>
        <v>0</v>
      </c>
      <c r="T73" s="105">
        <f>'11C (SS)Sem 2'!S26</f>
        <v>0</v>
      </c>
      <c r="U73" s="6"/>
      <c r="V73" s="6"/>
      <c r="W73" s="6"/>
      <c r="X73" s="6"/>
      <c r="Y73" s="6"/>
    </row>
    <row r="74" spans="1:25" ht="20.100000000000001" customHeight="1" thickBot="1" x14ac:dyDescent="0.3">
      <c r="A74" s="252"/>
      <c r="B74" s="247"/>
      <c r="C74" s="247">
        <v>16</v>
      </c>
      <c r="D74" s="248" t="s">
        <v>23</v>
      </c>
      <c r="E74" s="29" t="s">
        <v>16</v>
      </c>
      <c r="F74" s="30">
        <f>AVERAGE(F72:F73)</f>
        <v>85</v>
      </c>
      <c r="G74" s="30">
        <f t="shared" ref="G74:Q74" si="22">AVERAGE(G72:G73)</f>
        <v>62.5</v>
      </c>
      <c r="H74" s="30">
        <f t="shared" si="22"/>
        <v>58.5</v>
      </c>
      <c r="I74" s="30">
        <f t="shared" si="22"/>
        <v>70</v>
      </c>
      <c r="J74" s="30">
        <f t="shared" si="22"/>
        <v>65.5</v>
      </c>
      <c r="K74" s="30">
        <f t="shared" si="22"/>
        <v>68.5</v>
      </c>
      <c r="L74" s="30">
        <f t="shared" si="22"/>
        <v>83</v>
      </c>
      <c r="M74" s="30">
        <f t="shared" si="22"/>
        <v>87</v>
      </c>
      <c r="N74" s="30">
        <f t="shared" si="22"/>
        <v>68</v>
      </c>
      <c r="O74" s="30">
        <f t="shared" si="22"/>
        <v>67.5</v>
      </c>
      <c r="P74" s="30">
        <f t="shared" si="22"/>
        <v>715.5</v>
      </c>
      <c r="Q74" s="198">
        <f t="shared" si="22"/>
        <v>71.55</v>
      </c>
      <c r="R74" s="30">
        <f>'11C Sem avr (SS)'!$H$26</f>
        <v>22</v>
      </c>
      <c r="S74" s="30">
        <f>AVERAGE(S72:S73)</f>
        <v>0</v>
      </c>
      <c r="T74" s="30">
        <f>AVERAGE(T72:T73)</f>
        <v>0</v>
      </c>
      <c r="U74" s="6"/>
      <c r="V74" s="6"/>
      <c r="W74" s="6"/>
      <c r="X74" s="6"/>
      <c r="Y74" s="6"/>
    </row>
    <row r="75" spans="1:25" ht="20.100000000000001" customHeight="1" thickBot="1" x14ac:dyDescent="0.3">
      <c r="A75" s="246">
        <v>24</v>
      </c>
      <c r="B75" s="247"/>
      <c r="C75" s="247">
        <v>16</v>
      </c>
      <c r="D75" s="248" t="s">
        <v>23</v>
      </c>
      <c r="E75" s="29" t="s">
        <v>21</v>
      </c>
      <c r="F75" s="30">
        <f>'11C (SS)Sem 1'!E27</f>
        <v>90</v>
      </c>
      <c r="G75" s="30">
        <f>'11C (SS)Sem 1'!F27</f>
        <v>84</v>
      </c>
      <c r="H75" s="31">
        <f>'11C (SS)Sem 1'!G27</f>
        <v>71</v>
      </c>
      <c r="I75" s="31">
        <f>'11C (SS)Sem 1'!H27</f>
        <v>88</v>
      </c>
      <c r="J75" s="30">
        <f>'11C (SS)Sem 1'!I27</f>
        <v>87</v>
      </c>
      <c r="K75" s="31">
        <f>'11C (SS)Sem 1'!J27</f>
        <v>77</v>
      </c>
      <c r="L75" s="30">
        <f>'11C (SS)Sem 1'!K27</f>
        <v>94</v>
      </c>
      <c r="M75" s="30">
        <f>'11C (SS)Sem 1'!L27</f>
        <v>87</v>
      </c>
      <c r="N75" s="30">
        <f>'11C (SS)Sem 1'!M27</f>
        <v>79</v>
      </c>
      <c r="O75" s="30">
        <f>'11C (SS)Sem 1'!N27</f>
        <v>88</v>
      </c>
      <c r="P75" s="30">
        <f>'11C (SS)Sem 1'!O27</f>
        <v>845</v>
      </c>
      <c r="Q75" s="198">
        <f>'11C (SS)Sem 1'!P27</f>
        <v>84.5</v>
      </c>
      <c r="R75" s="105">
        <f>'11C (SS)Sem 1'!Q27</f>
        <v>6</v>
      </c>
      <c r="S75" s="105">
        <f>'11C (SS)Sem 1'!R27</f>
        <v>0</v>
      </c>
      <c r="T75" s="105">
        <f>'11C (SS)Sem 1'!S27</f>
        <v>0</v>
      </c>
      <c r="U75" s="6"/>
      <c r="V75" s="6"/>
      <c r="W75" s="6"/>
      <c r="X75" s="6"/>
      <c r="Y75" s="6"/>
    </row>
    <row r="76" spans="1:25" ht="20.100000000000001" customHeight="1" thickBot="1" x14ac:dyDescent="0.3">
      <c r="A76" s="246"/>
      <c r="B76" s="247"/>
      <c r="C76" s="247">
        <v>16</v>
      </c>
      <c r="D76" s="248" t="s">
        <v>23</v>
      </c>
      <c r="E76" s="29" t="s">
        <v>22</v>
      </c>
      <c r="F76" s="30">
        <f>'11C (SS)Sem 2'!E27</f>
        <v>91</v>
      </c>
      <c r="G76" s="30">
        <f>'11C (SS)Sem 2'!F27</f>
        <v>91</v>
      </c>
      <c r="H76" s="31">
        <f>'11C (SS)Sem 2'!G27</f>
        <v>75</v>
      </c>
      <c r="I76" s="31">
        <f>'11C (SS)Sem 2'!H27</f>
        <v>89</v>
      </c>
      <c r="J76" s="30">
        <f>'11C (SS)Sem 2'!I27</f>
        <v>91</v>
      </c>
      <c r="K76" s="31">
        <f>'11C (SS)Sem 2'!J27</f>
        <v>94</v>
      </c>
      <c r="L76" s="30">
        <f>'11C (SS)Sem 2'!K27</f>
        <v>98</v>
      </c>
      <c r="M76" s="30">
        <f>'11C (SS)Sem 2'!L27</f>
        <v>95</v>
      </c>
      <c r="N76" s="30">
        <f>'11C (SS)Sem 2'!M27</f>
        <v>88</v>
      </c>
      <c r="O76" s="30">
        <f>'11C (SS)Sem 2'!N27</f>
        <v>91</v>
      </c>
      <c r="P76" s="30">
        <f>'11C (SS)Sem 2'!O27</f>
        <v>903</v>
      </c>
      <c r="Q76" s="198">
        <f>'11C (SS)Sem 2'!P27</f>
        <v>90.3</v>
      </c>
      <c r="R76" s="105">
        <f>'11C (SS)Sem 2'!Q27</f>
        <v>6</v>
      </c>
      <c r="S76" s="105">
        <f>'11C (SS)Sem 2'!R27</f>
        <v>0</v>
      </c>
      <c r="T76" s="105">
        <f>'11C (SS)Sem 2'!S27</f>
        <v>0</v>
      </c>
      <c r="U76" s="6"/>
      <c r="V76" s="6"/>
      <c r="W76" s="6"/>
      <c r="X76" s="6"/>
      <c r="Y76" s="6"/>
    </row>
    <row r="77" spans="1:25" ht="20.100000000000001" customHeight="1" thickBot="1" x14ac:dyDescent="0.3">
      <c r="A77" s="246"/>
      <c r="B77" s="247"/>
      <c r="C77" s="247">
        <v>16</v>
      </c>
      <c r="D77" s="248" t="s">
        <v>23</v>
      </c>
      <c r="E77" s="29" t="s">
        <v>16</v>
      </c>
      <c r="F77" s="30">
        <f>AVERAGE(F75:F76)</f>
        <v>90.5</v>
      </c>
      <c r="G77" s="30">
        <f t="shared" ref="G77:Q77" si="23">AVERAGE(G75:G76)</f>
        <v>87.5</v>
      </c>
      <c r="H77" s="30">
        <f t="shared" si="23"/>
        <v>73</v>
      </c>
      <c r="I77" s="30">
        <f t="shared" si="23"/>
        <v>88.5</v>
      </c>
      <c r="J77" s="30">
        <f t="shared" si="23"/>
        <v>89</v>
      </c>
      <c r="K77" s="30">
        <f t="shared" si="23"/>
        <v>85.5</v>
      </c>
      <c r="L77" s="30">
        <f t="shared" si="23"/>
        <v>96</v>
      </c>
      <c r="M77" s="30">
        <f t="shared" si="23"/>
        <v>91</v>
      </c>
      <c r="N77" s="30">
        <f t="shared" si="23"/>
        <v>83.5</v>
      </c>
      <c r="O77" s="30">
        <f t="shared" si="23"/>
        <v>89.5</v>
      </c>
      <c r="P77" s="30">
        <f t="shared" si="23"/>
        <v>874</v>
      </c>
      <c r="Q77" s="198">
        <f t="shared" si="23"/>
        <v>87.4</v>
      </c>
      <c r="R77" s="30">
        <f>'11C Sem avr (SS)'!$H$27</f>
        <v>6</v>
      </c>
      <c r="S77" s="30">
        <f>AVERAGE(S75:S76)</f>
        <v>0</v>
      </c>
      <c r="T77" s="30">
        <f>AVERAGE(T75:T76)</f>
        <v>0</v>
      </c>
      <c r="U77" s="6"/>
      <c r="V77" s="6"/>
      <c r="W77" s="6"/>
      <c r="X77" s="6"/>
      <c r="Y77" s="6"/>
    </row>
    <row r="78" spans="1:25" ht="20.100000000000001" customHeight="1" thickBot="1" x14ac:dyDescent="0.3">
      <c r="A78" s="252">
        <v>25</v>
      </c>
      <c r="B78" s="247"/>
      <c r="C78" s="247">
        <v>16</v>
      </c>
      <c r="D78" s="248" t="s">
        <v>23</v>
      </c>
      <c r="E78" s="29" t="s">
        <v>21</v>
      </c>
      <c r="F78" s="30">
        <f>'11C (SS)Sem 1'!E28</f>
        <v>78</v>
      </c>
      <c r="G78" s="31">
        <f>'11C (SS)Sem 1'!F28</f>
        <v>80</v>
      </c>
      <c r="H78" s="31">
        <f>'11C (SS)Sem 1'!G28</f>
        <v>56</v>
      </c>
      <c r="I78" s="30">
        <f>'11C (SS)Sem 1'!H28</f>
        <v>73</v>
      </c>
      <c r="J78" s="31">
        <f>'11C (SS)Sem 1'!I28</f>
        <v>84</v>
      </c>
      <c r="K78" s="30">
        <f>'11C (SS)Sem 1'!J28</f>
        <v>68</v>
      </c>
      <c r="L78" s="30">
        <f>'11C (SS)Sem 1'!K28</f>
        <v>88</v>
      </c>
      <c r="M78" s="30">
        <f>'11C (SS)Sem 1'!L28</f>
        <v>89</v>
      </c>
      <c r="N78" s="30">
        <f>'11C (SS)Sem 1'!M28</f>
        <v>72</v>
      </c>
      <c r="O78" s="30">
        <f>'11C (SS)Sem 1'!N28</f>
        <v>84</v>
      </c>
      <c r="P78" s="30">
        <f>'11C (SS)Sem 1'!O28</f>
        <v>772</v>
      </c>
      <c r="Q78" s="198">
        <f>'11C (SS)Sem 1'!P28</f>
        <v>77.2</v>
      </c>
      <c r="R78" s="105">
        <f>'11C (SS)Sem 1'!Q28</f>
        <v>12</v>
      </c>
      <c r="S78" s="105">
        <f>'11C (SS)Sem 1'!R28</f>
        <v>0</v>
      </c>
      <c r="T78" s="105">
        <f>'11C (SS)Sem 1'!S28</f>
        <v>0</v>
      </c>
      <c r="U78" s="6"/>
      <c r="V78" s="6"/>
      <c r="W78" s="6"/>
      <c r="X78" s="6"/>
      <c r="Y78" s="6"/>
    </row>
    <row r="79" spans="1:25" ht="20.100000000000001" customHeight="1" thickBot="1" x14ac:dyDescent="0.3">
      <c r="A79" s="252"/>
      <c r="B79" s="247"/>
      <c r="C79" s="247">
        <v>16</v>
      </c>
      <c r="D79" s="248" t="s">
        <v>23</v>
      </c>
      <c r="E79" s="29" t="s">
        <v>22</v>
      </c>
      <c r="F79" s="30">
        <f>'11C (SS)Sem 2'!E28</f>
        <v>84</v>
      </c>
      <c r="G79" s="31">
        <f>'11C (SS)Sem 2'!F28</f>
        <v>80</v>
      </c>
      <c r="H79" s="31">
        <f>'11C (SS)Sem 2'!G28</f>
        <v>56</v>
      </c>
      <c r="I79" s="30">
        <f>'11C (SS)Sem 2'!H28</f>
        <v>82</v>
      </c>
      <c r="J79" s="31">
        <f>'11C (SS)Sem 2'!I28</f>
        <v>81</v>
      </c>
      <c r="K79" s="30">
        <f>'11C (SS)Sem 2'!J28</f>
        <v>87</v>
      </c>
      <c r="L79" s="30">
        <f>'11C (SS)Sem 2'!K28</f>
        <v>84</v>
      </c>
      <c r="M79" s="30">
        <f>'11C (SS)Sem 2'!L28</f>
        <v>92</v>
      </c>
      <c r="N79" s="30">
        <f>'11C (SS)Sem 2'!M28</f>
        <v>79</v>
      </c>
      <c r="O79" s="30">
        <f>'11C (SS)Sem 2'!N28</f>
        <v>84</v>
      </c>
      <c r="P79" s="30">
        <f>'11C (SS)Sem 2'!O28</f>
        <v>809</v>
      </c>
      <c r="Q79" s="198">
        <f>'11C (SS)Sem 2'!P28</f>
        <v>80.900000000000006</v>
      </c>
      <c r="R79" s="105">
        <f>'11C (SS)Sem 2'!Q28</f>
        <v>12</v>
      </c>
      <c r="S79" s="105">
        <f>'11C (SS)Sem 2'!R28</f>
        <v>0</v>
      </c>
      <c r="T79" s="105">
        <f>'11C (SS)Sem 2'!S28</f>
        <v>0</v>
      </c>
      <c r="U79" s="6"/>
      <c r="V79" s="6"/>
      <c r="W79" s="6"/>
      <c r="X79" s="6"/>
      <c r="Y79" s="6"/>
    </row>
    <row r="80" spans="1:25" ht="20.100000000000001" customHeight="1" thickBot="1" x14ac:dyDescent="0.3">
      <c r="A80" s="252"/>
      <c r="B80" s="247"/>
      <c r="C80" s="247">
        <v>16</v>
      </c>
      <c r="D80" s="248" t="s">
        <v>23</v>
      </c>
      <c r="E80" s="29" t="s">
        <v>16</v>
      </c>
      <c r="F80" s="30">
        <f>AVERAGE(F78:F79)</f>
        <v>81</v>
      </c>
      <c r="G80" s="30">
        <f t="shared" ref="G80:Q80" si="24">AVERAGE(G78:G79)</f>
        <v>80</v>
      </c>
      <c r="H80" s="30">
        <f t="shared" si="24"/>
        <v>56</v>
      </c>
      <c r="I80" s="30">
        <f t="shared" si="24"/>
        <v>77.5</v>
      </c>
      <c r="J80" s="30">
        <f t="shared" si="24"/>
        <v>82.5</v>
      </c>
      <c r="K80" s="30">
        <f t="shared" si="24"/>
        <v>77.5</v>
      </c>
      <c r="L80" s="30">
        <f t="shared" si="24"/>
        <v>86</v>
      </c>
      <c r="M80" s="30">
        <f t="shared" si="24"/>
        <v>90.5</v>
      </c>
      <c r="N80" s="30">
        <f t="shared" si="24"/>
        <v>75.5</v>
      </c>
      <c r="O80" s="30">
        <f t="shared" si="24"/>
        <v>84</v>
      </c>
      <c r="P80" s="30">
        <f t="shared" si="24"/>
        <v>790.5</v>
      </c>
      <c r="Q80" s="198">
        <f t="shared" si="24"/>
        <v>79.050000000000011</v>
      </c>
      <c r="R80" s="30">
        <f>'11C Sem avr (SS)'!$H$28</f>
        <v>11</v>
      </c>
      <c r="S80" s="30">
        <f>AVERAGE(S78:S79)</f>
        <v>0</v>
      </c>
      <c r="T80" s="30">
        <f>AVERAGE(T78:T79)</f>
        <v>0</v>
      </c>
      <c r="U80" s="6"/>
      <c r="V80" s="6"/>
      <c r="W80" s="6"/>
      <c r="X80" s="6"/>
      <c r="Y80" s="6"/>
    </row>
    <row r="81" spans="1:25" ht="20.100000000000001" customHeight="1" thickBot="1" x14ac:dyDescent="0.3">
      <c r="A81" s="246">
        <v>26</v>
      </c>
      <c r="B81" s="247"/>
      <c r="C81" s="253">
        <v>16</v>
      </c>
      <c r="D81" s="254" t="s">
        <v>23</v>
      </c>
      <c r="E81" s="29" t="s">
        <v>21</v>
      </c>
      <c r="F81" s="30">
        <f>'11C (SS)Sem 1'!E29</f>
        <v>84</v>
      </c>
      <c r="G81" s="30">
        <f>'11C (SS)Sem 1'!F29</f>
        <v>86</v>
      </c>
      <c r="H81" s="30">
        <f>'11C (SS)Sem 1'!G29</f>
        <v>58</v>
      </c>
      <c r="I81" s="30">
        <f>'11C (SS)Sem 1'!H29</f>
        <v>78</v>
      </c>
      <c r="J81" s="30">
        <f>'11C (SS)Sem 1'!I29</f>
        <v>82</v>
      </c>
      <c r="K81" s="30">
        <f>'11C (SS)Sem 1'!J29</f>
        <v>79</v>
      </c>
      <c r="L81" s="30">
        <f>'11C (SS)Sem 1'!K29</f>
        <v>96</v>
      </c>
      <c r="M81" s="30">
        <f>'11C (SS)Sem 1'!L29</f>
        <v>100</v>
      </c>
      <c r="N81" s="30">
        <f>'11C (SS)Sem 1'!M29</f>
        <v>82</v>
      </c>
      <c r="O81" s="30">
        <f>'11C (SS)Sem 1'!N29</f>
        <v>87</v>
      </c>
      <c r="P81" s="30">
        <f>'11C (SS)Sem 1'!O29</f>
        <v>832</v>
      </c>
      <c r="Q81" s="198">
        <f>'11C (SS)Sem 1'!P29</f>
        <v>83.2</v>
      </c>
      <c r="R81" s="105">
        <f>'11C (SS)Sem 1'!Q29</f>
        <v>7</v>
      </c>
      <c r="S81" s="105">
        <f>'11C (SS)Sem 1'!R29</f>
        <v>0</v>
      </c>
      <c r="T81" s="105">
        <f>'11C (SS)Sem 1'!S29</f>
        <v>0</v>
      </c>
      <c r="U81" s="6"/>
      <c r="V81" s="6"/>
      <c r="W81" s="6"/>
      <c r="X81" s="6"/>
      <c r="Y81" s="6"/>
    </row>
    <row r="82" spans="1:25" ht="20.100000000000001" customHeight="1" thickBot="1" x14ac:dyDescent="0.3">
      <c r="A82" s="246"/>
      <c r="B82" s="247"/>
      <c r="C82" s="253">
        <v>16</v>
      </c>
      <c r="D82" s="254" t="s">
        <v>23</v>
      </c>
      <c r="E82" s="29" t="s">
        <v>22</v>
      </c>
      <c r="F82" s="30">
        <f>'11C (SS)Sem 2'!E29</f>
        <v>95</v>
      </c>
      <c r="G82" s="30">
        <f>'11C (SS)Sem 2'!F29</f>
        <v>87</v>
      </c>
      <c r="H82" s="30">
        <f>'11C (SS)Sem 2'!G29</f>
        <v>71</v>
      </c>
      <c r="I82" s="30">
        <f>'11C (SS)Sem 2'!H29</f>
        <v>86</v>
      </c>
      <c r="J82" s="30">
        <f>'11C (SS)Sem 2'!I29</f>
        <v>82</v>
      </c>
      <c r="K82" s="30">
        <f>'11C (SS)Sem 2'!J29</f>
        <v>92</v>
      </c>
      <c r="L82" s="30">
        <f>'11C (SS)Sem 2'!K29</f>
        <v>90</v>
      </c>
      <c r="M82" s="30">
        <f>'11C (SS)Sem 2'!L29</f>
        <v>97</v>
      </c>
      <c r="N82" s="30">
        <f>'11C (SS)Sem 2'!M29</f>
        <v>76</v>
      </c>
      <c r="O82" s="30">
        <f>'11C (SS)Sem 2'!N29</f>
        <v>87</v>
      </c>
      <c r="P82" s="30">
        <f>'11C (SS)Sem 2'!O29</f>
        <v>863</v>
      </c>
      <c r="Q82" s="198">
        <f>'11C (SS)Sem 2'!P29</f>
        <v>86.3</v>
      </c>
      <c r="R82" s="105">
        <f>'11C (SS)Sem 2'!Q29</f>
        <v>9</v>
      </c>
      <c r="S82" s="105">
        <f>'11C (SS)Sem 2'!R29</f>
        <v>0</v>
      </c>
      <c r="T82" s="105">
        <f>'11C (SS)Sem 2'!S29</f>
        <v>0</v>
      </c>
      <c r="U82" s="6"/>
      <c r="V82" s="6"/>
      <c r="W82" s="6"/>
      <c r="X82" s="6"/>
      <c r="Y82" s="6"/>
    </row>
    <row r="83" spans="1:25" ht="20.100000000000001" customHeight="1" thickBot="1" x14ac:dyDescent="0.3">
      <c r="A83" s="246"/>
      <c r="B83" s="247"/>
      <c r="C83" s="253">
        <v>16</v>
      </c>
      <c r="D83" s="254" t="s">
        <v>23</v>
      </c>
      <c r="E83" s="29" t="s">
        <v>16</v>
      </c>
      <c r="F83" s="30">
        <f>AVERAGE(F81:F82)</f>
        <v>89.5</v>
      </c>
      <c r="G83" s="30">
        <f t="shared" ref="G83:Q83" si="25">AVERAGE(G81:G82)</f>
        <v>86.5</v>
      </c>
      <c r="H83" s="30">
        <f t="shared" si="25"/>
        <v>64.5</v>
      </c>
      <c r="I83" s="30">
        <f t="shared" si="25"/>
        <v>82</v>
      </c>
      <c r="J83" s="30">
        <f t="shared" si="25"/>
        <v>82</v>
      </c>
      <c r="K83" s="30">
        <f t="shared" si="25"/>
        <v>85.5</v>
      </c>
      <c r="L83" s="30">
        <f t="shared" si="25"/>
        <v>93</v>
      </c>
      <c r="M83" s="30">
        <f t="shared" si="25"/>
        <v>98.5</v>
      </c>
      <c r="N83" s="30">
        <f t="shared" si="25"/>
        <v>79</v>
      </c>
      <c r="O83" s="30">
        <f t="shared" si="25"/>
        <v>87</v>
      </c>
      <c r="P83" s="30">
        <f t="shared" si="25"/>
        <v>847.5</v>
      </c>
      <c r="Q83" s="198">
        <f t="shared" si="25"/>
        <v>84.75</v>
      </c>
      <c r="R83" s="30">
        <f>'11C Sem avr (SS)'!$H$29</f>
        <v>7</v>
      </c>
      <c r="S83" s="30">
        <f>AVERAGE(S81:S82)</f>
        <v>0</v>
      </c>
      <c r="T83" s="30">
        <f>AVERAGE(T81:T82)</f>
        <v>0</v>
      </c>
      <c r="U83" s="6"/>
      <c r="V83" s="6"/>
      <c r="W83" s="6"/>
      <c r="X83" s="6"/>
      <c r="Y83" s="6"/>
    </row>
    <row r="84" spans="1:25" ht="20.100000000000001" customHeight="1" thickBot="1" x14ac:dyDescent="0.3">
      <c r="A84" s="246">
        <v>27</v>
      </c>
      <c r="B84" s="247"/>
      <c r="C84" s="253">
        <v>17</v>
      </c>
      <c r="D84" s="254" t="s">
        <v>20</v>
      </c>
      <c r="E84" s="29" t="s">
        <v>21</v>
      </c>
      <c r="F84" s="30">
        <f>'11C (SS)Sem 1'!E30</f>
        <v>71</v>
      </c>
      <c r="G84" s="30">
        <f>'11C (SS)Sem 1'!F30</f>
        <v>70</v>
      </c>
      <c r="H84" s="31">
        <f>'11C (SS)Sem 1'!G30</f>
        <v>43</v>
      </c>
      <c r="I84" s="30">
        <f>'11C (SS)Sem 1'!H30</f>
        <v>71</v>
      </c>
      <c r="J84" s="30">
        <f>'11C (SS)Sem 1'!I30</f>
        <v>62</v>
      </c>
      <c r="K84" s="30">
        <f>'11C (SS)Sem 1'!J30</f>
        <v>68</v>
      </c>
      <c r="L84" s="30">
        <f>'11C (SS)Sem 1'!K30</f>
        <v>86</v>
      </c>
      <c r="M84" s="30">
        <f>'11C (SS)Sem 1'!L30</f>
        <v>85</v>
      </c>
      <c r="N84" s="30">
        <f>'11C (SS)Sem 1'!M30</f>
        <v>68</v>
      </c>
      <c r="O84" s="30">
        <f>'11C (SS)Sem 1'!N30</f>
        <v>73</v>
      </c>
      <c r="P84" s="30">
        <f>'11C (SS)Sem 1'!O30</f>
        <v>697</v>
      </c>
      <c r="Q84" s="198">
        <f>'11C (SS)Sem 1'!P30</f>
        <v>69.7</v>
      </c>
      <c r="R84" s="105">
        <f>'11C (SS)Sem 1'!Q30</f>
        <v>19</v>
      </c>
      <c r="S84" s="105">
        <f>'11C (SS)Sem 1'!R30</f>
        <v>0</v>
      </c>
      <c r="T84" s="105">
        <f>'11C (SS)Sem 1'!S30</f>
        <v>0</v>
      </c>
      <c r="U84" s="6"/>
      <c r="V84" s="6"/>
      <c r="W84" s="6"/>
      <c r="X84" s="6"/>
      <c r="Y84" s="6"/>
    </row>
    <row r="85" spans="1:25" ht="20.100000000000001" customHeight="1" thickBot="1" x14ac:dyDescent="0.3">
      <c r="A85" s="246"/>
      <c r="B85" s="247"/>
      <c r="C85" s="253">
        <v>17</v>
      </c>
      <c r="D85" s="254" t="s">
        <v>20</v>
      </c>
      <c r="E85" s="29" t="s">
        <v>22</v>
      </c>
      <c r="F85" s="30">
        <f>'11C (SS)Sem 2'!E30</f>
        <v>77</v>
      </c>
      <c r="G85" s="30">
        <f>'11C (SS)Sem 2'!F30</f>
        <v>80</v>
      </c>
      <c r="H85" s="31">
        <f>'11C (SS)Sem 2'!G30</f>
        <v>44</v>
      </c>
      <c r="I85" s="30">
        <f>'11C (SS)Sem 2'!H30</f>
        <v>87</v>
      </c>
      <c r="J85" s="30">
        <f>'11C (SS)Sem 2'!I30</f>
        <v>72</v>
      </c>
      <c r="K85" s="30">
        <f>'11C (SS)Sem 2'!J30</f>
        <v>87</v>
      </c>
      <c r="L85" s="30">
        <f>'11C (SS)Sem 2'!K30</f>
        <v>82</v>
      </c>
      <c r="M85" s="30">
        <f>'11C (SS)Sem 2'!L30</f>
        <v>99</v>
      </c>
      <c r="N85" s="30">
        <f>'11C (SS)Sem 2'!M30</f>
        <v>69</v>
      </c>
      <c r="O85" s="30">
        <f>'11C (SS)Sem 2'!N30</f>
        <v>71</v>
      </c>
      <c r="P85" s="30">
        <f>'11C (SS)Sem 2'!O30</f>
        <v>768</v>
      </c>
      <c r="Q85" s="198">
        <f>'11C (SS)Sem 2'!P30</f>
        <v>76.8</v>
      </c>
      <c r="R85" s="105">
        <f>'11C (SS)Sem 2'!Q30</f>
        <v>17</v>
      </c>
      <c r="S85" s="105">
        <f>'11C (SS)Sem 2'!R30</f>
        <v>0</v>
      </c>
      <c r="T85" s="105">
        <f>'11C (SS)Sem 2'!S30</f>
        <v>0</v>
      </c>
      <c r="U85" s="6"/>
      <c r="V85" s="6"/>
      <c r="W85" s="6"/>
      <c r="X85" s="6"/>
      <c r="Y85" s="6"/>
    </row>
    <row r="86" spans="1:25" ht="20.100000000000001" customHeight="1" thickBot="1" x14ac:dyDescent="0.3">
      <c r="A86" s="246"/>
      <c r="B86" s="247"/>
      <c r="C86" s="253">
        <v>17</v>
      </c>
      <c r="D86" s="254" t="s">
        <v>20</v>
      </c>
      <c r="E86" s="29" t="s">
        <v>16</v>
      </c>
      <c r="F86" s="30">
        <f>AVERAGE(F84:F85)</f>
        <v>74</v>
      </c>
      <c r="G86" s="30">
        <f t="shared" ref="G86:Q86" si="26">AVERAGE(G84:G85)</f>
        <v>75</v>
      </c>
      <c r="H86" s="30">
        <f t="shared" si="26"/>
        <v>43.5</v>
      </c>
      <c r="I86" s="30">
        <f t="shared" si="26"/>
        <v>79</v>
      </c>
      <c r="J86" s="30">
        <f t="shared" si="26"/>
        <v>67</v>
      </c>
      <c r="K86" s="30">
        <f t="shared" si="26"/>
        <v>77.5</v>
      </c>
      <c r="L86" s="30">
        <f t="shared" si="26"/>
        <v>84</v>
      </c>
      <c r="M86" s="30">
        <f t="shared" si="26"/>
        <v>92</v>
      </c>
      <c r="N86" s="30">
        <f t="shared" si="26"/>
        <v>68.5</v>
      </c>
      <c r="O86" s="30">
        <f t="shared" si="26"/>
        <v>72</v>
      </c>
      <c r="P86" s="30">
        <f t="shared" si="26"/>
        <v>732.5</v>
      </c>
      <c r="Q86" s="198">
        <f t="shared" si="26"/>
        <v>73.25</v>
      </c>
      <c r="R86" s="30">
        <f>'11C Sem avr (SS)'!$H$30</f>
        <v>18</v>
      </c>
      <c r="S86" s="30">
        <f>AVERAGE(S84:S85)</f>
        <v>0</v>
      </c>
      <c r="T86" s="30">
        <f>AVERAGE(T84:T85)</f>
        <v>0</v>
      </c>
      <c r="U86" s="6"/>
      <c r="V86" s="6"/>
      <c r="W86" s="6"/>
      <c r="X86" s="6"/>
      <c r="Y86" s="6"/>
    </row>
    <row r="87" spans="1:25" ht="20.100000000000001" customHeight="1" thickBot="1" x14ac:dyDescent="0.3">
      <c r="A87" s="246">
        <v>28</v>
      </c>
      <c r="B87" s="247"/>
      <c r="C87" s="253">
        <v>16</v>
      </c>
      <c r="D87" s="254" t="s">
        <v>20</v>
      </c>
      <c r="E87" s="29" t="s">
        <v>21</v>
      </c>
      <c r="F87" s="30">
        <f>'11C (SS)Sem 1'!E31</f>
        <v>81</v>
      </c>
      <c r="G87" s="30">
        <f>'11C (SS)Sem 1'!F31</f>
        <v>75</v>
      </c>
      <c r="H87" s="30">
        <f>'11C (SS)Sem 1'!G31</f>
        <v>69</v>
      </c>
      <c r="I87" s="30">
        <f>'11C (SS)Sem 1'!H31</f>
        <v>73</v>
      </c>
      <c r="J87" s="30">
        <f>'11C (SS)Sem 1'!I31</f>
        <v>77</v>
      </c>
      <c r="K87" s="30">
        <f>'11C (SS)Sem 1'!J31</f>
        <v>70</v>
      </c>
      <c r="L87" s="30">
        <f>'11C (SS)Sem 1'!K31</f>
        <v>87</v>
      </c>
      <c r="M87" s="30">
        <f>'11C (SS)Sem 1'!L31</f>
        <v>90</v>
      </c>
      <c r="N87" s="30">
        <f>'11C (SS)Sem 1'!M31</f>
        <v>70</v>
      </c>
      <c r="O87" s="30">
        <f>'11C (SS)Sem 1'!N31</f>
        <v>81</v>
      </c>
      <c r="P87" s="30">
        <f>'11C (SS)Sem 1'!O31</f>
        <v>773</v>
      </c>
      <c r="Q87" s="198">
        <f>'11C (SS)Sem 1'!P31</f>
        <v>77.3</v>
      </c>
      <c r="R87" s="105">
        <f>'11C (SS)Sem 1'!Q31</f>
        <v>11</v>
      </c>
      <c r="S87" s="105">
        <f>'11C (SS)Sem 1'!R31</f>
        <v>0</v>
      </c>
      <c r="T87" s="105">
        <f>'11C (SS)Sem 1'!S31</f>
        <v>0</v>
      </c>
      <c r="U87" s="6"/>
      <c r="V87" s="6"/>
      <c r="W87" s="6"/>
      <c r="X87" s="6"/>
      <c r="Y87" s="6"/>
    </row>
    <row r="88" spans="1:25" ht="20.100000000000001" customHeight="1" thickBot="1" x14ac:dyDescent="0.3">
      <c r="A88" s="246"/>
      <c r="B88" s="247"/>
      <c r="C88" s="253">
        <v>16</v>
      </c>
      <c r="D88" s="254" t="s">
        <v>20</v>
      </c>
      <c r="E88" s="29" t="s">
        <v>22</v>
      </c>
      <c r="F88" s="30">
        <f>'11C (SS)Sem 2'!E31</f>
        <v>80</v>
      </c>
      <c r="G88" s="30">
        <f>'11C (SS)Sem 2'!F31</f>
        <v>63</v>
      </c>
      <c r="H88" s="30">
        <f>'11C (SS)Sem 2'!G31</f>
        <v>74</v>
      </c>
      <c r="I88" s="30">
        <f>'11C (SS)Sem 2'!H31</f>
        <v>77</v>
      </c>
      <c r="J88" s="30">
        <f>'11C (SS)Sem 2'!I31</f>
        <v>77</v>
      </c>
      <c r="K88" s="30">
        <f>'11C (SS)Sem 2'!J31</f>
        <v>91</v>
      </c>
      <c r="L88" s="30">
        <f>'11C (SS)Sem 2'!K31</f>
        <v>91</v>
      </c>
      <c r="M88" s="30">
        <f>'11C (SS)Sem 2'!L31</f>
        <v>89</v>
      </c>
      <c r="N88" s="30">
        <f>'11C (SS)Sem 2'!M31</f>
        <v>73</v>
      </c>
      <c r="O88" s="30">
        <f>'11C (SS)Sem 2'!N31</f>
        <v>75</v>
      </c>
      <c r="P88" s="30">
        <f>'11C (SS)Sem 2'!O31</f>
        <v>790</v>
      </c>
      <c r="Q88" s="198">
        <f>'11C (SS)Sem 2'!P31</f>
        <v>79</v>
      </c>
      <c r="R88" s="105">
        <f>'11C (SS)Sem 2'!Q31</f>
        <v>13</v>
      </c>
      <c r="S88" s="105">
        <f>'11C (SS)Sem 2'!R31</f>
        <v>0</v>
      </c>
      <c r="T88" s="105">
        <f>'11C (SS)Sem 2'!S31</f>
        <v>0</v>
      </c>
      <c r="U88" s="6"/>
      <c r="V88" s="6"/>
      <c r="W88" s="6"/>
      <c r="X88" s="6"/>
      <c r="Y88" s="6"/>
    </row>
    <row r="89" spans="1:25" ht="20.100000000000001" customHeight="1" thickBot="1" x14ac:dyDescent="0.3">
      <c r="A89" s="246"/>
      <c r="B89" s="247"/>
      <c r="C89" s="253">
        <v>16</v>
      </c>
      <c r="D89" s="254" t="s">
        <v>20</v>
      </c>
      <c r="E89" s="29" t="s">
        <v>16</v>
      </c>
      <c r="F89" s="30">
        <f>AVERAGE(F87:F88)</f>
        <v>80.5</v>
      </c>
      <c r="G89" s="30">
        <f t="shared" ref="G89:Q89" si="27">AVERAGE(G87:G88)</f>
        <v>69</v>
      </c>
      <c r="H89" s="30">
        <f t="shared" si="27"/>
        <v>71.5</v>
      </c>
      <c r="I89" s="30">
        <f t="shared" si="27"/>
        <v>75</v>
      </c>
      <c r="J89" s="30">
        <f t="shared" si="27"/>
        <v>77</v>
      </c>
      <c r="K89" s="30">
        <f t="shared" si="27"/>
        <v>80.5</v>
      </c>
      <c r="L89" s="30">
        <f t="shared" si="27"/>
        <v>89</v>
      </c>
      <c r="M89" s="30">
        <f t="shared" si="27"/>
        <v>89.5</v>
      </c>
      <c r="N89" s="30">
        <f t="shared" si="27"/>
        <v>71.5</v>
      </c>
      <c r="O89" s="30">
        <f t="shared" si="27"/>
        <v>78</v>
      </c>
      <c r="P89" s="30">
        <f t="shared" si="27"/>
        <v>781.5</v>
      </c>
      <c r="Q89" s="198">
        <f t="shared" si="27"/>
        <v>78.150000000000006</v>
      </c>
      <c r="R89" s="30">
        <f>'11C Sem avr (SS)'!$H$31</f>
        <v>12</v>
      </c>
      <c r="S89" s="30">
        <f>AVERAGE(S87:S88)</f>
        <v>0</v>
      </c>
      <c r="T89" s="30">
        <f>AVERAGE(T87:T88)</f>
        <v>0</v>
      </c>
      <c r="U89" s="6"/>
      <c r="V89" s="6"/>
      <c r="W89" s="6"/>
      <c r="X89" s="6"/>
      <c r="Y89" s="6"/>
    </row>
    <row r="90" spans="1:25" ht="20.100000000000001" customHeight="1" thickBot="1" x14ac:dyDescent="0.3">
      <c r="A90" s="252">
        <v>29</v>
      </c>
      <c r="B90" s="247"/>
      <c r="C90" s="253">
        <v>16</v>
      </c>
      <c r="D90" s="254" t="s">
        <v>23</v>
      </c>
      <c r="E90" s="29" t="s">
        <v>21</v>
      </c>
      <c r="F90" s="30">
        <f>'11C (SS)Sem 1'!E32</f>
        <v>76</v>
      </c>
      <c r="G90" s="30">
        <f>'11C (SS)Sem 1'!F32</f>
        <v>76</v>
      </c>
      <c r="H90" s="30">
        <f>'11C (SS)Sem 1'!G32</f>
        <v>57</v>
      </c>
      <c r="I90" s="30">
        <f>'11C (SS)Sem 1'!H32</f>
        <v>71</v>
      </c>
      <c r="J90" s="30">
        <f>'11C (SS)Sem 1'!I32</f>
        <v>80</v>
      </c>
      <c r="K90" s="30">
        <f>'11C (SS)Sem 1'!J32</f>
        <v>58</v>
      </c>
      <c r="L90" s="30">
        <f>'11C (SS)Sem 1'!K32</f>
        <v>91</v>
      </c>
      <c r="M90" s="30">
        <f>'11C (SS)Sem 1'!L32</f>
        <v>90</v>
      </c>
      <c r="N90" s="30">
        <f>'11C (SS)Sem 1'!M32</f>
        <v>75</v>
      </c>
      <c r="O90" s="30">
        <f>'11C (SS)Sem 1'!N32</f>
        <v>71</v>
      </c>
      <c r="P90" s="30">
        <f>'11C (SS)Sem 1'!O32</f>
        <v>745</v>
      </c>
      <c r="Q90" s="198">
        <f>'11C (SS)Sem 1'!P32</f>
        <v>74.5</v>
      </c>
      <c r="R90" s="105">
        <f>'11C (SS)Sem 1'!Q32</f>
        <v>14</v>
      </c>
      <c r="S90" s="105">
        <f>'11C (SS)Sem 1'!R32</f>
        <v>0</v>
      </c>
      <c r="T90" s="105">
        <f>'11C (SS)Sem 1'!S32</f>
        <v>0</v>
      </c>
      <c r="U90" s="6"/>
      <c r="V90" s="6"/>
      <c r="W90" s="6"/>
      <c r="X90" s="6"/>
      <c r="Y90" s="6"/>
    </row>
    <row r="91" spans="1:25" ht="20.100000000000001" customHeight="1" thickBot="1" x14ac:dyDescent="0.3">
      <c r="A91" s="252"/>
      <c r="B91" s="247"/>
      <c r="C91" s="253">
        <v>16</v>
      </c>
      <c r="D91" s="254" t="s">
        <v>23</v>
      </c>
      <c r="E91" s="29" t="s">
        <v>22</v>
      </c>
      <c r="F91" s="30">
        <f>'11C (SS)Sem 2'!E32</f>
        <v>86</v>
      </c>
      <c r="G91" s="30">
        <f>'11C (SS)Sem 2'!F32</f>
        <v>84</v>
      </c>
      <c r="H91" s="30">
        <f>'11C (SS)Sem 2'!G32</f>
        <v>62</v>
      </c>
      <c r="I91" s="30">
        <f>'11C (SS)Sem 2'!H32</f>
        <v>75</v>
      </c>
      <c r="J91" s="30">
        <f>'11C (SS)Sem 2'!I32</f>
        <v>73</v>
      </c>
      <c r="K91" s="30">
        <f>'11C (SS)Sem 2'!J32</f>
        <v>82</v>
      </c>
      <c r="L91" s="30">
        <f>'11C (SS)Sem 2'!K32</f>
        <v>91</v>
      </c>
      <c r="M91" s="30">
        <f>'11C (SS)Sem 2'!L32</f>
        <v>84</v>
      </c>
      <c r="N91" s="30">
        <f>'11C (SS)Sem 2'!M32</f>
        <v>69</v>
      </c>
      <c r="O91" s="30">
        <f>'11C (SS)Sem 2'!N32</f>
        <v>66</v>
      </c>
      <c r="P91" s="30">
        <f>'11C (SS)Sem 2'!O32</f>
        <v>772</v>
      </c>
      <c r="Q91" s="198">
        <f>'11C (SS)Sem 2'!P32</f>
        <v>77.2</v>
      </c>
      <c r="R91" s="105">
        <f>'11C (SS)Sem 2'!Q32</f>
        <v>15</v>
      </c>
      <c r="S91" s="105">
        <f>'11C (SS)Sem 2'!R32</f>
        <v>0</v>
      </c>
      <c r="T91" s="105">
        <f>'11C (SS)Sem 2'!S32</f>
        <v>0</v>
      </c>
      <c r="U91" s="6"/>
      <c r="V91" s="6"/>
      <c r="W91" s="6"/>
      <c r="X91" s="6"/>
      <c r="Y91" s="6"/>
    </row>
    <row r="92" spans="1:25" ht="20.100000000000001" customHeight="1" thickBot="1" x14ac:dyDescent="0.3">
      <c r="A92" s="252"/>
      <c r="B92" s="247"/>
      <c r="C92" s="253">
        <v>16</v>
      </c>
      <c r="D92" s="254" t="s">
        <v>23</v>
      </c>
      <c r="E92" s="29" t="s">
        <v>16</v>
      </c>
      <c r="F92" s="30">
        <f>AVERAGE(F90:F91)</f>
        <v>81</v>
      </c>
      <c r="G92" s="30">
        <f t="shared" ref="G92:Q92" si="28">AVERAGE(G90:G91)</f>
        <v>80</v>
      </c>
      <c r="H92" s="30">
        <f t="shared" si="28"/>
        <v>59.5</v>
      </c>
      <c r="I92" s="30">
        <f t="shared" si="28"/>
        <v>73</v>
      </c>
      <c r="J92" s="30">
        <f t="shared" si="28"/>
        <v>76.5</v>
      </c>
      <c r="K92" s="30">
        <f t="shared" si="28"/>
        <v>70</v>
      </c>
      <c r="L92" s="30">
        <f t="shared" si="28"/>
        <v>91</v>
      </c>
      <c r="M92" s="30">
        <f t="shared" si="28"/>
        <v>87</v>
      </c>
      <c r="N92" s="30">
        <f t="shared" si="28"/>
        <v>72</v>
      </c>
      <c r="O92" s="30">
        <f t="shared" si="28"/>
        <v>68.5</v>
      </c>
      <c r="P92" s="30">
        <f t="shared" si="28"/>
        <v>758.5</v>
      </c>
      <c r="Q92" s="198">
        <f t="shared" si="28"/>
        <v>75.849999999999994</v>
      </c>
      <c r="R92" s="30">
        <f>'11C Sem avr (SS)'!$H$32</f>
        <v>13</v>
      </c>
      <c r="S92" s="30">
        <f>AVERAGE(S90:S91)</f>
        <v>0</v>
      </c>
      <c r="T92" s="30">
        <f>AVERAGE(T90:T91)</f>
        <v>0</v>
      </c>
      <c r="U92" s="6"/>
      <c r="V92" s="6"/>
      <c r="W92" s="6"/>
      <c r="X92" s="6"/>
      <c r="Y92" s="6"/>
    </row>
    <row r="93" spans="1:25" ht="20.100000000000001" customHeight="1" thickBot="1" x14ac:dyDescent="0.3">
      <c r="A93" s="246">
        <v>30</v>
      </c>
      <c r="B93" s="247"/>
      <c r="C93" s="253">
        <v>16</v>
      </c>
      <c r="D93" s="254" t="s">
        <v>23</v>
      </c>
      <c r="E93" s="29" t="s">
        <v>21</v>
      </c>
      <c r="F93" s="30">
        <f>'11C (SS)Sem 1'!E33</f>
        <v>82</v>
      </c>
      <c r="G93" s="31">
        <f>'11C (SS)Sem 1'!F33</f>
        <v>75</v>
      </c>
      <c r="H93" s="31">
        <f>'11C (SS)Sem 1'!G33</f>
        <v>72</v>
      </c>
      <c r="I93" s="31">
        <f>'11C (SS)Sem 1'!H33</f>
        <v>69</v>
      </c>
      <c r="J93" s="30">
        <f>'11C (SS)Sem 1'!I33</f>
        <v>70</v>
      </c>
      <c r="K93" s="30">
        <f>'11C (SS)Sem 1'!J33</f>
        <v>62</v>
      </c>
      <c r="L93" s="30">
        <f>'11C (SS)Sem 1'!K33</f>
        <v>74</v>
      </c>
      <c r="M93" s="30">
        <f>'11C (SS)Sem 1'!L33</f>
        <v>81</v>
      </c>
      <c r="N93" s="30">
        <f>'11C (SS)Sem 1'!M33</f>
        <v>54</v>
      </c>
      <c r="O93" s="30">
        <f>'11C (SS)Sem 1'!N33</f>
        <v>60</v>
      </c>
      <c r="P93" s="30">
        <f>'11C (SS)Sem 1'!O33</f>
        <v>699</v>
      </c>
      <c r="Q93" s="198">
        <f>'11C (SS)Sem 1'!P33</f>
        <v>69.900000000000006</v>
      </c>
      <c r="R93" s="105">
        <f>'11C (SS)Sem 1'!Q33</f>
        <v>18</v>
      </c>
      <c r="S93" s="105">
        <f>'11C (SS)Sem 1'!R33</f>
        <v>0</v>
      </c>
      <c r="T93" s="105">
        <f>'11C (SS)Sem 1'!S33</f>
        <v>0</v>
      </c>
      <c r="U93" s="6"/>
      <c r="V93" s="6"/>
      <c r="W93" s="6"/>
      <c r="X93" s="6"/>
      <c r="Y93" s="6"/>
    </row>
    <row r="94" spans="1:25" ht="20.100000000000001" customHeight="1" thickBot="1" x14ac:dyDescent="0.3">
      <c r="A94" s="246"/>
      <c r="B94" s="247"/>
      <c r="C94" s="253">
        <v>16</v>
      </c>
      <c r="D94" s="254" t="s">
        <v>23</v>
      </c>
      <c r="E94" s="29" t="s">
        <v>22</v>
      </c>
      <c r="F94" s="30">
        <f>'11C (SS)Sem 2'!E33</f>
        <v>90</v>
      </c>
      <c r="G94" s="31">
        <f>'11C (SS)Sem 2'!F33</f>
        <v>76</v>
      </c>
      <c r="H94" s="31">
        <f>'11C (SS)Sem 2'!G33</f>
        <v>50</v>
      </c>
      <c r="I94" s="31">
        <f>'11C (SS)Sem 2'!H33</f>
        <v>69</v>
      </c>
      <c r="J94" s="30">
        <f>'11C (SS)Sem 2'!I33</f>
        <v>70</v>
      </c>
      <c r="K94" s="30">
        <f>'11C (SS)Sem 2'!J33</f>
        <v>79</v>
      </c>
      <c r="L94" s="30">
        <f>'11C (SS)Sem 2'!K33</f>
        <v>81</v>
      </c>
      <c r="M94" s="30">
        <f>'11C (SS)Sem 2'!L33</f>
        <v>86</v>
      </c>
      <c r="N94" s="30">
        <f>'11C (SS)Sem 2'!M33</f>
        <v>59</v>
      </c>
      <c r="O94" s="30">
        <f>'11C (SS)Sem 2'!N33</f>
        <v>73</v>
      </c>
      <c r="P94" s="30">
        <f>'11C (SS)Sem 2'!O33</f>
        <v>733</v>
      </c>
      <c r="Q94" s="198">
        <f>'11C (SS)Sem 2'!P33</f>
        <v>73.3</v>
      </c>
      <c r="R94" s="105">
        <f>'11C (SS)Sem 2'!Q33</f>
        <v>22</v>
      </c>
      <c r="S94" s="105">
        <f>'11C (SS)Sem 2'!R33</f>
        <v>0</v>
      </c>
      <c r="T94" s="105">
        <f>'11C (SS)Sem 2'!S33</f>
        <v>0</v>
      </c>
      <c r="U94" s="6"/>
      <c r="V94" s="6"/>
      <c r="W94" s="6"/>
      <c r="X94" s="6"/>
      <c r="Y94" s="6"/>
    </row>
    <row r="95" spans="1:25" ht="20.100000000000001" customHeight="1" thickBot="1" x14ac:dyDescent="0.3">
      <c r="A95" s="246"/>
      <c r="B95" s="247"/>
      <c r="C95" s="253">
        <v>16</v>
      </c>
      <c r="D95" s="254" t="s">
        <v>23</v>
      </c>
      <c r="E95" s="29" t="s">
        <v>16</v>
      </c>
      <c r="F95" s="30">
        <f>AVERAGE(F93:F94)</f>
        <v>86</v>
      </c>
      <c r="G95" s="30">
        <f t="shared" ref="G95:Q95" si="29">AVERAGE(G93:G94)</f>
        <v>75.5</v>
      </c>
      <c r="H95" s="30">
        <f t="shared" si="29"/>
        <v>61</v>
      </c>
      <c r="I95" s="30">
        <f t="shared" si="29"/>
        <v>69</v>
      </c>
      <c r="J95" s="30">
        <f t="shared" si="29"/>
        <v>70</v>
      </c>
      <c r="K95" s="30">
        <f t="shared" si="29"/>
        <v>70.5</v>
      </c>
      <c r="L95" s="30">
        <f t="shared" si="29"/>
        <v>77.5</v>
      </c>
      <c r="M95" s="30">
        <f t="shared" si="29"/>
        <v>83.5</v>
      </c>
      <c r="N95" s="30">
        <f t="shared" si="29"/>
        <v>56.5</v>
      </c>
      <c r="O95" s="30">
        <f t="shared" si="29"/>
        <v>66.5</v>
      </c>
      <c r="P95" s="30">
        <f t="shared" si="29"/>
        <v>716</v>
      </c>
      <c r="Q95" s="198">
        <f t="shared" si="29"/>
        <v>71.599999999999994</v>
      </c>
      <c r="R95" s="30">
        <f>'11C Sem avr (SS)'!$H$33</f>
        <v>21</v>
      </c>
      <c r="S95" s="30">
        <f>AVERAGE(S93:S94)</f>
        <v>0</v>
      </c>
      <c r="T95" s="30">
        <f>AVERAGE(T93:T94)</f>
        <v>0</v>
      </c>
      <c r="U95" s="6"/>
      <c r="V95" s="6"/>
      <c r="W95" s="6"/>
      <c r="X95" s="6"/>
      <c r="Y95" s="6"/>
    </row>
    <row r="96" spans="1:25" ht="20.100000000000001" customHeight="1" thickBot="1" x14ac:dyDescent="0.3">
      <c r="A96" s="252">
        <v>31</v>
      </c>
      <c r="B96" s="247"/>
      <c r="C96" s="247"/>
      <c r="D96" s="248"/>
      <c r="E96" s="29" t="s">
        <v>21</v>
      </c>
      <c r="F96" s="30">
        <f>'11C (SS)Sem 1'!E34</f>
        <v>0</v>
      </c>
      <c r="G96" s="30">
        <f>'11C (SS)Sem 1'!F34</f>
        <v>0</v>
      </c>
      <c r="H96" s="31">
        <f>'11C (SS)Sem 1'!G34</f>
        <v>0</v>
      </c>
      <c r="I96" s="30">
        <f>'11C (SS)Sem 1'!H34</f>
        <v>0</v>
      </c>
      <c r="J96" s="30">
        <f>'11C (SS)Sem 1'!I34</f>
        <v>0</v>
      </c>
      <c r="K96" s="30">
        <f>'11C (SS)Sem 1'!J34</f>
        <v>0</v>
      </c>
      <c r="L96" s="31">
        <f>'11C (SS)Sem 1'!K34</f>
        <v>0</v>
      </c>
      <c r="M96" s="30">
        <f>'11C (SS)Sem 1'!L34</f>
        <v>0</v>
      </c>
      <c r="N96" s="30">
        <f>'11C (SS)Sem 1'!M34</f>
        <v>0</v>
      </c>
      <c r="O96" s="30">
        <f>'11C (SS)Sem 1'!N34</f>
        <v>0</v>
      </c>
      <c r="P96" s="30">
        <f>'11C (SS)Sem 1'!O34</f>
        <v>0</v>
      </c>
      <c r="Q96" s="198">
        <f>'11C (SS)Sem 1'!P34</f>
        <v>0</v>
      </c>
      <c r="R96" s="105">
        <f>'11C (SS)Sem 1'!Q34</f>
        <v>0</v>
      </c>
      <c r="S96" s="105">
        <f>'11C (SS)Sem 1'!R34</f>
        <v>0</v>
      </c>
      <c r="T96" s="105">
        <f>'11C (SS)Sem 1'!S34</f>
        <v>0</v>
      </c>
      <c r="U96" s="6"/>
      <c r="V96" s="6"/>
      <c r="W96" s="6"/>
      <c r="X96" s="6"/>
      <c r="Y96" s="6"/>
    </row>
    <row r="97" spans="1:25" ht="20.100000000000001" customHeight="1" thickBot="1" x14ac:dyDescent="0.3">
      <c r="A97" s="252"/>
      <c r="B97" s="247"/>
      <c r="C97" s="247"/>
      <c r="D97" s="248"/>
      <c r="E97" s="29" t="s">
        <v>22</v>
      </c>
      <c r="F97" s="30">
        <f>'11C (SS)Sem 2'!E34</f>
        <v>0</v>
      </c>
      <c r="G97" s="30">
        <f>'11C (SS)Sem 2'!F34</f>
        <v>0</v>
      </c>
      <c r="H97" s="31">
        <f>'11C (SS)Sem 2'!G34</f>
        <v>0</v>
      </c>
      <c r="I97" s="30">
        <f>'11C (SS)Sem 2'!H34</f>
        <v>0</v>
      </c>
      <c r="J97" s="30">
        <f>'11C (SS)Sem 2'!I34</f>
        <v>0</v>
      </c>
      <c r="K97" s="30">
        <f>'11C (SS)Sem 2'!J34</f>
        <v>0</v>
      </c>
      <c r="L97" s="31">
        <f>'11C (SS)Sem 2'!K34</f>
        <v>0</v>
      </c>
      <c r="M97" s="30">
        <f>'11C (SS)Sem 2'!L34</f>
        <v>0</v>
      </c>
      <c r="N97" s="30">
        <f>'11C (SS)Sem 2'!M34</f>
        <v>0</v>
      </c>
      <c r="O97" s="30">
        <f>'11C (SS)Sem 2'!N34</f>
        <v>0</v>
      </c>
      <c r="P97" s="30">
        <f>'11C (SS)Sem 2'!O34</f>
        <v>0</v>
      </c>
      <c r="Q97" s="198">
        <f>'11C (SS)Sem 2'!P34</f>
        <v>0</v>
      </c>
      <c r="R97" s="105">
        <f>'11C (SS)Sem 2'!Q34</f>
        <v>0</v>
      </c>
      <c r="S97" s="105">
        <f>'11C (SS)Sem 2'!R34</f>
        <v>0</v>
      </c>
      <c r="T97" s="105">
        <f>'11C (SS)Sem 2'!S34</f>
        <v>0</v>
      </c>
      <c r="U97" s="6"/>
      <c r="V97" s="6"/>
      <c r="W97" s="6"/>
      <c r="X97" s="6"/>
      <c r="Y97" s="6"/>
    </row>
    <row r="98" spans="1:25" ht="20.100000000000001" customHeight="1" thickBot="1" x14ac:dyDescent="0.3">
      <c r="A98" s="252"/>
      <c r="B98" s="247"/>
      <c r="C98" s="247"/>
      <c r="D98" s="248"/>
      <c r="E98" s="29" t="s">
        <v>16</v>
      </c>
      <c r="F98" s="30">
        <f>AVERAGE(F96:F97)</f>
        <v>0</v>
      </c>
      <c r="G98" s="30">
        <f t="shared" ref="G98:Q98" si="30">AVERAGE(G96:G97)</f>
        <v>0</v>
      </c>
      <c r="H98" s="30">
        <f t="shared" si="30"/>
        <v>0</v>
      </c>
      <c r="I98" s="30">
        <f t="shared" si="30"/>
        <v>0</v>
      </c>
      <c r="J98" s="30">
        <f t="shared" si="30"/>
        <v>0</v>
      </c>
      <c r="K98" s="30">
        <f t="shared" si="30"/>
        <v>0</v>
      </c>
      <c r="L98" s="30">
        <f t="shared" si="30"/>
        <v>0</v>
      </c>
      <c r="M98" s="30">
        <f t="shared" si="30"/>
        <v>0</v>
      </c>
      <c r="N98" s="30">
        <f t="shared" si="30"/>
        <v>0</v>
      </c>
      <c r="O98" s="30">
        <f t="shared" si="30"/>
        <v>0</v>
      </c>
      <c r="P98" s="30">
        <f t="shared" si="30"/>
        <v>0</v>
      </c>
      <c r="Q98" s="198">
        <f t="shared" si="30"/>
        <v>0</v>
      </c>
      <c r="R98" s="30">
        <f>'11C Sem avr (SS)'!$H$34</f>
        <v>0</v>
      </c>
      <c r="S98" s="30">
        <f>AVERAGE(S96:S97)</f>
        <v>0</v>
      </c>
      <c r="T98" s="30">
        <f>AVERAGE(T96:T97)</f>
        <v>0</v>
      </c>
      <c r="U98" s="6"/>
      <c r="V98" s="6"/>
      <c r="W98" s="6"/>
      <c r="X98" s="6"/>
      <c r="Y98" s="6"/>
    </row>
    <row r="99" spans="1:25" ht="20.100000000000001" customHeight="1" thickBot="1" x14ac:dyDescent="0.3">
      <c r="A99" s="252">
        <v>32</v>
      </c>
      <c r="B99" s="247"/>
      <c r="C99" s="247"/>
      <c r="D99" s="248"/>
      <c r="E99" s="29" t="s">
        <v>21</v>
      </c>
      <c r="F99" s="30">
        <f>'11C (SS)Sem 1'!E35</f>
        <v>0</v>
      </c>
      <c r="G99" s="30">
        <f>'11C (SS)Sem 1'!F35</f>
        <v>0</v>
      </c>
      <c r="H99" s="30">
        <f>'11C (SS)Sem 1'!G35</f>
        <v>0</v>
      </c>
      <c r="I99" s="30">
        <f>'11C (SS)Sem 1'!H35</f>
        <v>0</v>
      </c>
      <c r="J99" s="30">
        <f>'11C (SS)Sem 1'!I35</f>
        <v>0</v>
      </c>
      <c r="K99" s="30">
        <f>'11C (SS)Sem 1'!J35</f>
        <v>0</v>
      </c>
      <c r="L99" s="30">
        <f>'11C (SS)Sem 1'!K35</f>
        <v>0</v>
      </c>
      <c r="M99" s="30">
        <f>'11C (SS)Sem 1'!L35</f>
        <v>0</v>
      </c>
      <c r="N99" s="30">
        <f>'11C (SS)Sem 1'!M35</f>
        <v>0</v>
      </c>
      <c r="O99" s="30">
        <f>'11C (SS)Sem 1'!N35</f>
        <v>0</v>
      </c>
      <c r="P99" s="30">
        <f>'11C (SS)Sem 1'!O35</f>
        <v>0</v>
      </c>
      <c r="Q99" s="198">
        <f>'11C (SS)Sem 1'!P35</f>
        <v>0</v>
      </c>
      <c r="R99" s="105">
        <f>'11C (SS)Sem 1'!Q35</f>
        <v>0</v>
      </c>
      <c r="S99" s="105">
        <f>'11C (SS)Sem 1'!R35</f>
        <v>0</v>
      </c>
      <c r="T99" s="105">
        <f>'11C (SS)Sem 1'!S35</f>
        <v>0</v>
      </c>
      <c r="U99" s="6"/>
      <c r="V99" s="6"/>
      <c r="W99" s="6"/>
      <c r="X99" s="6"/>
      <c r="Y99" s="6"/>
    </row>
    <row r="100" spans="1:25" ht="20.100000000000001" customHeight="1" thickBot="1" x14ac:dyDescent="0.3">
      <c r="A100" s="252"/>
      <c r="B100" s="247"/>
      <c r="C100" s="247"/>
      <c r="D100" s="248"/>
      <c r="E100" s="29" t="s">
        <v>22</v>
      </c>
      <c r="F100" s="30">
        <f>'11C (SS)Sem 2'!E35</f>
        <v>0</v>
      </c>
      <c r="G100" s="30">
        <f>'11C (SS)Sem 2'!F35</f>
        <v>0</v>
      </c>
      <c r="H100" s="30">
        <f>'11C (SS)Sem 2'!G35</f>
        <v>0</v>
      </c>
      <c r="I100" s="30">
        <f>'11C (SS)Sem 2'!H35</f>
        <v>0</v>
      </c>
      <c r="J100" s="30">
        <f>'11C (SS)Sem 2'!I35</f>
        <v>0</v>
      </c>
      <c r="K100" s="30">
        <f>'11C (SS)Sem 2'!J35</f>
        <v>0</v>
      </c>
      <c r="L100" s="30">
        <f>'11C (SS)Sem 2'!K35</f>
        <v>0</v>
      </c>
      <c r="M100" s="30">
        <f>'11C (SS)Sem 2'!L35</f>
        <v>0</v>
      </c>
      <c r="N100" s="30">
        <f>'11C (SS)Sem 2'!M35</f>
        <v>0</v>
      </c>
      <c r="O100" s="30">
        <f>'11C (SS)Sem 2'!N35</f>
        <v>0</v>
      </c>
      <c r="P100" s="30">
        <f>'11C (SS)Sem 2'!O35</f>
        <v>0</v>
      </c>
      <c r="Q100" s="198">
        <f>'11C (SS)Sem 2'!P35</f>
        <v>0</v>
      </c>
      <c r="R100" s="105">
        <f>'11C (SS)Sem 2'!Q35</f>
        <v>0</v>
      </c>
      <c r="S100" s="105">
        <f>'11C (SS)Sem 2'!R35</f>
        <v>0</v>
      </c>
      <c r="T100" s="105">
        <f>'11C (SS)Sem 2'!S35</f>
        <v>0</v>
      </c>
      <c r="U100" s="6"/>
      <c r="V100" s="6"/>
      <c r="W100" s="6"/>
      <c r="X100" s="6"/>
      <c r="Y100" s="6"/>
    </row>
    <row r="101" spans="1:25" ht="20.100000000000001" customHeight="1" thickBot="1" x14ac:dyDescent="0.3">
      <c r="A101" s="252"/>
      <c r="B101" s="247"/>
      <c r="C101" s="247"/>
      <c r="D101" s="248"/>
      <c r="E101" s="29" t="s">
        <v>16</v>
      </c>
      <c r="F101" s="30">
        <f>AVERAGE(F99:F100)</f>
        <v>0</v>
      </c>
      <c r="G101" s="30">
        <f t="shared" ref="G101:Q101" si="31">AVERAGE(G99:G100)</f>
        <v>0</v>
      </c>
      <c r="H101" s="30">
        <f t="shared" si="31"/>
        <v>0</v>
      </c>
      <c r="I101" s="30">
        <f t="shared" si="31"/>
        <v>0</v>
      </c>
      <c r="J101" s="30">
        <f t="shared" si="31"/>
        <v>0</v>
      </c>
      <c r="K101" s="30">
        <f t="shared" si="31"/>
        <v>0</v>
      </c>
      <c r="L101" s="30">
        <f t="shared" si="31"/>
        <v>0</v>
      </c>
      <c r="M101" s="30">
        <f t="shared" si="31"/>
        <v>0</v>
      </c>
      <c r="N101" s="30">
        <f t="shared" si="31"/>
        <v>0</v>
      </c>
      <c r="O101" s="30">
        <f t="shared" si="31"/>
        <v>0</v>
      </c>
      <c r="P101" s="30">
        <f t="shared" si="31"/>
        <v>0</v>
      </c>
      <c r="Q101" s="198">
        <f t="shared" si="31"/>
        <v>0</v>
      </c>
      <c r="R101" s="30">
        <f>'11C Sem avr (SS)'!$H$35</f>
        <v>0</v>
      </c>
      <c r="S101" s="30">
        <f>AVERAGE(S99:S100)</f>
        <v>0</v>
      </c>
      <c r="T101" s="30">
        <f>AVERAGE(T99:T100)</f>
        <v>0</v>
      </c>
      <c r="U101" s="6"/>
      <c r="V101" s="6"/>
      <c r="W101" s="6"/>
      <c r="X101" s="6"/>
      <c r="Y101" s="6"/>
    </row>
    <row r="102" spans="1:25" ht="20.100000000000001" customHeight="1" thickBot="1" x14ac:dyDescent="0.3">
      <c r="A102" s="252">
        <v>33</v>
      </c>
      <c r="B102" s="247"/>
      <c r="C102" s="247"/>
      <c r="D102" s="248"/>
      <c r="E102" s="29" t="s">
        <v>21</v>
      </c>
      <c r="F102" s="30">
        <f>'11C (SS)Sem 1'!E36</f>
        <v>0</v>
      </c>
      <c r="G102" s="30">
        <f>'11C (SS)Sem 1'!F36</f>
        <v>0</v>
      </c>
      <c r="H102" s="31">
        <f>'11C (SS)Sem 1'!G36</f>
        <v>0</v>
      </c>
      <c r="I102" s="30">
        <f>'11C (SS)Sem 1'!H36</f>
        <v>0</v>
      </c>
      <c r="J102" s="30">
        <f>'11C (SS)Sem 1'!I36</f>
        <v>0</v>
      </c>
      <c r="K102" s="30">
        <f>'11C (SS)Sem 1'!J36</f>
        <v>0</v>
      </c>
      <c r="L102" s="30">
        <f>'11C (SS)Sem 1'!K36</f>
        <v>0</v>
      </c>
      <c r="M102" s="30">
        <f>'11C (SS)Sem 1'!L36</f>
        <v>0</v>
      </c>
      <c r="N102" s="30">
        <f>'11C (SS)Sem 1'!M36</f>
        <v>0</v>
      </c>
      <c r="O102" s="30">
        <f>'11C (SS)Sem 1'!N36</f>
        <v>0</v>
      </c>
      <c r="P102" s="30">
        <f>'11C (SS)Sem 1'!O36</f>
        <v>0</v>
      </c>
      <c r="Q102" s="198">
        <f>'11C (SS)Sem 1'!P36</f>
        <v>0</v>
      </c>
      <c r="R102" s="105">
        <f>'11C (SS)Sem 1'!Q36</f>
        <v>0</v>
      </c>
      <c r="S102" s="105">
        <f>'11C (SS)Sem 1'!R36</f>
        <v>0</v>
      </c>
      <c r="T102" s="105">
        <f>'11C (SS)Sem 1'!S36</f>
        <v>0</v>
      </c>
      <c r="U102" s="6"/>
      <c r="V102" s="6"/>
      <c r="W102" s="6"/>
      <c r="X102" s="6"/>
      <c r="Y102" s="6"/>
    </row>
    <row r="103" spans="1:25" ht="20.100000000000001" customHeight="1" thickBot="1" x14ac:dyDescent="0.3">
      <c r="A103" s="252"/>
      <c r="B103" s="247"/>
      <c r="C103" s="247"/>
      <c r="D103" s="248"/>
      <c r="E103" s="29" t="s">
        <v>22</v>
      </c>
      <c r="F103" s="30">
        <f>'11C (SS)Sem 2'!E36</f>
        <v>0</v>
      </c>
      <c r="G103" s="30">
        <f>'11C (SS)Sem 2'!F36</f>
        <v>0</v>
      </c>
      <c r="H103" s="31">
        <f>'11C (SS)Sem 2'!G36</f>
        <v>0</v>
      </c>
      <c r="I103" s="30">
        <f>'11C (SS)Sem 2'!H36</f>
        <v>0</v>
      </c>
      <c r="J103" s="30">
        <f>'11C (SS)Sem 2'!I36</f>
        <v>0</v>
      </c>
      <c r="K103" s="30">
        <f>'11C (SS)Sem 2'!J36</f>
        <v>0</v>
      </c>
      <c r="L103" s="30">
        <f>'11C (SS)Sem 2'!K36</f>
        <v>0</v>
      </c>
      <c r="M103" s="30">
        <f>'11C (SS)Sem 2'!L36</f>
        <v>0</v>
      </c>
      <c r="N103" s="30">
        <f>'11C (SS)Sem 2'!M36</f>
        <v>0</v>
      </c>
      <c r="O103" s="30">
        <f>'11C (SS)Sem 2'!N36</f>
        <v>0</v>
      </c>
      <c r="P103" s="30">
        <f>'11C (SS)Sem 2'!O36</f>
        <v>0</v>
      </c>
      <c r="Q103" s="198">
        <f>'11C (SS)Sem 2'!P36</f>
        <v>0</v>
      </c>
      <c r="R103" s="105">
        <f>'11C (SS)Sem 2'!Q36</f>
        <v>0</v>
      </c>
      <c r="S103" s="105">
        <f>'11C (SS)Sem 2'!R36</f>
        <v>0</v>
      </c>
      <c r="T103" s="105">
        <f>'11C (SS)Sem 2'!S36</f>
        <v>0</v>
      </c>
      <c r="U103" s="6"/>
      <c r="V103" s="6"/>
      <c r="W103" s="6"/>
      <c r="X103" s="6"/>
      <c r="Y103" s="6"/>
    </row>
    <row r="104" spans="1:25" ht="20.100000000000001" customHeight="1" thickBot="1" x14ac:dyDescent="0.3">
      <c r="A104" s="252"/>
      <c r="B104" s="247"/>
      <c r="C104" s="247"/>
      <c r="D104" s="248"/>
      <c r="E104" s="29" t="s">
        <v>16</v>
      </c>
      <c r="F104" s="30">
        <f>AVERAGE(F102:F103)</f>
        <v>0</v>
      </c>
      <c r="G104" s="30">
        <f t="shared" ref="G104:Q104" si="32">AVERAGE(G102:G103)</f>
        <v>0</v>
      </c>
      <c r="H104" s="30">
        <f t="shared" si="32"/>
        <v>0</v>
      </c>
      <c r="I104" s="30">
        <f t="shared" si="32"/>
        <v>0</v>
      </c>
      <c r="J104" s="30">
        <f t="shared" si="32"/>
        <v>0</v>
      </c>
      <c r="K104" s="30">
        <f t="shared" si="32"/>
        <v>0</v>
      </c>
      <c r="L104" s="30">
        <f t="shared" si="32"/>
        <v>0</v>
      </c>
      <c r="M104" s="30">
        <f t="shared" si="32"/>
        <v>0</v>
      </c>
      <c r="N104" s="30">
        <f t="shared" si="32"/>
        <v>0</v>
      </c>
      <c r="O104" s="30">
        <f t="shared" si="32"/>
        <v>0</v>
      </c>
      <c r="P104" s="30">
        <f t="shared" si="32"/>
        <v>0</v>
      </c>
      <c r="Q104" s="198">
        <f t="shared" si="32"/>
        <v>0</v>
      </c>
      <c r="R104" s="30">
        <f>'11C Sem avr (SS)'!$H$36</f>
        <v>0</v>
      </c>
      <c r="S104" s="30">
        <f>AVERAGE(S102:S103)</f>
        <v>0</v>
      </c>
      <c r="T104" s="30">
        <f>AVERAGE(T102:T103)</f>
        <v>0</v>
      </c>
      <c r="U104" s="6"/>
      <c r="V104" s="6"/>
      <c r="W104" s="6"/>
      <c r="X104" s="6"/>
      <c r="Y104" s="6"/>
    </row>
    <row r="105" spans="1:25" ht="20.100000000000001" customHeight="1" thickBot="1" x14ac:dyDescent="0.3">
      <c r="A105" s="246">
        <v>34</v>
      </c>
      <c r="B105" s="247"/>
      <c r="C105" s="253"/>
      <c r="D105" s="254"/>
      <c r="E105" s="29" t="s">
        <v>21</v>
      </c>
      <c r="F105" s="30">
        <f>'11C (SS)Sem 1'!E37</f>
        <v>0</v>
      </c>
      <c r="G105" s="30">
        <f>'11C (SS)Sem 1'!F37</f>
        <v>0</v>
      </c>
      <c r="H105" s="30">
        <f>'11C (SS)Sem 1'!G37</f>
        <v>0</v>
      </c>
      <c r="I105" s="30">
        <f>'11C (SS)Sem 1'!H37</f>
        <v>0</v>
      </c>
      <c r="J105" s="30">
        <f>'11C (SS)Sem 1'!I37</f>
        <v>0</v>
      </c>
      <c r="K105" s="30">
        <f>'11C (SS)Sem 1'!J37</f>
        <v>0</v>
      </c>
      <c r="L105" s="30">
        <f>'11C (SS)Sem 1'!K37</f>
        <v>0</v>
      </c>
      <c r="M105" s="30">
        <f>'11C (SS)Sem 1'!L37</f>
        <v>0</v>
      </c>
      <c r="N105" s="30">
        <f>'11C (SS)Sem 1'!M37</f>
        <v>0</v>
      </c>
      <c r="O105" s="30">
        <f>'11C (SS)Sem 1'!N37</f>
        <v>0</v>
      </c>
      <c r="P105" s="30">
        <f>'11C (SS)Sem 1'!O37</f>
        <v>0</v>
      </c>
      <c r="Q105" s="198">
        <f>'11C (SS)Sem 1'!P37</f>
        <v>0</v>
      </c>
      <c r="R105" s="105">
        <f>'11C (SS)Sem 1'!Q37</f>
        <v>0</v>
      </c>
      <c r="S105" s="105">
        <f>'11C (SS)Sem 1'!R37</f>
        <v>0</v>
      </c>
      <c r="T105" s="105">
        <f>'11C (SS)Sem 1'!S37</f>
        <v>0</v>
      </c>
      <c r="U105" s="6"/>
      <c r="V105" s="6"/>
      <c r="W105" s="6"/>
      <c r="X105" s="6"/>
      <c r="Y105" s="6"/>
    </row>
    <row r="106" spans="1:25" ht="20.100000000000001" customHeight="1" thickBot="1" x14ac:dyDescent="0.3">
      <c r="A106" s="246"/>
      <c r="B106" s="247"/>
      <c r="C106" s="253"/>
      <c r="D106" s="254"/>
      <c r="E106" s="29" t="s">
        <v>22</v>
      </c>
      <c r="F106" s="30">
        <f>'11C (SS)Sem 2'!E37</f>
        <v>0</v>
      </c>
      <c r="G106" s="30">
        <f>'11C (SS)Sem 2'!F37</f>
        <v>0</v>
      </c>
      <c r="H106" s="30">
        <f>'11C (SS)Sem 2'!G37</f>
        <v>0</v>
      </c>
      <c r="I106" s="30">
        <f>'11C (SS)Sem 2'!H37</f>
        <v>0</v>
      </c>
      <c r="J106" s="30">
        <f>'11C (SS)Sem 2'!I37</f>
        <v>0</v>
      </c>
      <c r="K106" s="30">
        <f>'11C (SS)Sem 2'!J37</f>
        <v>0</v>
      </c>
      <c r="L106" s="30">
        <f>'11C (SS)Sem 2'!K37</f>
        <v>0</v>
      </c>
      <c r="M106" s="30">
        <f>'11C (SS)Sem 2'!L37</f>
        <v>0</v>
      </c>
      <c r="N106" s="30">
        <f>'11C (SS)Sem 2'!M37</f>
        <v>0</v>
      </c>
      <c r="O106" s="30">
        <f>'11C (SS)Sem 2'!N37</f>
        <v>0</v>
      </c>
      <c r="P106" s="30">
        <f>'11C (SS)Sem 2'!O37</f>
        <v>0</v>
      </c>
      <c r="Q106" s="198">
        <f>'11C (SS)Sem 2'!P37</f>
        <v>0</v>
      </c>
      <c r="R106" s="105">
        <f>'11C (SS)Sem 2'!Q37</f>
        <v>0</v>
      </c>
      <c r="S106" s="105">
        <f>'11C (SS)Sem 2'!R37</f>
        <v>0</v>
      </c>
      <c r="T106" s="105">
        <f>'11C (SS)Sem 2'!S37</f>
        <v>0</v>
      </c>
      <c r="U106" s="6"/>
      <c r="V106" s="6"/>
      <c r="W106" s="6"/>
      <c r="X106" s="6"/>
      <c r="Y106" s="6"/>
    </row>
    <row r="107" spans="1:25" ht="20.100000000000001" customHeight="1" thickBot="1" x14ac:dyDescent="0.3">
      <c r="A107" s="246"/>
      <c r="B107" s="247"/>
      <c r="C107" s="253"/>
      <c r="D107" s="254"/>
      <c r="E107" s="29" t="s">
        <v>16</v>
      </c>
      <c r="F107" s="30">
        <f>AVERAGE(F105:F106)</f>
        <v>0</v>
      </c>
      <c r="G107" s="30">
        <f t="shared" ref="G107:Q107" si="33">AVERAGE(G105:G106)</f>
        <v>0</v>
      </c>
      <c r="H107" s="30">
        <f t="shared" si="33"/>
        <v>0</v>
      </c>
      <c r="I107" s="30">
        <f t="shared" si="33"/>
        <v>0</v>
      </c>
      <c r="J107" s="30">
        <f t="shared" si="33"/>
        <v>0</v>
      </c>
      <c r="K107" s="30">
        <f t="shared" si="33"/>
        <v>0</v>
      </c>
      <c r="L107" s="30">
        <f t="shared" si="33"/>
        <v>0</v>
      </c>
      <c r="M107" s="30">
        <f t="shared" si="33"/>
        <v>0</v>
      </c>
      <c r="N107" s="30">
        <f t="shared" si="33"/>
        <v>0</v>
      </c>
      <c r="O107" s="30">
        <f t="shared" si="33"/>
        <v>0</v>
      </c>
      <c r="P107" s="30">
        <f t="shared" si="33"/>
        <v>0</v>
      </c>
      <c r="Q107" s="198">
        <f t="shared" si="33"/>
        <v>0</v>
      </c>
      <c r="R107" s="30">
        <f>'11C Sem avr (SS)'!$H$37</f>
        <v>0</v>
      </c>
      <c r="S107" s="30">
        <f>AVERAGE(S105:S106)</f>
        <v>0</v>
      </c>
      <c r="T107" s="30">
        <f>AVERAGE(T105:T106)</f>
        <v>0</v>
      </c>
      <c r="U107" s="6"/>
      <c r="V107" s="6"/>
      <c r="W107" s="6"/>
      <c r="X107" s="6"/>
      <c r="Y107" s="6"/>
    </row>
    <row r="108" spans="1:25" ht="20.100000000000001" customHeight="1" thickBot="1" x14ac:dyDescent="0.3">
      <c r="A108" s="246">
        <v>35</v>
      </c>
      <c r="B108" s="247"/>
      <c r="C108" s="247"/>
      <c r="D108" s="248"/>
      <c r="E108" s="29" t="s">
        <v>21</v>
      </c>
      <c r="F108" s="30">
        <f>'11C (SS)Sem 1'!E38</f>
        <v>0</v>
      </c>
      <c r="G108" s="30">
        <f>'11C (SS)Sem 1'!F38</f>
        <v>0</v>
      </c>
      <c r="H108" s="30">
        <f>'11C (SS)Sem 1'!G38</f>
        <v>0</v>
      </c>
      <c r="I108" s="30">
        <f>'11C (SS)Sem 1'!H38</f>
        <v>0</v>
      </c>
      <c r="J108" s="30">
        <f>'11C (SS)Sem 1'!I38</f>
        <v>0</v>
      </c>
      <c r="K108" s="30">
        <f>'11C (SS)Sem 1'!J38</f>
        <v>0</v>
      </c>
      <c r="L108" s="30">
        <f>'11C (SS)Sem 1'!K38</f>
        <v>0</v>
      </c>
      <c r="M108" s="30">
        <f>'11C (SS)Sem 1'!L38</f>
        <v>0</v>
      </c>
      <c r="N108" s="30">
        <f>'11C (SS)Sem 1'!M38</f>
        <v>0</v>
      </c>
      <c r="O108" s="30">
        <f>'11C (SS)Sem 1'!N38</f>
        <v>0</v>
      </c>
      <c r="P108" s="30">
        <f>'11C (SS)Sem 1'!O38</f>
        <v>0</v>
      </c>
      <c r="Q108" s="198">
        <f>'11C (SS)Sem 1'!P38</f>
        <v>0</v>
      </c>
      <c r="R108" s="105">
        <f>'11C (SS)Sem 1'!Q38</f>
        <v>0</v>
      </c>
      <c r="S108" s="105">
        <f>'11C (SS)Sem 1'!R38</f>
        <v>0</v>
      </c>
      <c r="T108" s="105">
        <f>'11C (SS)Sem 1'!S38</f>
        <v>0</v>
      </c>
      <c r="U108" s="6"/>
      <c r="V108" s="6"/>
      <c r="W108" s="6"/>
      <c r="X108" s="6"/>
      <c r="Y108" s="6"/>
    </row>
    <row r="109" spans="1:25" ht="20.100000000000001" customHeight="1" thickBot="1" x14ac:dyDescent="0.3">
      <c r="A109" s="246"/>
      <c r="B109" s="247"/>
      <c r="C109" s="247"/>
      <c r="D109" s="248"/>
      <c r="E109" s="29" t="s">
        <v>22</v>
      </c>
      <c r="F109" s="30">
        <f>'11C (SS)Sem 2'!E38</f>
        <v>0</v>
      </c>
      <c r="G109" s="30">
        <f>'11C (SS)Sem 2'!F38</f>
        <v>0</v>
      </c>
      <c r="H109" s="30">
        <f>'11C (SS)Sem 2'!G38</f>
        <v>0</v>
      </c>
      <c r="I109" s="30">
        <f>'11C (SS)Sem 2'!H38</f>
        <v>0</v>
      </c>
      <c r="J109" s="30">
        <f>'11C (SS)Sem 2'!I38</f>
        <v>0</v>
      </c>
      <c r="K109" s="30">
        <f>'11C (SS)Sem 2'!J38</f>
        <v>0</v>
      </c>
      <c r="L109" s="30">
        <f>'11C (SS)Sem 2'!K38</f>
        <v>0</v>
      </c>
      <c r="M109" s="30">
        <f>'11C (SS)Sem 2'!L38</f>
        <v>0</v>
      </c>
      <c r="N109" s="30">
        <f>'11C (SS)Sem 2'!M38</f>
        <v>0</v>
      </c>
      <c r="O109" s="30">
        <f>'11C (SS)Sem 2'!N38</f>
        <v>0</v>
      </c>
      <c r="P109" s="30">
        <f>'11C (SS)Sem 2'!O38</f>
        <v>0</v>
      </c>
      <c r="Q109" s="198">
        <f>'11C (SS)Sem 2'!P38</f>
        <v>0</v>
      </c>
      <c r="R109" s="105">
        <f>'11C (SS)Sem 2'!Q38</f>
        <v>0</v>
      </c>
      <c r="S109" s="105">
        <f>'11C (SS)Sem 2'!R38</f>
        <v>0</v>
      </c>
      <c r="T109" s="105">
        <f>'11C (SS)Sem 2'!S38</f>
        <v>0</v>
      </c>
      <c r="U109" s="6"/>
      <c r="V109" s="6"/>
      <c r="W109" s="6"/>
      <c r="X109" s="6"/>
      <c r="Y109" s="6"/>
    </row>
    <row r="110" spans="1:25" ht="20.100000000000001" customHeight="1" thickBot="1" x14ac:dyDescent="0.3">
      <c r="A110" s="246"/>
      <c r="B110" s="247"/>
      <c r="C110" s="247"/>
      <c r="D110" s="248"/>
      <c r="E110" s="29" t="s">
        <v>16</v>
      </c>
      <c r="F110" s="30">
        <f>AVERAGE(F108:F109)</f>
        <v>0</v>
      </c>
      <c r="G110" s="30">
        <f t="shared" ref="G110:Q110" si="34">AVERAGE(G108:G109)</f>
        <v>0</v>
      </c>
      <c r="H110" s="30">
        <f t="shared" si="34"/>
        <v>0</v>
      </c>
      <c r="I110" s="30">
        <f t="shared" si="34"/>
        <v>0</v>
      </c>
      <c r="J110" s="30">
        <f t="shared" si="34"/>
        <v>0</v>
      </c>
      <c r="K110" s="30">
        <f t="shared" si="34"/>
        <v>0</v>
      </c>
      <c r="L110" s="30">
        <f t="shared" si="34"/>
        <v>0</v>
      </c>
      <c r="M110" s="30">
        <f t="shared" si="34"/>
        <v>0</v>
      </c>
      <c r="N110" s="30">
        <f t="shared" si="34"/>
        <v>0</v>
      </c>
      <c r="O110" s="30">
        <f t="shared" si="34"/>
        <v>0</v>
      </c>
      <c r="P110" s="30">
        <f t="shared" si="34"/>
        <v>0</v>
      </c>
      <c r="Q110" s="198">
        <f t="shared" si="34"/>
        <v>0</v>
      </c>
      <c r="R110" s="30">
        <f>'11C Sem avr (SS)'!$H$38</f>
        <v>0</v>
      </c>
      <c r="S110" s="30">
        <f>AVERAGE(S108:S109)</f>
        <v>0</v>
      </c>
      <c r="T110" s="30">
        <f>AVERAGE(T108:T109)</f>
        <v>0</v>
      </c>
      <c r="U110" s="6"/>
      <c r="V110" s="6"/>
      <c r="W110" s="6"/>
      <c r="X110" s="6"/>
      <c r="Y110" s="6"/>
    </row>
    <row r="111" spans="1:25" ht="20.100000000000001" customHeight="1" thickBot="1" x14ac:dyDescent="0.3">
      <c r="A111" s="246">
        <v>36</v>
      </c>
      <c r="B111" s="247"/>
      <c r="C111" s="253"/>
      <c r="D111" s="254"/>
      <c r="E111" s="29" t="s">
        <v>21</v>
      </c>
      <c r="F111" s="30">
        <f>'11C (SS)Sem 1'!E39</f>
        <v>0</v>
      </c>
      <c r="G111" s="30">
        <f>'11C (SS)Sem 1'!F39</f>
        <v>0</v>
      </c>
      <c r="H111" s="31">
        <f>'11C (SS)Sem 1'!G39</f>
        <v>0</v>
      </c>
      <c r="I111" s="30">
        <f>'11C (SS)Sem 1'!H39</f>
        <v>0</v>
      </c>
      <c r="J111" s="30">
        <f>'11C (SS)Sem 1'!I39</f>
        <v>0</v>
      </c>
      <c r="K111" s="30">
        <f>'11C (SS)Sem 1'!J39</f>
        <v>0</v>
      </c>
      <c r="L111" s="30">
        <f>'11C (SS)Sem 1'!K39</f>
        <v>0</v>
      </c>
      <c r="M111" s="30">
        <f>'11C (SS)Sem 1'!L39</f>
        <v>0</v>
      </c>
      <c r="N111" s="30">
        <f>'11C (SS)Sem 1'!M39</f>
        <v>0</v>
      </c>
      <c r="O111" s="30">
        <f>'11C (SS)Sem 1'!N39</f>
        <v>0</v>
      </c>
      <c r="P111" s="30">
        <f>'11C (SS)Sem 1'!O39</f>
        <v>0</v>
      </c>
      <c r="Q111" s="198">
        <f>'11C (SS)Sem 1'!P39</f>
        <v>0</v>
      </c>
      <c r="R111" s="105">
        <f>'11C (SS)Sem 1'!Q39</f>
        <v>0</v>
      </c>
      <c r="S111" s="105">
        <f>'11C (SS)Sem 1'!R39</f>
        <v>0</v>
      </c>
      <c r="T111" s="105">
        <f>'11C (SS)Sem 1'!S39</f>
        <v>0</v>
      </c>
      <c r="U111" s="6"/>
      <c r="V111" s="6"/>
      <c r="W111" s="6"/>
      <c r="X111" s="6"/>
      <c r="Y111" s="6"/>
    </row>
    <row r="112" spans="1:25" ht="20.100000000000001" customHeight="1" thickBot="1" x14ac:dyDescent="0.3">
      <c r="A112" s="246"/>
      <c r="B112" s="247"/>
      <c r="C112" s="253"/>
      <c r="D112" s="254"/>
      <c r="E112" s="29" t="s">
        <v>22</v>
      </c>
      <c r="F112" s="30">
        <f>'11C (SS)Sem 2'!E39</f>
        <v>0</v>
      </c>
      <c r="G112" s="30">
        <f>'11C (SS)Sem 2'!F39</f>
        <v>0</v>
      </c>
      <c r="H112" s="31">
        <f>'11C (SS)Sem 2'!G39</f>
        <v>0</v>
      </c>
      <c r="I112" s="30">
        <f>'11C (SS)Sem 2'!H39</f>
        <v>0</v>
      </c>
      <c r="J112" s="30">
        <f>'11C (SS)Sem 2'!I39</f>
        <v>0</v>
      </c>
      <c r="K112" s="30">
        <f>'11C (SS)Sem 2'!J39</f>
        <v>0</v>
      </c>
      <c r="L112" s="30">
        <f>'11C (SS)Sem 2'!K39</f>
        <v>0</v>
      </c>
      <c r="M112" s="30">
        <f>'11C (SS)Sem 2'!L39</f>
        <v>0</v>
      </c>
      <c r="N112" s="30">
        <f>'11C (SS)Sem 2'!M39</f>
        <v>0</v>
      </c>
      <c r="O112" s="30">
        <f>'11C (SS)Sem 2'!N39</f>
        <v>0</v>
      </c>
      <c r="P112" s="30">
        <f>'11C (SS)Sem 2'!O39</f>
        <v>0</v>
      </c>
      <c r="Q112" s="198">
        <f>'11C (SS)Sem 2'!P39</f>
        <v>0</v>
      </c>
      <c r="R112" s="105">
        <f>'11C (SS)Sem 2'!Q39</f>
        <v>0</v>
      </c>
      <c r="S112" s="105">
        <f>'11C (SS)Sem 2'!R39</f>
        <v>0</v>
      </c>
      <c r="T112" s="105">
        <f>'11C (SS)Sem 2'!S39</f>
        <v>0</v>
      </c>
      <c r="U112" s="6"/>
      <c r="V112" s="6"/>
      <c r="W112" s="6"/>
      <c r="X112" s="6"/>
      <c r="Y112" s="6"/>
    </row>
    <row r="113" spans="1:25" ht="20.100000000000001" customHeight="1" thickBot="1" x14ac:dyDescent="0.3">
      <c r="A113" s="246"/>
      <c r="B113" s="247"/>
      <c r="C113" s="253"/>
      <c r="D113" s="254"/>
      <c r="E113" s="29" t="s">
        <v>16</v>
      </c>
      <c r="F113" s="30">
        <f>AVERAGE(F111:F112)</f>
        <v>0</v>
      </c>
      <c r="G113" s="30">
        <f t="shared" ref="G113:Q113" si="35">AVERAGE(G111:G112)</f>
        <v>0</v>
      </c>
      <c r="H113" s="30">
        <f t="shared" si="35"/>
        <v>0</v>
      </c>
      <c r="I113" s="30">
        <f t="shared" si="35"/>
        <v>0</v>
      </c>
      <c r="J113" s="30">
        <f t="shared" si="35"/>
        <v>0</v>
      </c>
      <c r="K113" s="30">
        <f t="shared" si="35"/>
        <v>0</v>
      </c>
      <c r="L113" s="30">
        <f t="shared" si="35"/>
        <v>0</v>
      </c>
      <c r="M113" s="30">
        <f t="shared" si="35"/>
        <v>0</v>
      </c>
      <c r="N113" s="30">
        <f t="shared" si="35"/>
        <v>0</v>
      </c>
      <c r="O113" s="30">
        <f t="shared" si="35"/>
        <v>0</v>
      </c>
      <c r="P113" s="30">
        <f t="shared" si="35"/>
        <v>0</v>
      </c>
      <c r="Q113" s="198">
        <f t="shared" si="35"/>
        <v>0</v>
      </c>
      <c r="R113" s="30">
        <f>'11C Sem avr (SS)'!$H$39</f>
        <v>0</v>
      </c>
      <c r="S113" s="30">
        <f>AVERAGE(S111:S112)</f>
        <v>0</v>
      </c>
      <c r="T113" s="30">
        <f>AVERAGE(T111:T112)</f>
        <v>0</v>
      </c>
      <c r="U113" s="6"/>
      <c r="V113" s="6"/>
      <c r="W113" s="6"/>
      <c r="X113" s="6"/>
      <c r="Y113" s="6"/>
    </row>
    <row r="114" spans="1:25" ht="20.100000000000001" customHeight="1" thickBot="1" x14ac:dyDescent="0.3">
      <c r="A114" s="252">
        <v>37</v>
      </c>
      <c r="B114" s="247"/>
      <c r="C114" s="253"/>
      <c r="D114" s="254"/>
      <c r="E114" s="29" t="s">
        <v>21</v>
      </c>
      <c r="F114" s="30">
        <f>'11C (SS)Sem 1'!E40</f>
        <v>0</v>
      </c>
      <c r="G114" s="30">
        <f>'11C (SS)Sem 1'!F40</f>
        <v>0</v>
      </c>
      <c r="H114" s="30">
        <f>'11C (SS)Sem 1'!G40</f>
        <v>0</v>
      </c>
      <c r="I114" s="30">
        <f>'11C (SS)Sem 1'!H40</f>
        <v>0</v>
      </c>
      <c r="J114" s="30">
        <f>'11C (SS)Sem 1'!I40</f>
        <v>0</v>
      </c>
      <c r="K114" s="30">
        <f>'11C (SS)Sem 1'!J40</f>
        <v>0</v>
      </c>
      <c r="L114" s="30">
        <f>'11C (SS)Sem 1'!K40</f>
        <v>0</v>
      </c>
      <c r="M114" s="30">
        <f>'11C (SS)Sem 1'!L40</f>
        <v>0</v>
      </c>
      <c r="N114" s="30">
        <f>'11C (SS)Sem 1'!M40</f>
        <v>0</v>
      </c>
      <c r="O114" s="30">
        <f>'11C (SS)Sem 1'!N40</f>
        <v>0</v>
      </c>
      <c r="P114" s="30">
        <f>'11C (SS)Sem 1'!O40</f>
        <v>0</v>
      </c>
      <c r="Q114" s="198">
        <f>'11C (SS)Sem 1'!P40</f>
        <v>0</v>
      </c>
      <c r="R114" s="105">
        <f>'11C (SS)Sem 1'!Q40</f>
        <v>0</v>
      </c>
      <c r="S114" s="105">
        <f>'11C (SS)Sem 1'!R40</f>
        <v>0</v>
      </c>
      <c r="T114" s="105">
        <f>'11C (SS)Sem 1'!S40</f>
        <v>0</v>
      </c>
      <c r="U114" s="6"/>
      <c r="V114" s="6"/>
      <c r="W114" s="6"/>
      <c r="X114" s="6"/>
      <c r="Y114" s="6"/>
    </row>
    <row r="115" spans="1:25" ht="20.100000000000001" customHeight="1" thickBot="1" x14ac:dyDescent="0.3">
      <c r="A115" s="252"/>
      <c r="B115" s="247"/>
      <c r="C115" s="253"/>
      <c r="D115" s="254"/>
      <c r="E115" s="29" t="s">
        <v>22</v>
      </c>
      <c r="F115" s="30">
        <f>'11C (SS)Sem 2'!E40</f>
        <v>0</v>
      </c>
      <c r="G115" s="30">
        <f>'11C (SS)Sem 2'!F40</f>
        <v>0</v>
      </c>
      <c r="H115" s="30">
        <f>'11C (SS)Sem 2'!G40</f>
        <v>0</v>
      </c>
      <c r="I115" s="30">
        <f>'11C (SS)Sem 2'!H40</f>
        <v>0</v>
      </c>
      <c r="J115" s="30">
        <f>'11C (SS)Sem 2'!I40</f>
        <v>0</v>
      </c>
      <c r="K115" s="30">
        <f>'11C (SS)Sem 2'!J40</f>
        <v>0</v>
      </c>
      <c r="L115" s="30">
        <f>'11C (SS)Sem 2'!K40</f>
        <v>0</v>
      </c>
      <c r="M115" s="30">
        <f>'11C (SS)Sem 2'!L40</f>
        <v>0</v>
      </c>
      <c r="N115" s="30">
        <f>'11C (SS)Sem 2'!M40</f>
        <v>0</v>
      </c>
      <c r="O115" s="30">
        <f>'11C (SS)Sem 2'!N40</f>
        <v>0</v>
      </c>
      <c r="P115" s="30">
        <f>'11C (SS)Sem 2'!O40</f>
        <v>0</v>
      </c>
      <c r="Q115" s="198">
        <f>'11C (SS)Sem 2'!P40</f>
        <v>0</v>
      </c>
      <c r="R115" s="105">
        <f>'11C (SS)Sem 2'!Q40</f>
        <v>0</v>
      </c>
      <c r="S115" s="105">
        <f>'11C (SS)Sem 2'!R40</f>
        <v>0</v>
      </c>
      <c r="T115" s="105">
        <f>'11C (SS)Sem 2'!S40</f>
        <v>0</v>
      </c>
      <c r="U115" s="6"/>
      <c r="V115" s="6"/>
      <c r="W115" s="6"/>
      <c r="X115" s="6"/>
      <c r="Y115" s="6"/>
    </row>
    <row r="116" spans="1:25" ht="20.100000000000001" customHeight="1" thickBot="1" x14ac:dyDescent="0.3">
      <c r="A116" s="252"/>
      <c r="B116" s="247"/>
      <c r="C116" s="253"/>
      <c r="D116" s="254"/>
      <c r="E116" s="29" t="s">
        <v>16</v>
      </c>
      <c r="F116" s="30">
        <f>AVERAGE(F114:F115)</f>
        <v>0</v>
      </c>
      <c r="G116" s="30">
        <f t="shared" ref="G116:Q116" si="36">AVERAGE(G114:G115)</f>
        <v>0</v>
      </c>
      <c r="H116" s="30">
        <f t="shared" si="36"/>
        <v>0</v>
      </c>
      <c r="I116" s="30">
        <f t="shared" si="36"/>
        <v>0</v>
      </c>
      <c r="J116" s="30">
        <f t="shared" si="36"/>
        <v>0</v>
      </c>
      <c r="K116" s="30">
        <f t="shared" si="36"/>
        <v>0</v>
      </c>
      <c r="L116" s="30">
        <f t="shared" si="36"/>
        <v>0</v>
      </c>
      <c r="M116" s="30">
        <f t="shared" si="36"/>
        <v>0</v>
      </c>
      <c r="N116" s="30">
        <f t="shared" si="36"/>
        <v>0</v>
      </c>
      <c r="O116" s="30">
        <f t="shared" si="36"/>
        <v>0</v>
      </c>
      <c r="P116" s="30">
        <f t="shared" si="36"/>
        <v>0</v>
      </c>
      <c r="Q116" s="198">
        <f t="shared" si="36"/>
        <v>0</v>
      </c>
      <c r="R116" s="30">
        <f>'11C Sem avr (SS)'!$H$40</f>
        <v>0</v>
      </c>
      <c r="S116" s="30">
        <f>AVERAGE(S114:S115)</f>
        <v>0</v>
      </c>
      <c r="T116" s="30">
        <f>AVERAGE(T114:T115)</f>
        <v>0</v>
      </c>
      <c r="U116" s="6"/>
      <c r="V116" s="6"/>
      <c r="W116" s="6"/>
      <c r="X116" s="6"/>
      <c r="Y116" s="6"/>
    </row>
    <row r="117" spans="1:25" ht="20.100000000000001" customHeight="1" thickBot="1" x14ac:dyDescent="0.3">
      <c r="A117" s="252">
        <v>38</v>
      </c>
      <c r="B117" s="247"/>
      <c r="C117" s="247"/>
      <c r="D117" s="248"/>
      <c r="E117" s="29" t="s">
        <v>21</v>
      </c>
      <c r="F117" s="30">
        <f>'11C (SS)Sem 1'!E41</f>
        <v>0</v>
      </c>
      <c r="G117" s="30">
        <f>'11C (SS)Sem 1'!F41</f>
        <v>0</v>
      </c>
      <c r="H117" s="30">
        <f>'11C (SS)Sem 1'!G41</f>
        <v>0</v>
      </c>
      <c r="I117" s="30">
        <f>'11C (SS)Sem 1'!H41</f>
        <v>0</v>
      </c>
      <c r="J117" s="30">
        <f>'11C (SS)Sem 1'!I41</f>
        <v>0</v>
      </c>
      <c r="K117" s="30">
        <f>'11C (SS)Sem 1'!J41</f>
        <v>0</v>
      </c>
      <c r="L117" s="30">
        <f>'11C (SS)Sem 1'!K41</f>
        <v>0</v>
      </c>
      <c r="M117" s="30">
        <f>'11C (SS)Sem 1'!L41</f>
        <v>0</v>
      </c>
      <c r="N117" s="30">
        <f>'11C (SS)Sem 1'!M41</f>
        <v>0</v>
      </c>
      <c r="O117" s="30">
        <f>'11C (SS)Sem 1'!N41</f>
        <v>0</v>
      </c>
      <c r="P117" s="30">
        <f>'11C (SS)Sem 1'!O41</f>
        <v>0</v>
      </c>
      <c r="Q117" s="198">
        <f>'11C (SS)Sem 1'!P41</f>
        <v>0</v>
      </c>
      <c r="R117" s="105">
        <f>'11C (SS)Sem 1'!Q41</f>
        <v>0</v>
      </c>
      <c r="S117" s="105">
        <f>'11C (SS)Sem 1'!R41</f>
        <v>0</v>
      </c>
      <c r="T117" s="105">
        <f>'11C (SS)Sem 1'!S41</f>
        <v>0</v>
      </c>
      <c r="U117" s="6"/>
      <c r="V117" s="6"/>
      <c r="W117" s="6"/>
      <c r="X117" s="6"/>
      <c r="Y117" s="6"/>
    </row>
    <row r="118" spans="1:25" ht="20.100000000000001" customHeight="1" thickBot="1" x14ac:dyDescent="0.3">
      <c r="A118" s="252"/>
      <c r="B118" s="247"/>
      <c r="C118" s="247"/>
      <c r="D118" s="248"/>
      <c r="E118" s="29" t="s">
        <v>22</v>
      </c>
      <c r="F118" s="30">
        <f>'11C (SS)Sem 2'!E41</f>
        <v>0</v>
      </c>
      <c r="G118" s="30">
        <f>'11C (SS)Sem 2'!F41</f>
        <v>0</v>
      </c>
      <c r="H118" s="30">
        <f>'11C (SS)Sem 2'!G41</f>
        <v>0</v>
      </c>
      <c r="I118" s="30">
        <f>'11C (SS)Sem 2'!H41</f>
        <v>0</v>
      </c>
      <c r="J118" s="30">
        <f>'11C (SS)Sem 2'!I41</f>
        <v>0</v>
      </c>
      <c r="K118" s="30">
        <f>'11C (SS)Sem 2'!J41</f>
        <v>0</v>
      </c>
      <c r="L118" s="30">
        <f>'11C (SS)Sem 2'!K41</f>
        <v>0</v>
      </c>
      <c r="M118" s="30">
        <f>'11C (SS)Sem 2'!L41</f>
        <v>0</v>
      </c>
      <c r="N118" s="30">
        <f>'11C (SS)Sem 2'!M41</f>
        <v>0</v>
      </c>
      <c r="O118" s="30">
        <f>'11C (SS)Sem 2'!N41</f>
        <v>0</v>
      </c>
      <c r="P118" s="30">
        <f>'11C (SS)Sem 2'!O41</f>
        <v>0</v>
      </c>
      <c r="Q118" s="198">
        <f>'11C (SS)Sem 2'!P41</f>
        <v>0</v>
      </c>
      <c r="R118" s="105">
        <f>'11C (SS)Sem 2'!Q41</f>
        <v>0</v>
      </c>
      <c r="S118" s="105">
        <f>'11C (SS)Sem 2'!R41</f>
        <v>0</v>
      </c>
      <c r="T118" s="105">
        <f>'11C (SS)Sem 2'!S41</f>
        <v>0</v>
      </c>
      <c r="U118" s="6"/>
      <c r="V118" s="6"/>
      <c r="W118" s="6"/>
      <c r="X118" s="6"/>
      <c r="Y118" s="6"/>
    </row>
    <row r="119" spans="1:25" ht="20.100000000000001" customHeight="1" x14ac:dyDescent="0.25">
      <c r="A119" s="280"/>
      <c r="B119" s="250"/>
      <c r="C119" s="250"/>
      <c r="D119" s="251"/>
      <c r="E119" s="108" t="s">
        <v>16</v>
      </c>
      <c r="F119" s="109">
        <f>AVERAGE(F117:F118)</f>
        <v>0</v>
      </c>
      <c r="G119" s="109">
        <f t="shared" ref="G119:Q119" si="37">AVERAGE(G117:G118)</f>
        <v>0</v>
      </c>
      <c r="H119" s="109">
        <f t="shared" si="37"/>
        <v>0</v>
      </c>
      <c r="I119" s="109">
        <f t="shared" si="37"/>
        <v>0</v>
      </c>
      <c r="J119" s="109">
        <f t="shared" si="37"/>
        <v>0</v>
      </c>
      <c r="K119" s="109">
        <f t="shared" si="37"/>
        <v>0</v>
      </c>
      <c r="L119" s="109">
        <f t="shared" si="37"/>
        <v>0</v>
      </c>
      <c r="M119" s="109">
        <f t="shared" si="37"/>
        <v>0</v>
      </c>
      <c r="N119" s="109">
        <f t="shared" si="37"/>
        <v>0</v>
      </c>
      <c r="O119" s="109">
        <f t="shared" si="37"/>
        <v>0</v>
      </c>
      <c r="P119" s="109">
        <f t="shared" si="37"/>
        <v>0</v>
      </c>
      <c r="Q119" s="202">
        <f t="shared" si="37"/>
        <v>0</v>
      </c>
      <c r="R119" s="109">
        <f>'11C Sem avr (SS)'!$H$41</f>
        <v>0</v>
      </c>
      <c r="S119" s="109">
        <f>AVERAGE(S117:S118)</f>
        <v>0</v>
      </c>
      <c r="T119" s="109">
        <f>AVERAGE(T117:T118)</f>
        <v>0</v>
      </c>
      <c r="U119" s="6"/>
      <c r="V119" s="6"/>
      <c r="W119" s="6"/>
      <c r="X119" s="6"/>
      <c r="Y119" s="6"/>
    </row>
    <row r="120" spans="1:25" ht="20.100000000000001" customHeight="1" x14ac:dyDescent="0.25">
      <c r="A120" s="295">
        <v>39</v>
      </c>
      <c r="B120" s="326"/>
      <c r="C120" s="309"/>
      <c r="D120" s="309"/>
      <c r="E120" s="29" t="s">
        <v>21</v>
      </c>
      <c r="F120" s="15">
        <f>'11C (SS)Sem 1'!E42</f>
        <v>0</v>
      </c>
      <c r="G120" s="15">
        <f>'11C (SS)Sem 1'!F42</f>
        <v>0</v>
      </c>
      <c r="H120" s="15">
        <f>'11C (SS)Sem 1'!G42</f>
        <v>0</v>
      </c>
      <c r="I120" s="15">
        <f>'11C (SS)Sem 1'!H42</f>
        <v>0</v>
      </c>
      <c r="J120" s="15">
        <f>'11C (SS)Sem 1'!I42</f>
        <v>0</v>
      </c>
      <c r="K120" s="15">
        <f>'11C (SS)Sem 1'!J42</f>
        <v>0</v>
      </c>
      <c r="L120" s="15">
        <f>'11C (SS)Sem 1'!K42</f>
        <v>0</v>
      </c>
      <c r="M120" s="15">
        <f>'11C (SS)Sem 1'!L42</f>
        <v>0</v>
      </c>
      <c r="N120" s="15">
        <f>'11C (SS)Sem 1'!M42</f>
        <v>0</v>
      </c>
      <c r="O120" s="15">
        <f>'11C (SS)Sem 1'!N42</f>
        <v>0</v>
      </c>
      <c r="P120" s="15">
        <f>'11C (SS)Sem 1'!O42</f>
        <v>0</v>
      </c>
      <c r="Q120" s="203">
        <f>'11C (SS)Sem 1'!P42</f>
        <v>0</v>
      </c>
      <c r="R120" s="15">
        <f>'11C (SS)Sem 1'!Q42</f>
        <v>0</v>
      </c>
      <c r="S120" s="15">
        <f>'11C (SS)Sem 1'!R42</f>
        <v>0</v>
      </c>
      <c r="T120" s="15">
        <f>'11C (SS)Sem 1'!S42</f>
        <v>0</v>
      </c>
      <c r="U120" s="6"/>
      <c r="V120" s="6"/>
      <c r="W120" s="6"/>
      <c r="X120" s="6"/>
      <c r="Y120" s="6"/>
    </row>
    <row r="121" spans="1:25" ht="20.100000000000001" customHeight="1" x14ac:dyDescent="0.25">
      <c r="A121" s="295"/>
      <c r="B121" s="326"/>
      <c r="C121" s="309"/>
      <c r="D121" s="309"/>
      <c r="E121" s="29" t="s">
        <v>22</v>
      </c>
      <c r="F121" s="15">
        <f>'11C (SS)Sem 2'!E42</f>
        <v>0</v>
      </c>
      <c r="G121" s="15">
        <f>'11C (SS)Sem 2'!F42</f>
        <v>0</v>
      </c>
      <c r="H121" s="15">
        <f>'11C (SS)Sem 2'!G42</f>
        <v>0</v>
      </c>
      <c r="I121" s="15">
        <f>'11C (SS)Sem 2'!H42</f>
        <v>0</v>
      </c>
      <c r="J121" s="15">
        <f>'11C (SS)Sem 2'!I42</f>
        <v>0</v>
      </c>
      <c r="K121" s="15">
        <f>'11C (SS)Sem 2'!J42</f>
        <v>0</v>
      </c>
      <c r="L121" s="15">
        <f>'11C (SS)Sem 2'!K42</f>
        <v>0</v>
      </c>
      <c r="M121" s="15">
        <f>'11C (SS)Sem 2'!L42</f>
        <v>0</v>
      </c>
      <c r="N121" s="15">
        <f>'11C (SS)Sem 2'!M42</f>
        <v>0</v>
      </c>
      <c r="O121" s="15">
        <f>'11C (SS)Sem 2'!N42</f>
        <v>0</v>
      </c>
      <c r="P121" s="15">
        <f>'11C (SS)Sem 2'!O42</f>
        <v>0</v>
      </c>
      <c r="Q121" s="203">
        <f>'11C (SS)Sem 2'!P42</f>
        <v>0</v>
      </c>
      <c r="R121" s="15">
        <f>'11C (SS)Sem 2'!Q42</f>
        <v>0</v>
      </c>
      <c r="S121" s="15">
        <f>'11C (SS)Sem 2'!R42</f>
        <v>0</v>
      </c>
      <c r="T121" s="15">
        <f>'11C (SS)Sem 2'!S42</f>
        <v>0</v>
      </c>
      <c r="U121" s="6"/>
      <c r="V121" s="6"/>
      <c r="W121" s="6"/>
      <c r="X121" s="6"/>
      <c r="Y121" s="6"/>
    </row>
    <row r="122" spans="1:25" ht="20.100000000000001" customHeight="1" x14ac:dyDescent="0.25">
      <c r="A122" s="295"/>
      <c r="B122" s="326"/>
      <c r="C122" s="309"/>
      <c r="D122" s="309"/>
      <c r="E122" s="108" t="s">
        <v>16</v>
      </c>
      <c r="F122" s="15">
        <f>AVERAGE(F120:F121)</f>
        <v>0</v>
      </c>
      <c r="G122" s="15">
        <f t="shared" ref="G122:Q122" si="38">AVERAGE(G120:G121)</f>
        <v>0</v>
      </c>
      <c r="H122" s="15">
        <f t="shared" si="38"/>
        <v>0</v>
      </c>
      <c r="I122" s="15">
        <f t="shared" si="38"/>
        <v>0</v>
      </c>
      <c r="J122" s="15">
        <f t="shared" si="38"/>
        <v>0</v>
      </c>
      <c r="K122" s="15">
        <f t="shared" si="38"/>
        <v>0</v>
      </c>
      <c r="L122" s="15">
        <f t="shared" si="38"/>
        <v>0</v>
      </c>
      <c r="M122" s="15">
        <f t="shared" si="38"/>
        <v>0</v>
      </c>
      <c r="N122" s="15">
        <f t="shared" si="38"/>
        <v>0</v>
      </c>
      <c r="O122" s="15">
        <f t="shared" si="38"/>
        <v>0</v>
      </c>
      <c r="P122" s="15">
        <f t="shared" si="38"/>
        <v>0</v>
      </c>
      <c r="Q122" s="203">
        <f t="shared" si="38"/>
        <v>0</v>
      </c>
      <c r="R122" s="15">
        <f>'11C Sem avr (SS)'!$H$42</f>
        <v>0</v>
      </c>
      <c r="S122" s="15">
        <f>AVERAGE(S120:S121)</f>
        <v>0</v>
      </c>
      <c r="T122" s="38">
        <f>AVERAGE(T120:T121)</f>
        <v>0</v>
      </c>
      <c r="U122" s="6"/>
      <c r="V122" s="6"/>
      <c r="W122" s="6"/>
      <c r="X122" s="6"/>
      <c r="Y122" s="6"/>
    </row>
    <row r="123" spans="1:25" ht="20.100000000000001" customHeight="1" x14ac:dyDescent="0.25">
      <c r="A123" s="295">
        <v>40</v>
      </c>
      <c r="B123" s="309"/>
      <c r="C123" s="309"/>
      <c r="D123" s="309"/>
      <c r="E123" s="29" t="s">
        <v>21</v>
      </c>
      <c r="F123" s="15">
        <f>'11C (SS)Sem 1'!E43</f>
        <v>0</v>
      </c>
      <c r="G123" s="15">
        <f>'11C (SS)Sem 1'!F43</f>
        <v>0</v>
      </c>
      <c r="H123" s="15">
        <f>'11C (SS)Sem 1'!G43</f>
        <v>0</v>
      </c>
      <c r="I123" s="15">
        <f>'11C (SS)Sem 1'!H43</f>
        <v>0</v>
      </c>
      <c r="J123" s="15">
        <f>'11C (SS)Sem 1'!I43</f>
        <v>0</v>
      </c>
      <c r="K123" s="15">
        <f>'11C (SS)Sem 1'!J43</f>
        <v>0</v>
      </c>
      <c r="L123" s="15">
        <f>'11C (SS)Sem 1'!K43</f>
        <v>0</v>
      </c>
      <c r="M123" s="15">
        <f>'11C (SS)Sem 1'!L43</f>
        <v>0</v>
      </c>
      <c r="N123" s="15">
        <f>'11C (SS)Sem 1'!M43</f>
        <v>0</v>
      </c>
      <c r="O123" s="15">
        <f>'11C (SS)Sem 1'!N43</f>
        <v>0</v>
      </c>
      <c r="P123" s="15">
        <f>'11C (SS)Sem 1'!O43</f>
        <v>0</v>
      </c>
      <c r="Q123" s="203">
        <f>'11C (SS)Sem 1'!P43</f>
        <v>0</v>
      </c>
      <c r="R123" s="15">
        <f>'11C (SS)Sem 1'!Q43</f>
        <v>0</v>
      </c>
      <c r="S123" s="15">
        <f>'11C (SS)Sem 1'!R43</f>
        <v>0</v>
      </c>
      <c r="T123" s="15">
        <f>'11C (SS)Sem 1'!S43</f>
        <v>0</v>
      </c>
      <c r="U123" s="6"/>
      <c r="V123" s="6"/>
      <c r="W123" s="6"/>
      <c r="X123" s="6"/>
      <c r="Y123" s="6"/>
    </row>
    <row r="124" spans="1:25" ht="20.100000000000001" customHeight="1" x14ac:dyDescent="0.25">
      <c r="A124" s="295"/>
      <c r="B124" s="309"/>
      <c r="C124" s="309"/>
      <c r="D124" s="309"/>
      <c r="E124" s="29" t="s">
        <v>22</v>
      </c>
      <c r="F124" s="15">
        <f>'11C (SS)Sem 2'!E43</f>
        <v>0</v>
      </c>
      <c r="G124" s="15">
        <f>'11C (SS)Sem 2'!F43</f>
        <v>0</v>
      </c>
      <c r="H124" s="15">
        <f>'11C (SS)Sem 2'!G43</f>
        <v>0</v>
      </c>
      <c r="I124" s="15">
        <f>'11C (SS)Sem 2'!H43</f>
        <v>0</v>
      </c>
      <c r="J124" s="15">
        <f>'11C (SS)Sem 2'!I43</f>
        <v>0</v>
      </c>
      <c r="K124" s="15">
        <f>'11C (SS)Sem 2'!J43</f>
        <v>0</v>
      </c>
      <c r="L124" s="15">
        <f>'11C (SS)Sem 2'!K43</f>
        <v>0</v>
      </c>
      <c r="M124" s="15">
        <f>'11C (SS)Sem 2'!L43</f>
        <v>0</v>
      </c>
      <c r="N124" s="15">
        <f>'11C (SS)Sem 2'!M43</f>
        <v>0</v>
      </c>
      <c r="O124" s="15">
        <f>'11C (SS)Sem 2'!N43</f>
        <v>0</v>
      </c>
      <c r="P124" s="15">
        <f>'11C (SS)Sem 2'!O43</f>
        <v>0</v>
      </c>
      <c r="Q124" s="203">
        <f>'11C (SS)Sem 2'!P43</f>
        <v>0</v>
      </c>
      <c r="R124" s="15">
        <f>'11C (SS)Sem 2'!Q43</f>
        <v>0</v>
      </c>
      <c r="S124" s="15">
        <f>'11C (SS)Sem 2'!R43</f>
        <v>0</v>
      </c>
      <c r="T124" s="15">
        <f>'11C (SS)Sem 2'!S43</f>
        <v>0</v>
      </c>
      <c r="U124" s="6"/>
      <c r="V124" s="6"/>
      <c r="W124" s="6"/>
      <c r="X124" s="6"/>
      <c r="Y124" s="6"/>
    </row>
    <row r="125" spans="1:25" ht="20.100000000000001" customHeight="1" x14ac:dyDescent="0.25">
      <c r="A125" s="295"/>
      <c r="B125" s="309"/>
      <c r="C125" s="309"/>
      <c r="D125" s="309"/>
      <c r="E125" s="108" t="s">
        <v>16</v>
      </c>
      <c r="F125" s="15">
        <f>AVERAGE(F123:F124)</f>
        <v>0</v>
      </c>
      <c r="G125" s="15">
        <f t="shared" ref="G125:Q125" si="39">AVERAGE(G123:G124)</f>
        <v>0</v>
      </c>
      <c r="H125" s="15">
        <f t="shared" si="39"/>
        <v>0</v>
      </c>
      <c r="I125" s="15">
        <f t="shared" si="39"/>
        <v>0</v>
      </c>
      <c r="J125" s="15">
        <f t="shared" si="39"/>
        <v>0</v>
      </c>
      <c r="K125" s="15">
        <f t="shared" si="39"/>
        <v>0</v>
      </c>
      <c r="L125" s="15">
        <f t="shared" si="39"/>
        <v>0</v>
      </c>
      <c r="M125" s="15">
        <f t="shared" si="39"/>
        <v>0</v>
      </c>
      <c r="N125" s="15">
        <f t="shared" si="39"/>
        <v>0</v>
      </c>
      <c r="O125" s="15">
        <f t="shared" si="39"/>
        <v>0</v>
      </c>
      <c r="P125" s="15">
        <f t="shared" si="39"/>
        <v>0</v>
      </c>
      <c r="Q125" s="203">
        <f t="shared" si="39"/>
        <v>0</v>
      </c>
      <c r="R125" s="15">
        <f>'11C Sem avr (SS)'!$H$43</f>
        <v>0</v>
      </c>
      <c r="S125" s="15">
        <f>AVERAGE(S123:S124)</f>
        <v>0</v>
      </c>
      <c r="T125" s="38">
        <f>AVERAGE(T123:T124)</f>
        <v>0</v>
      </c>
      <c r="U125" s="6"/>
      <c r="V125" s="6"/>
      <c r="W125" s="6"/>
      <c r="X125" s="6"/>
      <c r="Y125" s="6"/>
    </row>
    <row r="126" spans="1:25" ht="20.100000000000001" customHeight="1" x14ac:dyDescent="0.25">
      <c r="A126" s="295">
        <v>41</v>
      </c>
      <c r="B126" s="309"/>
      <c r="C126" s="309"/>
      <c r="D126" s="309"/>
      <c r="E126" s="29" t="s">
        <v>21</v>
      </c>
      <c r="F126" s="15">
        <f>'11C (SS)Sem 1'!E44</f>
        <v>0</v>
      </c>
      <c r="G126" s="15">
        <f>'11C (SS)Sem 1'!F44</f>
        <v>0</v>
      </c>
      <c r="H126" s="15">
        <f>'11C (SS)Sem 1'!G44</f>
        <v>0</v>
      </c>
      <c r="I126" s="15">
        <f>'11C (SS)Sem 1'!H44</f>
        <v>0</v>
      </c>
      <c r="J126" s="15">
        <f>'11C (SS)Sem 1'!I44</f>
        <v>0</v>
      </c>
      <c r="K126" s="15">
        <f>'11C (SS)Sem 1'!J44</f>
        <v>0</v>
      </c>
      <c r="L126" s="15">
        <f>'11C (SS)Sem 1'!K44</f>
        <v>0</v>
      </c>
      <c r="M126" s="15">
        <f>'11C (SS)Sem 1'!L44</f>
        <v>0</v>
      </c>
      <c r="N126" s="15">
        <f>'11C (SS)Sem 1'!M44</f>
        <v>0</v>
      </c>
      <c r="O126" s="15">
        <f>'11C (SS)Sem 1'!N44</f>
        <v>0</v>
      </c>
      <c r="P126" s="15">
        <f>'11C (SS)Sem 1'!O44</f>
        <v>0</v>
      </c>
      <c r="Q126" s="203">
        <f>'11C (SS)Sem 1'!P44</f>
        <v>0</v>
      </c>
      <c r="R126" s="15">
        <f>'11C (SS)Sem 1'!Q44</f>
        <v>0</v>
      </c>
      <c r="S126" s="15">
        <f>'11C (SS)Sem 1'!R44</f>
        <v>0</v>
      </c>
      <c r="T126" s="15">
        <f>'11C (SS)Sem 1'!S44</f>
        <v>0</v>
      </c>
      <c r="U126" s="6"/>
      <c r="V126" s="6"/>
      <c r="W126" s="6"/>
      <c r="X126" s="6"/>
      <c r="Y126" s="6"/>
    </row>
    <row r="127" spans="1:25" ht="20.100000000000001" customHeight="1" x14ac:dyDescent="0.25">
      <c r="A127" s="295"/>
      <c r="B127" s="309"/>
      <c r="C127" s="309"/>
      <c r="D127" s="309"/>
      <c r="E127" s="29" t="s">
        <v>22</v>
      </c>
      <c r="F127" s="15">
        <f>'11C (SS)Sem 2'!E44</f>
        <v>0</v>
      </c>
      <c r="G127" s="15">
        <f>'11C (SS)Sem 2'!F44</f>
        <v>0</v>
      </c>
      <c r="H127" s="15">
        <f>'11C (SS)Sem 2'!G44</f>
        <v>0</v>
      </c>
      <c r="I127" s="15">
        <f>'11C (SS)Sem 2'!H44</f>
        <v>0</v>
      </c>
      <c r="J127" s="15">
        <f>'11C (SS)Sem 2'!I44</f>
        <v>0</v>
      </c>
      <c r="K127" s="15">
        <f>'11C (SS)Sem 2'!J44</f>
        <v>0</v>
      </c>
      <c r="L127" s="15">
        <f>'11C (SS)Sem 2'!K44</f>
        <v>0</v>
      </c>
      <c r="M127" s="15">
        <f>'11C (SS)Sem 2'!L44</f>
        <v>0</v>
      </c>
      <c r="N127" s="15">
        <f>'11C (SS)Sem 2'!M44</f>
        <v>0</v>
      </c>
      <c r="O127" s="15">
        <f>'11C (SS)Sem 2'!N44</f>
        <v>0</v>
      </c>
      <c r="P127" s="15">
        <f>'11C (SS)Sem 2'!O44</f>
        <v>0</v>
      </c>
      <c r="Q127" s="203">
        <f>'11C (SS)Sem 2'!P44</f>
        <v>0</v>
      </c>
      <c r="R127" s="15">
        <f>'11C (SS)Sem 2'!Q44</f>
        <v>0</v>
      </c>
      <c r="S127" s="15">
        <f>'11C (SS)Sem 2'!R44</f>
        <v>0</v>
      </c>
      <c r="T127" s="15">
        <f>'11C (SS)Sem 2'!S44</f>
        <v>0</v>
      </c>
      <c r="U127" s="6"/>
      <c r="V127" s="6"/>
      <c r="W127" s="6"/>
      <c r="X127" s="6"/>
      <c r="Y127" s="6"/>
    </row>
    <row r="128" spans="1:25" ht="20.100000000000001" customHeight="1" x14ac:dyDescent="0.25">
      <c r="A128" s="295"/>
      <c r="B128" s="309"/>
      <c r="C128" s="309"/>
      <c r="D128" s="309"/>
      <c r="E128" s="108" t="s">
        <v>16</v>
      </c>
      <c r="F128" s="15">
        <f>AVERAGE(F126:F127)</f>
        <v>0</v>
      </c>
      <c r="G128" s="15">
        <f t="shared" ref="G128:Q128" si="40">AVERAGE(G126:G127)</f>
        <v>0</v>
      </c>
      <c r="H128" s="15">
        <f t="shared" si="40"/>
        <v>0</v>
      </c>
      <c r="I128" s="15">
        <f t="shared" si="40"/>
        <v>0</v>
      </c>
      <c r="J128" s="15">
        <f t="shared" si="40"/>
        <v>0</v>
      </c>
      <c r="K128" s="15">
        <f t="shared" si="40"/>
        <v>0</v>
      </c>
      <c r="L128" s="15">
        <f t="shared" si="40"/>
        <v>0</v>
      </c>
      <c r="M128" s="15">
        <f t="shared" si="40"/>
        <v>0</v>
      </c>
      <c r="N128" s="15">
        <f t="shared" si="40"/>
        <v>0</v>
      </c>
      <c r="O128" s="15">
        <f t="shared" si="40"/>
        <v>0</v>
      </c>
      <c r="P128" s="15">
        <f t="shared" si="40"/>
        <v>0</v>
      </c>
      <c r="Q128" s="203">
        <f t="shared" si="40"/>
        <v>0</v>
      </c>
      <c r="R128" s="15">
        <f>'11C Sem avr (SS)'!$H$44</f>
        <v>0</v>
      </c>
      <c r="S128" s="15">
        <f>AVERAGE(S126:S127)</f>
        <v>0</v>
      </c>
      <c r="T128" s="38">
        <f>AVERAGE(T126:T127)</f>
        <v>0</v>
      </c>
      <c r="U128" s="6"/>
      <c r="V128" s="6"/>
      <c r="W128" s="6"/>
      <c r="X128" s="6"/>
      <c r="Y128" s="6"/>
    </row>
    <row r="129" spans="1:25" ht="20.100000000000001" customHeight="1" x14ac:dyDescent="0.25">
      <c r="A129" s="295">
        <v>42</v>
      </c>
      <c r="B129" s="309"/>
      <c r="C129" s="309"/>
      <c r="D129" s="309"/>
      <c r="E129" s="29" t="s">
        <v>21</v>
      </c>
      <c r="F129" s="15">
        <f>'11C (SS)Sem 1'!E45</f>
        <v>0</v>
      </c>
      <c r="G129" s="15">
        <f>'11C (SS)Sem 1'!F45</f>
        <v>0</v>
      </c>
      <c r="H129" s="15">
        <f>'11C (SS)Sem 1'!G45</f>
        <v>0</v>
      </c>
      <c r="I129" s="15">
        <f>'11C (SS)Sem 1'!H45</f>
        <v>0</v>
      </c>
      <c r="J129" s="15">
        <f>'11C (SS)Sem 1'!I45</f>
        <v>0</v>
      </c>
      <c r="K129" s="15">
        <f>'11C (SS)Sem 1'!J45</f>
        <v>0</v>
      </c>
      <c r="L129" s="15">
        <f>'11C (SS)Sem 1'!K45</f>
        <v>0</v>
      </c>
      <c r="M129" s="15">
        <f>'11C (SS)Sem 1'!L45</f>
        <v>0</v>
      </c>
      <c r="N129" s="15">
        <f>'11C (SS)Sem 1'!M45</f>
        <v>0</v>
      </c>
      <c r="O129" s="15">
        <f>'11C (SS)Sem 1'!N45</f>
        <v>0</v>
      </c>
      <c r="P129" s="15">
        <f>'11C (SS)Sem 1'!O45</f>
        <v>0</v>
      </c>
      <c r="Q129" s="203">
        <f>'11C (SS)Sem 1'!P45</f>
        <v>0</v>
      </c>
      <c r="R129" s="15">
        <f>'11C (SS)Sem 1'!Q45</f>
        <v>0</v>
      </c>
      <c r="S129" s="15">
        <f>'11C (SS)Sem 1'!R45</f>
        <v>0</v>
      </c>
      <c r="T129" s="15">
        <f>'11C (SS)Sem 1'!S45</f>
        <v>0</v>
      </c>
      <c r="U129" s="6"/>
      <c r="V129" s="6"/>
      <c r="W129" s="6"/>
      <c r="X129" s="6"/>
      <c r="Y129" s="6"/>
    </row>
    <row r="130" spans="1:25" ht="20.100000000000001" customHeight="1" x14ac:dyDescent="0.25">
      <c r="A130" s="295"/>
      <c r="B130" s="309"/>
      <c r="C130" s="309"/>
      <c r="D130" s="309"/>
      <c r="E130" s="29" t="s">
        <v>22</v>
      </c>
      <c r="F130" s="15">
        <f>'11C (SS)Sem 2'!E45</f>
        <v>0</v>
      </c>
      <c r="G130" s="15">
        <f>'11C (SS)Sem 2'!F45</f>
        <v>0</v>
      </c>
      <c r="H130" s="15">
        <f>'11C (SS)Sem 2'!G45</f>
        <v>0</v>
      </c>
      <c r="I130" s="15">
        <f>'11C (SS)Sem 2'!H45</f>
        <v>0</v>
      </c>
      <c r="J130" s="15">
        <f>'11C (SS)Sem 2'!I45</f>
        <v>0</v>
      </c>
      <c r="K130" s="15">
        <f>'11C (SS)Sem 2'!J45</f>
        <v>0</v>
      </c>
      <c r="L130" s="15">
        <f>'11C (SS)Sem 2'!K45</f>
        <v>0</v>
      </c>
      <c r="M130" s="15">
        <f>'11C (SS)Sem 2'!L45</f>
        <v>0</v>
      </c>
      <c r="N130" s="15">
        <f>'11C (SS)Sem 2'!M45</f>
        <v>0</v>
      </c>
      <c r="O130" s="15">
        <f>'11C (SS)Sem 2'!N45</f>
        <v>0</v>
      </c>
      <c r="P130" s="15">
        <f>'11C (SS)Sem 2'!O45</f>
        <v>0</v>
      </c>
      <c r="Q130" s="203">
        <f>'11C (SS)Sem 2'!P45</f>
        <v>0</v>
      </c>
      <c r="R130" s="15">
        <f>'11C (SS)Sem 2'!Q45</f>
        <v>0</v>
      </c>
      <c r="S130" s="15">
        <f>'11C (SS)Sem 2'!R45</f>
        <v>0</v>
      </c>
      <c r="T130" s="15">
        <f>'11C (SS)Sem 2'!S45</f>
        <v>0</v>
      </c>
      <c r="U130" s="6"/>
      <c r="V130" s="6"/>
      <c r="W130" s="6"/>
      <c r="X130" s="6"/>
      <c r="Y130" s="6"/>
    </row>
    <row r="131" spans="1:25" ht="20.100000000000001" customHeight="1" x14ac:dyDescent="0.25">
      <c r="A131" s="295"/>
      <c r="B131" s="309"/>
      <c r="C131" s="309"/>
      <c r="D131" s="309"/>
      <c r="E131" s="108" t="s">
        <v>16</v>
      </c>
      <c r="F131" s="15">
        <f>AVERAGE(F129:F130)</f>
        <v>0</v>
      </c>
      <c r="G131" s="15">
        <f t="shared" ref="G131:Q131" si="41">AVERAGE(G129:G130)</f>
        <v>0</v>
      </c>
      <c r="H131" s="15">
        <f t="shared" si="41"/>
        <v>0</v>
      </c>
      <c r="I131" s="15">
        <f t="shared" si="41"/>
        <v>0</v>
      </c>
      <c r="J131" s="15">
        <f t="shared" si="41"/>
        <v>0</v>
      </c>
      <c r="K131" s="15">
        <f t="shared" si="41"/>
        <v>0</v>
      </c>
      <c r="L131" s="15">
        <f t="shared" si="41"/>
        <v>0</v>
      </c>
      <c r="M131" s="15">
        <f t="shared" si="41"/>
        <v>0</v>
      </c>
      <c r="N131" s="15">
        <f t="shared" si="41"/>
        <v>0</v>
      </c>
      <c r="O131" s="15">
        <f t="shared" si="41"/>
        <v>0</v>
      </c>
      <c r="P131" s="15">
        <f t="shared" si="41"/>
        <v>0</v>
      </c>
      <c r="Q131" s="203">
        <f t="shared" si="41"/>
        <v>0</v>
      </c>
      <c r="R131" s="15">
        <f>'11C Sem avr (SS)'!$H$45</f>
        <v>0</v>
      </c>
      <c r="S131" s="15">
        <f>AVERAGE(S129:S130)</f>
        <v>0</v>
      </c>
      <c r="T131" s="38">
        <f>AVERAGE(T129:T130)</f>
        <v>0</v>
      </c>
      <c r="U131" s="6"/>
      <c r="V131" s="6"/>
      <c r="W131" s="6"/>
      <c r="X131" s="6"/>
      <c r="Y131" s="6"/>
    </row>
    <row r="132" spans="1:25" ht="20.100000000000001" customHeight="1" x14ac:dyDescent="0.25">
      <c r="A132" s="295">
        <v>43</v>
      </c>
      <c r="B132" s="309"/>
      <c r="C132" s="326"/>
      <c r="D132" s="326"/>
      <c r="E132" s="29" t="s">
        <v>21</v>
      </c>
      <c r="F132" s="15">
        <f>'11C (SS)Sem 1'!E46</f>
        <v>0</v>
      </c>
      <c r="G132" s="15">
        <f>'11C (SS)Sem 1'!F46</f>
        <v>0</v>
      </c>
      <c r="H132" s="15">
        <f>'11C (SS)Sem 1'!G46</f>
        <v>0</v>
      </c>
      <c r="I132" s="15">
        <f>'11C (SS)Sem 1'!H46</f>
        <v>0</v>
      </c>
      <c r="J132" s="15">
        <f>'11C (SS)Sem 1'!I46</f>
        <v>0</v>
      </c>
      <c r="K132" s="15">
        <f>'11C (SS)Sem 1'!J46</f>
        <v>0</v>
      </c>
      <c r="L132" s="15">
        <f>'11C (SS)Sem 1'!K46</f>
        <v>0</v>
      </c>
      <c r="M132" s="15">
        <f>'11C (SS)Sem 1'!L46</f>
        <v>0</v>
      </c>
      <c r="N132" s="15">
        <f>'11C (SS)Sem 1'!M46</f>
        <v>0</v>
      </c>
      <c r="O132" s="15">
        <f>'11C (SS)Sem 1'!N46</f>
        <v>0</v>
      </c>
      <c r="P132" s="15">
        <f>'11C (SS)Sem 1'!O46</f>
        <v>0</v>
      </c>
      <c r="Q132" s="203">
        <f>'11C (SS)Sem 1'!P46</f>
        <v>0</v>
      </c>
      <c r="R132" s="15">
        <f>'11C (SS)Sem 1'!Q46</f>
        <v>0</v>
      </c>
      <c r="S132" s="15">
        <f>'11C (SS)Sem 1'!R46</f>
        <v>0</v>
      </c>
      <c r="T132" s="15">
        <f>'11C (SS)Sem 1'!S46</f>
        <v>0</v>
      </c>
      <c r="U132" s="6"/>
      <c r="V132" s="6"/>
      <c r="W132" s="6"/>
      <c r="X132" s="6"/>
      <c r="Y132" s="6"/>
    </row>
    <row r="133" spans="1:25" ht="20.100000000000001" customHeight="1" x14ac:dyDescent="0.25">
      <c r="A133" s="295"/>
      <c r="B133" s="309"/>
      <c r="C133" s="326"/>
      <c r="D133" s="326"/>
      <c r="E133" s="29" t="s">
        <v>22</v>
      </c>
      <c r="F133" s="15">
        <f>'11C (SS)Sem 2'!E46</f>
        <v>0</v>
      </c>
      <c r="G133" s="15">
        <f>'11C (SS)Sem 2'!F46</f>
        <v>0</v>
      </c>
      <c r="H133" s="15">
        <f>'11C (SS)Sem 2'!G46</f>
        <v>0</v>
      </c>
      <c r="I133" s="15">
        <f>'11C (SS)Sem 2'!H46</f>
        <v>0</v>
      </c>
      <c r="J133" s="15">
        <f>'11C (SS)Sem 2'!I46</f>
        <v>0</v>
      </c>
      <c r="K133" s="15">
        <f>'11C (SS)Sem 2'!J46</f>
        <v>0</v>
      </c>
      <c r="L133" s="15">
        <f>'11C (SS)Sem 2'!K46</f>
        <v>0</v>
      </c>
      <c r="M133" s="15">
        <f>'11C (SS)Sem 2'!L46</f>
        <v>0</v>
      </c>
      <c r="N133" s="15">
        <f>'11C (SS)Sem 2'!M46</f>
        <v>0</v>
      </c>
      <c r="O133" s="15">
        <f>'11C (SS)Sem 2'!N46</f>
        <v>0</v>
      </c>
      <c r="P133" s="15">
        <f>'11C (SS)Sem 2'!O46</f>
        <v>0</v>
      </c>
      <c r="Q133" s="203">
        <f>'11C (SS)Sem 2'!P46</f>
        <v>0</v>
      </c>
      <c r="R133" s="15">
        <f>'11C (SS)Sem 2'!Q46</f>
        <v>0</v>
      </c>
      <c r="S133" s="15">
        <f>'11C (SS)Sem 2'!R46</f>
        <v>0</v>
      </c>
      <c r="T133" s="15">
        <f>'11C (SS)Sem 2'!S46</f>
        <v>0</v>
      </c>
      <c r="U133" s="6"/>
      <c r="V133" s="6"/>
      <c r="W133" s="6"/>
      <c r="X133" s="6"/>
      <c r="Y133" s="6"/>
    </row>
    <row r="134" spans="1:25" ht="20.100000000000001" customHeight="1" x14ac:dyDescent="0.25">
      <c r="A134" s="295"/>
      <c r="B134" s="309"/>
      <c r="C134" s="326"/>
      <c r="D134" s="326"/>
      <c r="E134" s="108" t="s">
        <v>16</v>
      </c>
      <c r="F134" s="15">
        <f>AVERAGE(F132:F133)</f>
        <v>0</v>
      </c>
      <c r="G134" s="15">
        <f t="shared" ref="G134:Q134" si="42">AVERAGE(G132:G133)</f>
        <v>0</v>
      </c>
      <c r="H134" s="15">
        <f t="shared" si="42"/>
        <v>0</v>
      </c>
      <c r="I134" s="15">
        <f t="shared" si="42"/>
        <v>0</v>
      </c>
      <c r="J134" s="15">
        <f t="shared" si="42"/>
        <v>0</v>
      </c>
      <c r="K134" s="15">
        <f t="shared" si="42"/>
        <v>0</v>
      </c>
      <c r="L134" s="15">
        <f t="shared" si="42"/>
        <v>0</v>
      </c>
      <c r="M134" s="15">
        <f t="shared" si="42"/>
        <v>0</v>
      </c>
      <c r="N134" s="15">
        <f t="shared" si="42"/>
        <v>0</v>
      </c>
      <c r="O134" s="15">
        <f t="shared" si="42"/>
        <v>0</v>
      </c>
      <c r="P134" s="15">
        <f t="shared" si="42"/>
        <v>0</v>
      </c>
      <c r="Q134" s="203">
        <f t="shared" si="42"/>
        <v>0</v>
      </c>
      <c r="R134" s="15">
        <f>'11C Sem avr (SS)'!$H$46</f>
        <v>0</v>
      </c>
      <c r="S134" s="15">
        <f>AVERAGE(S132:S133)</f>
        <v>0</v>
      </c>
      <c r="T134" s="38">
        <f>AVERAGE(T132:T133)</f>
        <v>0</v>
      </c>
      <c r="U134" s="6"/>
      <c r="V134" s="6"/>
      <c r="W134" s="6"/>
      <c r="X134" s="6"/>
      <c r="Y134" s="6"/>
    </row>
    <row r="135" spans="1:25" ht="20.100000000000001" customHeight="1" x14ac:dyDescent="0.25">
      <c r="A135" s="295">
        <v>44</v>
      </c>
      <c r="B135" s="326"/>
      <c r="C135" s="326"/>
      <c r="D135" s="326"/>
      <c r="E135" s="29" t="s">
        <v>21</v>
      </c>
      <c r="F135" s="15">
        <f>'11C (SS)Sem 1'!E47</f>
        <v>0</v>
      </c>
      <c r="G135" s="15">
        <f>'11C (SS)Sem 1'!F47</f>
        <v>0</v>
      </c>
      <c r="H135" s="15">
        <f>'11C (SS)Sem 1'!G47</f>
        <v>0</v>
      </c>
      <c r="I135" s="15">
        <f>'11C (SS)Sem 1'!H47</f>
        <v>0</v>
      </c>
      <c r="J135" s="15">
        <f>'11C (SS)Sem 1'!I47</f>
        <v>0</v>
      </c>
      <c r="K135" s="15">
        <f>'11C (SS)Sem 1'!J47</f>
        <v>0</v>
      </c>
      <c r="L135" s="15">
        <f>'11C (SS)Sem 1'!K47</f>
        <v>0</v>
      </c>
      <c r="M135" s="15">
        <f>'11C (SS)Sem 1'!L47</f>
        <v>0</v>
      </c>
      <c r="N135" s="15">
        <f>'11C (SS)Sem 1'!M47</f>
        <v>0</v>
      </c>
      <c r="O135" s="15">
        <f>'11C (SS)Sem 1'!N47</f>
        <v>0</v>
      </c>
      <c r="P135" s="15">
        <f>'11C (SS)Sem 1'!O47</f>
        <v>0</v>
      </c>
      <c r="Q135" s="203">
        <f>'11C (SS)Sem 1'!P47</f>
        <v>0</v>
      </c>
      <c r="R135" s="15">
        <f>'11C (SS)Sem 1'!Q47</f>
        <v>0</v>
      </c>
      <c r="S135" s="15">
        <f>'11C (SS)Sem 1'!R47</f>
        <v>0</v>
      </c>
      <c r="T135" s="15">
        <f>'11C (SS)Sem 1'!S47</f>
        <v>0</v>
      </c>
      <c r="U135" s="6"/>
      <c r="V135" s="6"/>
      <c r="W135" s="6"/>
      <c r="X135" s="6"/>
      <c r="Y135" s="6"/>
    </row>
    <row r="136" spans="1:25" ht="20.100000000000001" customHeight="1" x14ac:dyDescent="0.25">
      <c r="A136" s="295"/>
      <c r="B136" s="326"/>
      <c r="C136" s="326"/>
      <c r="D136" s="326"/>
      <c r="E136" s="29" t="s">
        <v>22</v>
      </c>
      <c r="F136" s="15">
        <f>'11C (SS)Sem 2'!E47</f>
        <v>0</v>
      </c>
      <c r="G136" s="15">
        <f>'11C (SS)Sem 2'!F47</f>
        <v>0</v>
      </c>
      <c r="H136" s="15">
        <f>'11C (SS)Sem 2'!G47</f>
        <v>0</v>
      </c>
      <c r="I136" s="15">
        <f>'11C (SS)Sem 2'!H47</f>
        <v>0</v>
      </c>
      <c r="J136" s="15">
        <f>'11C (SS)Sem 2'!I47</f>
        <v>0</v>
      </c>
      <c r="K136" s="15">
        <f>'11C (SS)Sem 2'!J47</f>
        <v>0</v>
      </c>
      <c r="L136" s="15">
        <f>'11C (SS)Sem 2'!K47</f>
        <v>0</v>
      </c>
      <c r="M136" s="15">
        <f>'11C (SS)Sem 2'!L47</f>
        <v>0</v>
      </c>
      <c r="N136" s="15">
        <f>'11C (SS)Sem 2'!M47</f>
        <v>0</v>
      </c>
      <c r="O136" s="15">
        <f>'11C (SS)Sem 2'!N47</f>
        <v>0</v>
      </c>
      <c r="P136" s="15">
        <f>'11C (SS)Sem 2'!O47</f>
        <v>0</v>
      </c>
      <c r="Q136" s="203">
        <f>'11C (SS)Sem 2'!P47</f>
        <v>0</v>
      </c>
      <c r="R136" s="15">
        <f>'11C (SS)Sem 2'!Q47</f>
        <v>0</v>
      </c>
      <c r="S136" s="15">
        <f>'11C (SS)Sem 2'!R47</f>
        <v>0</v>
      </c>
      <c r="T136" s="15">
        <f>'11C (SS)Sem 2'!S47</f>
        <v>0</v>
      </c>
      <c r="U136" s="6"/>
      <c r="V136" s="6"/>
      <c r="W136" s="6"/>
      <c r="X136" s="6"/>
      <c r="Y136" s="6"/>
    </row>
    <row r="137" spans="1:25" ht="20.100000000000001" customHeight="1" x14ac:dyDescent="0.25">
      <c r="A137" s="295"/>
      <c r="B137" s="326"/>
      <c r="C137" s="326"/>
      <c r="D137" s="326"/>
      <c r="E137" s="108" t="s">
        <v>16</v>
      </c>
      <c r="F137" s="15">
        <f>AVERAGE(F135:F136)</f>
        <v>0</v>
      </c>
      <c r="G137" s="15">
        <f t="shared" ref="G137:Q137" si="43">AVERAGE(G135:G136)</f>
        <v>0</v>
      </c>
      <c r="H137" s="15">
        <f t="shared" si="43"/>
        <v>0</v>
      </c>
      <c r="I137" s="15">
        <f t="shared" si="43"/>
        <v>0</v>
      </c>
      <c r="J137" s="15">
        <f t="shared" si="43"/>
        <v>0</v>
      </c>
      <c r="K137" s="15">
        <f t="shared" si="43"/>
        <v>0</v>
      </c>
      <c r="L137" s="15">
        <f t="shared" si="43"/>
        <v>0</v>
      </c>
      <c r="M137" s="15">
        <f t="shared" si="43"/>
        <v>0</v>
      </c>
      <c r="N137" s="15">
        <f t="shared" si="43"/>
        <v>0</v>
      </c>
      <c r="O137" s="15">
        <f t="shared" si="43"/>
        <v>0</v>
      </c>
      <c r="P137" s="15">
        <f t="shared" si="43"/>
        <v>0</v>
      </c>
      <c r="Q137" s="203">
        <f t="shared" si="43"/>
        <v>0</v>
      </c>
      <c r="R137" s="15">
        <f>'11C Sem avr (SS)'!$H$47</f>
        <v>0</v>
      </c>
      <c r="S137" s="15">
        <f>AVERAGE(S135:S136)</f>
        <v>0</v>
      </c>
      <c r="T137" s="38">
        <f>AVERAGE(T135:T136)</f>
        <v>0</v>
      </c>
      <c r="U137" s="6"/>
      <c r="V137" s="6"/>
      <c r="W137" s="6"/>
      <c r="X137" s="6"/>
      <c r="Y137" s="6"/>
    </row>
    <row r="138" spans="1:25" ht="20.100000000000001" customHeight="1" x14ac:dyDescent="0.25">
      <c r="A138" s="295">
        <v>45</v>
      </c>
      <c r="B138" s="326"/>
      <c r="C138" s="326"/>
      <c r="D138" s="326"/>
      <c r="E138" s="29" t="s">
        <v>21</v>
      </c>
      <c r="F138" s="15">
        <f>'11C (SS)Sem 1'!E48</f>
        <v>0</v>
      </c>
      <c r="G138" s="15">
        <f>'11C (SS)Sem 1'!F48</f>
        <v>0</v>
      </c>
      <c r="H138" s="15">
        <f>'11C (SS)Sem 1'!G48</f>
        <v>0</v>
      </c>
      <c r="I138" s="15">
        <f>'11C (SS)Sem 1'!H48</f>
        <v>0</v>
      </c>
      <c r="J138" s="15">
        <f>'11C (SS)Sem 1'!I48</f>
        <v>0</v>
      </c>
      <c r="K138" s="15">
        <f>'11C (SS)Sem 1'!J48</f>
        <v>0</v>
      </c>
      <c r="L138" s="15">
        <f>'11C (SS)Sem 1'!K48</f>
        <v>0</v>
      </c>
      <c r="M138" s="15">
        <f>'11C (SS)Sem 1'!L48</f>
        <v>0</v>
      </c>
      <c r="N138" s="15">
        <f>'11C (SS)Sem 1'!M48</f>
        <v>0</v>
      </c>
      <c r="O138" s="15">
        <f>'11C (SS)Sem 1'!N48</f>
        <v>0</v>
      </c>
      <c r="P138" s="15">
        <f>'11C (SS)Sem 1'!O48</f>
        <v>0</v>
      </c>
      <c r="Q138" s="203">
        <f>'11C (SS)Sem 1'!P48</f>
        <v>0</v>
      </c>
      <c r="R138" s="15">
        <f>'11C (SS)Sem 1'!Q48</f>
        <v>0</v>
      </c>
      <c r="S138" s="15">
        <f>'11C (SS)Sem 1'!R48</f>
        <v>0</v>
      </c>
      <c r="T138" s="15">
        <f>'11C (SS)Sem 1'!S48</f>
        <v>0</v>
      </c>
      <c r="U138" s="6"/>
      <c r="V138" s="6"/>
      <c r="W138" s="6"/>
      <c r="X138" s="6"/>
      <c r="Y138" s="6"/>
    </row>
    <row r="139" spans="1:25" ht="20.100000000000001" customHeight="1" x14ac:dyDescent="0.25">
      <c r="A139" s="295"/>
      <c r="B139" s="326"/>
      <c r="C139" s="326"/>
      <c r="D139" s="326"/>
      <c r="E139" s="29" t="s">
        <v>22</v>
      </c>
      <c r="F139" s="15">
        <f>'11C (SS)Sem 2'!E48</f>
        <v>0</v>
      </c>
      <c r="G139" s="15">
        <f>'11C (SS)Sem 2'!F48</f>
        <v>0</v>
      </c>
      <c r="H139" s="15">
        <f>'11C (SS)Sem 2'!G48</f>
        <v>0</v>
      </c>
      <c r="I139" s="15">
        <f>'11C (SS)Sem 2'!H48</f>
        <v>0</v>
      </c>
      <c r="J139" s="15">
        <f>'11C (SS)Sem 2'!I48</f>
        <v>0</v>
      </c>
      <c r="K139" s="15">
        <f>'11C (SS)Sem 2'!J48</f>
        <v>0</v>
      </c>
      <c r="L139" s="15">
        <f>'11C (SS)Sem 2'!K48</f>
        <v>0</v>
      </c>
      <c r="M139" s="15">
        <f>'11C (SS)Sem 2'!L48</f>
        <v>0</v>
      </c>
      <c r="N139" s="15">
        <f>'11C (SS)Sem 2'!M48</f>
        <v>0</v>
      </c>
      <c r="O139" s="15">
        <f>'11C (SS)Sem 2'!N48</f>
        <v>0</v>
      </c>
      <c r="P139" s="15">
        <f>'11C (SS)Sem 2'!O48</f>
        <v>0</v>
      </c>
      <c r="Q139" s="203">
        <f>'11C (SS)Sem 2'!P48</f>
        <v>0</v>
      </c>
      <c r="R139" s="15">
        <f>'11C (SS)Sem 2'!Q48</f>
        <v>0</v>
      </c>
      <c r="S139" s="15">
        <f>'11C (SS)Sem 2'!R48</f>
        <v>0</v>
      </c>
      <c r="T139" s="15">
        <f>'11C (SS)Sem 2'!S48</f>
        <v>0</v>
      </c>
    </row>
    <row r="140" spans="1:25" ht="20.100000000000001" customHeight="1" x14ac:dyDescent="0.25">
      <c r="A140" s="295"/>
      <c r="B140" s="326"/>
      <c r="C140" s="326"/>
      <c r="D140" s="326"/>
      <c r="E140" s="108" t="s">
        <v>16</v>
      </c>
      <c r="F140" s="15">
        <f>AVERAGE(F138:F139)</f>
        <v>0</v>
      </c>
      <c r="G140" s="15">
        <f t="shared" ref="G140:Q140" si="44">AVERAGE(G138:G139)</f>
        <v>0</v>
      </c>
      <c r="H140" s="15">
        <f t="shared" si="44"/>
        <v>0</v>
      </c>
      <c r="I140" s="15">
        <f t="shared" si="44"/>
        <v>0</v>
      </c>
      <c r="J140" s="15">
        <f t="shared" si="44"/>
        <v>0</v>
      </c>
      <c r="K140" s="15">
        <f t="shared" si="44"/>
        <v>0</v>
      </c>
      <c r="L140" s="15">
        <f t="shared" si="44"/>
        <v>0</v>
      </c>
      <c r="M140" s="15">
        <f t="shared" si="44"/>
        <v>0</v>
      </c>
      <c r="N140" s="15">
        <f t="shared" si="44"/>
        <v>0</v>
      </c>
      <c r="O140" s="15">
        <f t="shared" si="44"/>
        <v>0</v>
      </c>
      <c r="P140" s="15">
        <f t="shared" si="44"/>
        <v>0</v>
      </c>
      <c r="Q140" s="203">
        <f t="shared" si="44"/>
        <v>0</v>
      </c>
      <c r="R140" s="15">
        <f>'11C Sem avr (SS)'!$H$48</f>
        <v>0</v>
      </c>
      <c r="S140" s="15">
        <f>AVERAGE(S138:S139)</f>
        <v>0</v>
      </c>
      <c r="T140" s="38">
        <f>AVERAGE(T138:T139)</f>
        <v>0</v>
      </c>
    </row>
    <row r="141" spans="1:25" ht="20.100000000000001" customHeight="1" x14ac:dyDescent="0.25">
      <c r="A141" s="295">
        <v>46</v>
      </c>
      <c r="B141" s="326"/>
      <c r="C141" s="326"/>
      <c r="D141" s="326"/>
      <c r="E141" s="29" t="s">
        <v>21</v>
      </c>
      <c r="F141" s="15">
        <f>'11C (SS)Sem 1'!E49</f>
        <v>0</v>
      </c>
      <c r="G141" s="15">
        <f>'11C (SS)Sem 1'!F49</f>
        <v>0</v>
      </c>
      <c r="H141" s="15">
        <f>'11C (SS)Sem 1'!G49</f>
        <v>0</v>
      </c>
      <c r="I141" s="15">
        <f>'11C (SS)Sem 1'!H49</f>
        <v>0</v>
      </c>
      <c r="J141" s="15">
        <f>'11C (SS)Sem 1'!I49</f>
        <v>0</v>
      </c>
      <c r="K141" s="15">
        <f>'11C (SS)Sem 1'!J49</f>
        <v>0</v>
      </c>
      <c r="L141" s="15">
        <f>'11C (SS)Sem 1'!K49</f>
        <v>0</v>
      </c>
      <c r="M141" s="15">
        <f>'11C (SS)Sem 1'!L49</f>
        <v>0</v>
      </c>
      <c r="N141" s="15">
        <f>'11C (SS)Sem 1'!M49</f>
        <v>0</v>
      </c>
      <c r="O141" s="15">
        <f>'11C (SS)Sem 1'!N49</f>
        <v>0</v>
      </c>
      <c r="P141" s="15">
        <f>'11C (SS)Sem 1'!O49</f>
        <v>0</v>
      </c>
      <c r="Q141" s="203">
        <f>'11C (SS)Sem 1'!P49</f>
        <v>0</v>
      </c>
      <c r="R141" s="15">
        <f>'11C (SS)Sem 1'!Q49</f>
        <v>0</v>
      </c>
      <c r="S141" s="15">
        <f>'11C (SS)Sem 1'!R49</f>
        <v>0</v>
      </c>
      <c r="T141" s="15">
        <f>'11C (SS)Sem 1'!S49</f>
        <v>0</v>
      </c>
    </row>
    <row r="142" spans="1:25" ht="20.100000000000001" customHeight="1" x14ac:dyDescent="0.25">
      <c r="A142" s="295"/>
      <c r="B142" s="326"/>
      <c r="C142" s="326"/>
      <c r="D142" s="326"/>
      <c r="E142" s="29" t="s">
        <v>22</v>
      </c>
      <c r="F142" s="15">
        <f>'11C (SS)Sem 2'!E49</f>
        <v>0</v>
      </c>
      <c r="G142" s="15">
        <f>'11C (SS)Sem 2'!F49</f>
        <v>0</v>
      </c>
      <c r="H142" s="15">
        <f>'11C (SS)Sem 2'!G49</f>
        <v>0</v>
      </c>
      <c r="I142" s="15">
        <f>'11C (SS)Sem 2'!H49</f>
        <v>0</v>
      </c>
      <c r="J142" s="15">
        <f>'11C (SS)Sem 2'!I49</f>
        <v>0</v>
      </c>
      <c r="K142" s="15">
        <f>'11C (SS)Sem 2'!J49</f>
        <v>0</v>
      </c>
      <c r="L142" s="15">
        <f>'11C (SS)Sem 2'!K49</f>
        <v>0</v>
      </c>
      <c r="M142" s="15">
        <f>'11C (SS)Sem 2'!L49</f>
        <v>0</v>
      </c>
      <c r="N142" s="15">
        <f>'11C (SS)Sem 2'!M49</f>
        <v>0</v>
      </c>
      <c r="O142" s="15">
        <f>'11C (SS)Sem 2'!N49</f>
        <v>0</v>
      </c>
      <c r="P142" s="15">
        <f>'11C (SS)Sem 2'!O49</f>
        <v>0</v>
      </c>
      <c r="Q142" s="203">
        <f>'11C (SS)Sem 2'!P49</f>
        <v>0</v>
      </c>
      <c r="R142" s="15">
        <f>'11C (SS)Sem 2'!Q49</f>
        <v>0</v>
      </c>
      <c r="S142" s="15">
        <f>'11C (SS)Sem 2'!R49</f>
        <v>0</v>
      </c>
      <c r="T142" s="15">
        <f>'11C (SS)Sem 2'!S49</f>
        <v>0</v>
      </c>
    </row>
    <row r="143" spans="1:25" ht="20.100000000000001" customHeight="1" x14ac:dyDescent="0.25">
      <c r="A143" s="295"/>
      <c r="B143" s="326"/>
      <c r="C143" s="326"/>
      <c r="D143" s="326"/>
      <c r="E143" s="108" t="s">
        <v>16</v>
      </c>
      <c r="F143" s="15">
        <f>AVERAGE(F141:F142)</f>
        <v>0</v>
      </c>
      <c r="G143" s="15">
        <f t="shared" ref="G143:Q143" si="45">AVERAGE(G141:G142)</f>
        <v>0</v>
      </c>
      <c r="H143" s="15">
        <f t="shared" si="45"/>
        <v>0</v>
      </c>
      <c r="I143" s="15">
        <f t="shared" si="45"/>
        <v>0</v>
      </c>
      <c r="J143" s="15">
        <f t="shared" si="45"/>
        <v>0</v>
      </c>
      <c r="K143" s="15">
        <f t="shared" si="45"/>
        <v>0</v>
      </c>
      <c r="L143" s="15">
        <f t="shared" si="45"/>
        <v>0</v>
      </c>
      <c r="M143" s="15">
        <f t="shared" si="45"/>
        <v>0</v>
      </c>
      <c r="N143" s="15">
        <f t="shared" si="45"/>
        <v>0</v>
      </c>
      <c r="O143" s="15">
        <f t="shared" si="45"/>
        <v>0</v>
      </c>
      <c r="P143" s="15">
        <f t="shared" si="45"/>
        <v>0</v>
      </c>
      <c r="Q143" s="203">
        <f t="shared" si="45"/>
        <v>0</v>
      </c>
      <c r="R143" s="15">
        <f>'11C Sem avr (SS)'!$H$49</f>
        <v>0</v>
      </c>
      <c r="S143" s="15">
        <f>AVERAGE(S141:S142)</f>
        <v>0</v>
      </c>
      <c r="T143" s="38">
        <f>AVERAGE(T141:T142)</f>
        <v>0</v>
      </c>
    </row>
    <row r="144" spans="1:25" ht="20.100000000000001" customHeight="1" x14ac:dyDescent="0.25">
      <c r="A144" s="295">
        <v>47</v>
      </c>
      <c r="B144" s="326"/>
      <c r="C144" s="326"/>
      <c r="D144" s="326"/>
      <c r="E144" s="29" t="s">
        <v>21</v>
      </c>
      <c r="F144" s="15">
        <f>'11C (SS)Sem 1'!E50</f>
        <v>0</v>
      </c>
      <c r="G144" s="15">
        <f>'11C (SS)Sem 1'!F50</f>
        <v>0</v>
      </c>
      <c r="H144" s="15">
        <f>'11C (SS)Sem 1'!G50</f>
        <v>0</v>
      </c>
      <c r="I144" s="15">
        <f>'11C (SS)Sem 1'!H50</f>
        <v>0</v>
      </c>
      <c r="J144" s="15">
        <f>'11C (SS)Sem 1'!I50</f>
        <v>0</v>
      </c>
      <c r="K144" s="15">
        <f>'11C (SS)Sem 1'!J50</f>
        <v>0</v>
      </c>
      <c r="L144" s="15">
        <f>'11C (SS)Sem 1'!K50</f>
        <v>0</v>
      </c>
      <c r="M144" s="15">
        <f>'11C (SS)Sem 1'!L50</f>
        <v>0</v>
      </c>
      <c r="N144" s="15">
        <f>'11C (SS)Sem 1'!M50</f>
        <v>0</v>
      </c>
      <c r="O144" s="15">
        <f>'11C (SS)Sem 1'!N50</f>
        <v>0</v>
      </c>
      <c r="P144" s="15">
        <f>'11C (SS)Sem 1'!O50</f>
        <v>0</v>
      </c>
      <c r="Q144" s="203">
        <f>'11C (SS)Sem 1'!P50</f>
        <v>0</v>
      </c>
      <c r="R144" s="15">
        <f>'11C (SS)Sem 1'!Q50</f>
        <v>0</v>
      </c>
      <c r="S144" s="15">
        <f>'11C (SS)Sem 1'!R50</f>
        <v>0</v>
      </c>
      <c r="T144" s="15">
        <f>'11C (SS)Sem 1'!S50</f>
        <v>0</v>
      </c>
    </row>
    <row r="145" spans="1:20" ht="20.100000000000001" customHeight="1" x14ac:dyDescent="0.25">
      <c r="A145" s="295"/>
      <c r="B145" s="326"/>
      <c r="C145" s="326"/>
      <c r="D145" s="326"/>
      <c r="E145" s="29" t="s">
        <v>22</v>
      </c>
      <c r="F145" s="15">
        <f>'11C (SS)Sem 2'!E50</f>
        <v>0</v>
      </c>
      <c r="G145" s="15">
        <f>'11C (SS)Sem 2'!F50</f>
        <v>0</v>
      </c>
      <c r="H145" s="15">
        <f>'11C (SS)Sem 2'!G50</f>
        <v>0</v>
      </c>
      <c r="I145" s="15">
        <f>'11C (SS)Sem 2'!H50</f>
        <v>0</v>
      </c>
      <c r="J145" s="15">
        <f>'11C (SS)Sem 2'!I50</f>
        <v>0</v>
      </c>
      <c r="K145" s="15">
        <f>'11C (SS)Sem 2'!J50</f>
        <v>0</v>
      </c>
      <c r="L145" s="15">
        <f>'11C (SS)Sem 2'!K50</f>
        <v>0</v>
      </c>
      <c r="M145" s="15">
        <f>'11C (SS)Sem 2'!L50</f>
        <v>0</v>
      </c>
      <c r="N145" s="15">
        <f>'11C (SS)Sem 2'!M50</f>
        <v>0</v>
      </c>
      <c r="O145" s="15">
        <f>'11C (SS)Sem 2'!N50</f>
        <v>0</v>
      </c>
      <c r="P145" s="15">
        <f>'11C (SS)Sem 2'!O50</f>
        <v>0</v>
      </c>
      <c r="Q145" s="203">
        <f>'11C (SS)Sem 2'!P50</f>
        <v>0</v>
      </c>
      <c r="R145" s="15">
        <f>'11C (SS)Sem 2'!Q50</f>
        <v>0</v>
      </c>
      <c r="S145" s="15">
        <f>'11C (SS)Sem 2'!R50</f>
        <v>0</v>
      </c>
      <c r="T145" s="15">
        <f>'11C (SS)Sem 2'!S50</f>
        <v>0</v>
      </c>
    </row>
    <row r="146" spans="1:20" ht="20.100000000000001" customHeight="1" x14ac:dyDescent="0.25">
      <c r="A146" s="295"/>
      <c r="B146" s="326"/>
      <c r="C146" s="326"/>
      <c r="D146" s="326"/>
      <c r="E146" s="108" t="s">
        <v>16</v>
      </c>
      <c r="F146" s="15">
        <f>AVERAGE(F144:F145)</f>
        <v>0</v>
      </c>
      <c r="G146" s="15">
        <f t="shared" ref="G146:Q146" si="46">AVERAGE(G144:G145)</f>
        <v>0</v>
      </c>
      <c r="H146" s="15">
        <f t="shared" si="46"/>
        <v>0</v>
      </c>
      <c r="I146" s="15">
        <f t="shared" si="46"/>
        <v>0</v>
      </c>
      <c r="J146" s="15">
        <f t="shared" si="46"/>
        <v>0</v>
      </c>
      <c r="K146" s="15">
        <f t="shared" si="46"/>
        <v>0</v>
      </c>
      <c r="L146" s="15">
        <f t="shared" si="46"/>
        <v>0</v>
      </c>
      <c r="M146" s="15">
        <f t="shared" si="46"/>
        <v>0</v>
      </c>
      <c r="N146" s="15">
        <f t="shared" si="46"/>
        <v>0</v>
      </c>
      <c r="O146" s="15">
        <f t="shared" si="46"/>
        <v>0</v>
      </c>
      <c r="P146" s="15">
        <f t="shared" si="46"/>
        <v>0</v>
      </c>
      <c r="Q146" s="203">
        <f t="shared" si="46"/>
        <v>0</v>
      </c>
      <c r="R146" s="15">
        <f>'11C Sem avr (SS)'!$H$50</f>
        <v>0</v>
      </c>
      <c r="S146" s="15">
        <f>AVERAGE(S144:S145)</f>
        <v>0</v>
      </c>
      <c r="T146" s="38">
        <f>AVERAGE(T144:T145)</f>
        <v>0</v>
      </c>
    </row>
    <row r="147" spans="1:20" ht="20.100000000000001" customHeight="1" x14ac:dyDescent="0.25">
      <c r="A147" s="295">
        <v>48</v>
      </c>
      <c r="B147" s="326"/>
      <c r="C147" s="326"/>
      <c r="D147" s="326"/>
      <c r="E147" s="29" t="s">
        <v>21</v>
      </c>
      <c r="F147" s="15">
        <f>'11C (SS)Sem 1'!E51</f>
        <v>0</v>
      </c>
      <c r="G147" s="15">
        <f>'11C (SS)Sem 1'!F51</f>
        <v>0</v>
      </c>
      <c r="H147" s="15">
        <f>'11C (SS)Sem 1'!G51</f>
        <v>0</v>
      </c>
      <c r="I147" s="15">
        <f>'11C (SS)Sem 1'!H51</f>
        <v>0</v>
      </c>
      <c r="J147" s="15">
        <f>'11C (SS)Sem 1'!I51</f>
        <v>0</v>
      </c>
      <c r="K147" s="15">
        <f>'11C (SS)Sem 1'!J51</f>
        <v>0</v>
      </c>
      <c r="L147" s="15">
        <f>'11C (SS)Sem 1'!K51</f>
        <v>0</v>
      </c>
      <c r="M147" s="15">
        <f>'11C (SS)Sem 1'!L51</f>
        <v>0</v>
      </c>
      <c r="N147" s="15">
        <f>'11C (SS)Sem 1'!M51</f>
        <v>0</v>
      </c>
      <c r="O147" s="15">
        <f>'11C (SS)Sem 1'!N51</f>
        <v>0</v>
      </c>
      <c r="P147" s="15">
        <f>'11C (SS)Sem 1'!O51</f>
        <v>0</v>
      </c>
      <c r="Q147" s="203">
        <f>'11C (SS)Sem 1'!P51</f>
        <v>0</v>
      </c>
      <c r="R147" s="15">
        <f>'11C (SS)Sem 1'!Q51</f>
        <v>0</v>
      </c>
      <c r="S147" s="15">
        <f>'11C (SS)Sem 1'!R51</f>
        <v>0</v>
      </c>
      <c r="T147" s="15">
        <f>'11C (SS)Sem 1'!S51</f>
        <v>0</v>
      </c>
    </row>
    <row r="148" spans="1:20" ht="20.100000000000001" customHeight="1" x14ac:dyDescent="0.25">
      <c r="A148" s="295"/>
      <c r="B148" s="326"/>
      <c r="C148" s="326"/>
      <c r="D148" s="326"/>
      <c r="E148" s="29" t="s">
        <v>22</v>
      </c>
      <c r="F148" s="15">
        <f>'11C (SS)Sem 2'!E51</f>
        <v>0</v>
      </c>
      <c r="G148" s="15">
        <f>'11C (SS)Sem 2'!F51</f>
        <v>0</v>
      </c>
      <c r="H148" s="15">
        <f>'11C (SS)Sem 2'!G51</f>
        <v>0</v>
      </c>
      <c r="I148" s="15">
        <f>'11C (SS)Sem 2'!H51</f>
        <v>0</v>
      </c>
      <c r="J148" s="15">
        <f>'11C (SS)Sem 2'!I51</f>
        <v>0</v>
      </c>
      <c r="K148" s="15">
        <f>'11C (SS)Sem 2'!J51</f>
        <v>0</v>
      </c>
      <c r="L148" s="15">
        <f>'11C (SS)Sem 2'!K51</f>
        <v>0</v>
      </c>
      <c r="M148" s="15">
        <f>'11C (SS)Sem 2'!L51</f>
        <v>0</v>
      </c>
      <c r="N148" s="15">
        <f>'11C (SS)Sem 2'!M51</f>
        <v>0</v>
      </c>
      <c r="O148" s="15">
        <f>'11C (SS)Sem 2'!N51</f>
        <v>0</v>
      </c>
      <c r="P148" s="15">
        <f>'11C (SS)Sem 2'!O51</f>
        <v>0</v>
      </c>
      <c r="Q148" s="203">
        <f>'11C (SS)Sem 2'!P51</f>
        <v>0</v>
      </c>
      <c r="R148" s="15">
        <f>'11C (SS)Sem 2'!Q51</f>
        <v>0</v>
      </c>
      <c r="S148" s="15">
        <f>'11C (SS)Sem 2'!R51</f>
        <v>0</v>
      </c>
      <c r="T148" s="15">
        <f>'11C (SS)Sem 2'!S51</f>
        <v>0</v>
      </c>
    </row>
    <row r="149" spans="1:20" ht="20.100000000000001" customHeight="1" x14ac:dyDescent="0.25">
      <c r="A149" s="295"/>
      <c r="B149" s="326"/>
      <c r="C149" s="326"/>
      <c r="D149" s="326"/>
      <c r="E149" s="108" t="s">
        <v>16</v>
      </c>
      <c r="F149" s="15">
        <f>AVERAGE(F147:F148)</f>
        <v>0</v>
      </c>
      <c r="G149" s="15">
        <f t="shared" ref="G149:Q149" si="47">AVERAGE(G147:G148)</f>
        <v>0</v>
      </c>
      <c r="H149" s="15">
        <f t="shared" si="47"/>
        <v>0</v>
      </c>
      <c r="I149" s="15">
        <f t="shared" si="47"/>
        <v>0</v>
      </c>
      <c r="J149" s="15">
        <f t="shared" si="47"/>
        <v>0</v>
      </c>
      <c r="K149" s="15">
        <f t="shared" si="47"/>
        <v>0</v>
      </c>
      <c r="L149" s="15">
        <f t="shared" si="47"/>
        <v>0</v>
      </c>
      <c r="M149" s="15">
        <f t="shared" si="47"/>
        <v>0</v>
      </c>
      <c r="N149" s="15">
        <f t="shared" si="47"/>
        <v>0</v>
      </c>
      <c r="O149" s="15">
        <f t="shared" si="47"/>
        <v>0</v>
      </c>
      <c r="P149" s="15">
        <f t="shared" si="47"/>
        <v>0</v>
      </c>
      <c r="Q149" s="203">
        <f t="shared" si="47"/>
        <v>0</v>
      </c>
      <c r="R149" s="15">
        <f>'11C Sem avr (SS)'!$H$51</f>
        <v>0</v>
      </c>
      <c r="S149" s="15">
        <f>AVERAGE(S147:S148)</f>
        <v>0</v>
      </c>
      <c r="T149" s="38">
        <f>AVERAGE(T147:T148)</f>
        <v>0</v>
      </c>
    </row>
    <row r="150" spans="1:20" ht="20.100000000000001" customHeight="1" x14ac:dyDescent="0.25">
      <c r="A150" s="295">
        <v>49</v>
      </c>
      <c r="B150" s="326"/>
      <c r="C150" s="326"/>
      <c r="D150" s="326"/>
      <c r="E150" s="29" t="s">
        <v>21</v>
      </c>
      <c r="F150" s="15">
        <f>'11C (SS)Sem 1'!E52</f>
        <v>0</v>
      </c>
      <c r="G150" s="15">
        <f>'11C (SS)Sem 1'!F52</f>
        <v>0</v>
      </c>
      <c r="H150" s="15">
        <f>'11C (SS)Sem 1'!G52</f>
        <v>0</v>
      </c>
      <c r="I150" s="15">
        <f>'11C (SS)Sem 1'!H52</f>
        <v>0</v>
      </c>
      <c r="J150" s="15">
        <f>'11C (SS)Sem 1'!I52</f>
        <v>0</v>
      </c>
      <c r="K150" s="15">
        <f>'11C (SS)Sem 1'!J52</f>
        <v>0</v>
      </c>
      <c r="L150" s="15">
        <f>'11C (SS)Sem 1'!K52</f>
        <v>0</v>
      </c>
      <c r="M150" s="15">
        <f>'11C (SS)Sem 1'!L52</f>
        <v>0</v>
      </c>
      <c r="N150" s="15">
        <f>'11C (SS)Sem 1'!M52</f>
        <v>0</v>
      </c>
      <c r="O150" s="15">
        <f>'11C (SS)Sem 1'!N52</f>
        <v>0</v>
      </c>
      <c r="P150" s="15">
        <f>'11C (SS)Sem 1'!O52</f>
        <v>0</v>
      </c>
      <c r="Q150" s="203">
        <f>'11C (SS)Sem 1'!P52</f>
        <v>0</v>
      </c>
      <c r="R150" s="15">
        <f>'11C (SS)Sem 1'!Q52</f>
        <v>0</v>
      </c>
      <c r="S150" s="15">
        <f>'11C (SS)Sem 1'!R52</f>
        <v>0</v>
      </c>
      <c r="T150" s="15">
        <f>'11C (SS)Sem 1'!S52</f>
        <v>0</v>
      </c>
    </row>
    <row r="151" spans="1:20" ht="20.100000000000001" customHeight="1" x14ac:dyDescent="0.25">
      <c r="A151" s="295"/>
      <c r="B151" s="326"/>
      <c r="C151" s="326"/>
      <c r="D151" s="326"/>
      <c r="E151" s="29" t="s">
        <v>22</v>
      </c>
      <c r="F151" s="15">
        <f>'11C (SS)Sem 2'!E52</f>
        <v>0</v>
      </c>
      <c r="G151" s="15">
        <f>'11C (SS)Sem 2'!F52</f>
        <v>0</v>
      </c>
      <c r="H151" s="15">
        <f>'11C (SS)Sem 2'!G52</f>
        <v>0</v>
      </c>
      <c r="I151" s="15">
        <f>'11C (SS)Sem 2'!H52</f>
        <v>0</v>
      </c>
      <c r="J151" s="15">
        <f>'11C (SS)Sem 2'!I52</f>
        <v>0</v>
      </c>
      <c r="K151" s="15">
        <f>'11C (SS)Sem 2'!J52</f>
        <v>0</v>
      </c>
      <c r="L151" s="15">
        <f>'11C (SS)Sem 2'!K52</f>
        <v>0</v>
      </c>
      <c r="M151" s="15">
        <f>'11C (SS)Sem 2'!L52</f>
        <v>0</v>
      </c>
      <c r="N151" s="15">
        <f>'11C (SS)Sem 2'!M52</f>
        <v>0</v>
      </c>
      <c r="O151" s="15">
        <f>'11C (SS)Sem 2'!N52</f>
        <v>0</v>
      </c>
      <c r="P151" s="15">
        <f>'11C (SS)Sem 2'!O52</f>
        <v>0</v>
      </c>
      <c r="Q151" s="203">
        <f>'11C (SS)Sem 2'!P52</f>
        <v>0</v>
      </c>
      <c r="R151" s="15">
        <f>'11C (SS)Sem 2'!Q52</f>
        <v>0</v>
      </c>
      <c r="S151" s="15">
        <f>'11C (SS)Sem 2'!R52</f>
        <v>0</v>
      </c>
      <c r="T151" s="15">
        <f>'11C (SS)Sem 2'!S52</f>
        <v>0</v>
      </c>
    </row>
    <row r="152" spans="1:20" ht="20.100000000000001" customHeight="1" x14ac:dyDescent="0.25">
      <c r="A152" s="295"/>
      <c r="B152" s="326"/>
      <c r="C152" s="326"/>
      <c r="D152" s="326"/>
      <c r="E152" s="108" t="s">
        <v>16</v>
      </c>
      <c r="F152" s="15">
        <f>AVERAGE(F150:F151)</f>
        <v>0</v>
      </c>
      <c r="G152" s="15">
        <f t="shared" ref="G152:Q152" si="48">AVERAGE(G150:G151)</f>
        <v>0</v>
      </c>
      <c r="H152" s="15">
        <f t="shared" si="48"/>
        <v>0</v>
      </c>
      <c r="I152" s="15">
        <f t="shared" si="48"/>
        <v>0</v>
      </c>
      <c r="J152" s="15">
        <f t="shared" si="48"/>
        <v>0</v>
      </c>
      <c r="K152" s="15">
        <f t="shared" si="48"/>
        <v>0</v>
      </c>
      <c r="L152" s="15">
        <f t="shared" si="48"/>
        <v>0</v>
      </c>
      <c r="M152" s="15">
        <f t="shared" si="48"/>
        <v>0</v>
      </c>
      <c r="N152" s="15">
        <f t="shared" si="48"/>
        <v>0</v>
      </c>
      <c r="O152" s="15">
        <f t="shared" si="48"/>
        <v>0</v>
      </c>
      <c r="P152" s="15">
        <f t="shared" si="48"/>
        <v>0</v>
      </c>
      <c r="Q152" s="203">
        <f t="shared" si="48"/>
        <v>0</v>
      </c>
      <c r="R152" s="15">
        <f>'11C Sem avr (SS)'!$H$52</f>
        <v>0</v>
      </c>
      <c r="S152" s="15">
        <f>AVERAGE(S150:S151)</f>
        <v>0</v>
      </c>
      <c r="T152" s="38">
        <f>AVERAGE(T150:T151)</f>
        <v>0</v>
      </c>
    </row>
    <row r="153" spans="1:20" ht="20.100000000000001" customHeight="1" x14ac:dyDescent="0.25">
      <c r="A153" s="295">
        <v>50</v>
      </c>
      <c r="B153" s="326"/>
      <c r="C153" s="326"/>
      <c r="D153" s="326"/>
      <c r="E153" s="29" t="s">
        <v>21</v>
      </c>
      <c r="F153" s="15">
        <f>'11C (SS)Sem 1'!E53</f>
        <v>0</v>
      </c>
      <c r="G153" s="15">
        <f>'11C (SS)Sem 1'!F53</f>
        <v>0</v>
      </c>
      <c r="H153" s="15">
        <f>'11C (SS)Sem 1'!G53</f>
        <v>0</v>
      </c>
      <c r="I153" s="15">
        <f>'11C (SS)Sem 1'!H53</f>
        <v>0</v>
      </c>
      <c r="J153" s="15">
        <f>'11C (SS)Sem 1'!I53</f>
        <v>0</v>
      </c>
      <c r="K153" s="15">
        <f>'11C (SS)Sem 1'!J53</f>
        <v>0</v>
      </c>
      <c r="L153" s="15">
        <f>'11C (SS)Sem 1'!K53</f>
        <v>0</v>
      </c>
      <c r="M153" s="15">
        <f>'11C (SS)Sem 1'!L53</f>
        <v>0</v>
      </c>
      <c r="N153" s="15">
        <f>'11C (SS)Sem 1'!M53</f>
        <v>0</v>
      </c>
      <c r="O153" s="15">
        <f>'11C (SS)Sem 1'!N53</f>
        <v>0</v>
      </c>
      <c r="P153" s="15">
        <f>'11C (SS)Sem 1'!O53</f>
        <v>0</v>
      </c>
      <c r="Q153" s="203">
        <f>'11C (SS)Sem 1'!P53</f>
        <v>0</v>
      </c>
      <c r="R153" s="15">
        <f>'11C (SS)Sem 1'!Q53</f>
        <v>0</v>
      </c>
      <c r="S153" s="15">
        <f>'11C (SS)Sem 1'!R53</f>
        <v>0</v>
      </c>
      <c r="T153" s="15">
        <f>'11C (SS)Sem 1'!S53</f>
        <v>0</v>
      </c>
    </row>
    <row r="154" spans="1:20" ht="20.100000000000001" customHeight="1" x14ac:dyDescent="0.25">
      <c r="A154" s="295"/>
      <c r="B154" s="326"/>
      <c r="C154" s="326"/>
      <c r="D154" s="326"/>
      <c r="E154" s="29" t="s">
        <v>22</v>
      </c>
      <c r="F154" s="15">
        <f>'11C (SS)Sem 2'!E53</f>
        <v>0</v>
      </c>
      <c r="G154" s="15">
        <f>'11C (SS)Sem 2'!F53</f>
        <v>0</v>
      </c>
      <c r="H154" s="15">
        <f>'11C (SS)Sem 2'!G53</f>
        <v>0</v>
      </c>
      <c r="I154" s="15">
        <f>'11C (SS)Sem 2'!H53</f>
        <v>0</v>
      </c>
      <c r="J154" s="15">
        <f>'11C (SS)Sem 2'!I53</f>
        <v>0</v>
      </c>
      <c r="K154" s="15">
        <f>'11C (SS)Sem 2'!J53</f>
        <v>0</v>
      </c>
      <c r="L154" s="15">
        <f>'11C (SS)Sem 2'!K53</f>
        <v>0</v>
      </c>
      <c r="M154" s="15">
        <f>'11C (SS)Sem 2'!L53</f>
        <v>0</v>
      </c>
      <c r="N154" s="15">
        <f>'11C (SS)Sem 2'!M53</f>
        <v>0</v>
      </c>
      <c r="O154" s="15">
        <f>'11C (SS)Sem 2'!N53</f>
        <v>0</v>
      </c>
      <c r="P154" s="15">
        <f>'11C (SS)Sem 2'!O53</f>
        <v>0</v>
      </c>
      <c r="Q154" s="203">
        <f>'11C (SS)Sem 2'!P53</f>
        <v>0</v>
      </c>
      <c r="R154" s="15">
        <f>'11C (SS)Sem 2'!Q53</f>
        <v>0</v>
      </c>
      <c r="S154" s="15">
        <f>'11C (SS)Sem 2'!R53</f>
        <v>0</v>
      </c>
      <c r="T154" s="15">
        <f>'11C (SS)Sem 2'!S53</f>
        <v>0</v>
      </c>
    </row>
    <row r="155" spans="1:20" ht="20.100000000000001" customHeight="1" x14ac:dyDescent="0.25">
      <c r="A155" s="295"/>
      <c r="B155" s="326"/>
      <c r="C155" s="326"/>
      <c r="D155" s="326"/>
      <c r="E155" s="108" t="s">
        <v>16</v>
      </c>
      <c r="F155" s="15">
        <f>AVERAGE(F153:F154)</f>
        <v>0</v>
      </c>
      <c r="G155" s="15">
        <f t="shared" ref="G155:Q155" si="49">AVERAGE(G153:G154)</f>
        <v>0</v>
      </c>
      <c r="H155" s="15">
        <f t="shared" si="49"/>
        <v>0</v>
      </c>
      <c r="I155" s="15">
        <f t="shared" si="49"/>
        <v>0</v>
      </c>
      <c r="J155" s="15">
        <f t="shared" si="49"/>
        <v>0</v>
      </c>
      <c r="K155" s="15">
        <f t="shared" si="49"/>
        <v>0</v>
      </c>
      <c r="L155" s="15">
        <f t="shared" si="49"/>
        <v>0</v>
      </c>
      <c r="M155" s="15">
        <f t="shared" si="49"/>
        <v>0</v>
      </c>
      <c r="N155" s="15">
        <f t="shared" si="49"/>
        <v>0</v>
      </c>
      <c r="O155" s="15">
        <f t="shared" si="49"/>
        <v>0</v>
      </c>
      <c r="P155" s="15">
        <f t="shared" si="49"/>
        <v>0</v>
      </c>
      <c r="Q155" s="203">
        <f t="shared" si="49"/>
        <v>0</v>
      </c>
      <c r="R155" s="15">
        <f>'11C Sem avr (SS)'!$H$53</f>
        <v>0</v>
      </c>
      <c r="S155" s="15">
        <f>AVERAGE(S153:S154)</f>
        <v>0</v>
      </c>
      <c r="T155" s="38">
        <f>AVERAGE(T153:T154)</f>
        <v>0</v>
      </c>
    </row>
    <row r="156" spans="1:20" ht="20.100000000000001" customHeight="1" x14ac:dyDescent="0.25">
      <c r="A156" s="295">
        <v>51</v>
      </c>
      <c r="B156" s="326"/>
      <c r="C156" s="326"/>
      <c r="D156" s="326"/>
      <c r="E156" s="29" t="s">
        <v>21</v>
      </c>
      <c r="F156" s="15">
        <f>'11C (SS)Sem 1'!E54</f>
        <v>0</v>
      </c>
      <c r="G156" s="15">
        <f>'11C (SS)Sem 1'!F54</f>
        <v>0</v>
      </c>
      <c r="H156" s="15">
        <f>'11C (SS)Sem 1'!G54</f>
        <v>0</v>
      </c>
      <c r="I156" s="15">
        <f>'11C (SS)Sem 1'!H54</f>
        <v>0</v>
      </c>
      <c r="J156" s="15">
        <f>'11C (SS)Sem 1'!I54</f>
        <v>0</v>
      </c>
      <c r="K156" s="15">
        <f>'11C (SS)Sem 1'!J54</f>
        <v>0</v>
      </c>
      <c r="L156" s="15">
        <f>'11C (SS)Sem 1'!K54</f>
        <v>0</v>
      </c>
      <c r="M156" s="15">
        <f>'11C (SS)Sem 1'!L54</f>
        <v>0</v>
      </c>
      <c r="N156" s="15">
        <f>'11C (SS)Sem 1'!M54</f>
        <v>0</v>
      </c>
      <c r="O156" s="15">
        <f>'11C (SS)Sem 1'!N54</f>
        <v>0</v>
      </c>
      <c r="P156" s="15">
        <f>'11C (SS)Sem 1'!O54</f>
        <v>0</v>
      </c>
      <c r="Q156" s="203">
        <f>'11C (SS)Sem 1'!P54</f>
        <v>0</v>
      </c>
      <c r="R156" s="15">
        <f>'11C (SS)Sem 1'!Q54</f>
        <v>0</v>
      </c>
      <c r="S156" s="15">
        <f>'11C (SS)Sem 1'!R54</f>
        <v>0</v>
      </c>
      <c r="T156" s="15">
        <f>'11C (SS)Sem 1'!S54</f>
        <v>0</v>
      </c>
    </row>
    <row r="157" spans="1:20" ht="20.100000000000001" customHeight="1" x14ac:dyDescent="0.25">
      <c r="A157" s="295"/>
      <c r="B157" s="326"/>
      <c r="C157" s="326"/>
      <c r="D157" s="326"/>
      <c r="E157" s="29" t="s">
        <v>22</v>
      </c>
      <c r="F157" s="15">
        <f>'11C (SS)Sem 2'!E54</f>
        <v>0</v>
      </c>
      <c r="G157" s="15">
        <f>'11C (SS)Sem 2'!F54</f>
        <v>0</v>
      </c>
      <c r="H157" s="15">
        <f>'11C (SS)Sem 2'!G54</f>
        <v>0</v>
      </c>
      <c r="I157" s="15">
        <f>'11C (SS)Sem 2'!H54</f>
        <v>0</v>
      </c>
      <c r="J157" s="15">
        <f>'11C (SS)Sem 2'!I54</f>
        <v>0</v>
      </c>
      <c r="K157" s="15">
        <f>'11C (SS)Sem 2'!J54</f>
        <v>0</v>
      </c>
      <c r="L157" s="15">
        <f>'11C (SS)Sem 2'!K54</f>
        <v>0</v>
      </c>
      <c r="M157" s="15">
        <f>'11C (SS)Sem 2'!L54</f>
        <v>0</v>
      </c>
      <c r="N157" s="15">
        <f>'11C (SS)Sem 2'!M54</f>
        <v>0</v>
      </c>
      <c r="O157" s="15">
        <f>'11C (SS)Sem 2'!N54</f>
        <v>0</v>
      </c>
      <c r="P157" s="15">
        <f>'11C (SS)Sem 2'!O54</f>
        <v>0</v>
      </c>
      <c r="Q157" s="203">
        <f>'11C (SS)Sem 2'!P54</f>
        <v>0</v>
      </c>
      <c r="R157" s="15">
        <f>'11C (SS)Sem 2'!Q54</f>
        <v>0</v>
      </c>
      <c r="S157" s="15">
        <f>'11C (SS)Sem 2'!R54</f>
        <v>0</v>
      </c>
      <c r="T157" s="15">
        <f>'11C (SS)Sem 2'!S54</f>
        <v>0</v>
      </c>
    </row>
    <row r="158" spans="1:20" ht="20.100000000000001" customHeight="1" x14ac:dyDescent="0.25">
      <c r="A158" s="295"/>
      <c r="B158" s="326"/>
      <c r="C158" s="326"/>
      <c r="D158" s="326"/>
      <c r="E158" s="108" t="s">
        <v>16</v>
      </c>
      <c r="F158" s="15">
        <f>AVERAGE(F156:F157)</f>
        <v>0</v>
      </c>
      <c r="G158" s="15">
        <f t="shared" ref="G158:Q158" si="50">AVERAGE(G156:G157)</f>
        <v>0</v>
      </c>
      <c r="H158" s="15">
        <f t="shared" si="50"/>
        <v>0</v>
      </c>
      <c r="I158" s="15">
        <f t="shared" si="50"/>
        <v>0</v>
      </c>
      <c r="J158" s="15">
        <f t="shared" si="50"/>
        <v>0</v>
      </c>
      <c r="K158" s="15">
        <f t="shared" si="50"/>
        <v>0</v>
      </c>
      <c r="L158" s="15">
        <f t="shared" si="50"/>
        <v>0</v>
      </c>
      <c r="M158" s="15">
        <f t="shared" si="50"/>
        <v>0</v>
      </c>
      <c r="N158" s="15">
        <f t="shared" si="50"/>
        <v>0</v>
      </c>
      <c r="O158" s="15">
        <f t="shared" si="50"/>
        <v>0</v>
      </c>
      <c r="P158" s="15">
        <f t="shared" si="50"/>
        <v>0</v>
      </c>
      <c r="Q158" s="203">
        <f t="shared" si="50"/>
        <v>0</v>
      </c>
      <c r="R158" s="15">
        <f>'11C Sem avr (SS)'!$H$54</f>
        <v>0</v>
      </c>
      <c r="S158" s="15">
        <f>AVERAGE(S156:S157)</f>
        <v>0</v>
      </c>
      <c r="T158" s="38">
        <f>AVERAGE(T156:T157)</f>
        <v>0</v>
      </c>
    </row>
    <row r="159" spans="1:20" ht="20.100000000000001" customHeight="1" x14ac:dyDescent="0.25">
      <c r="A159" s="295">
        <v>52</v>
      </c>
      <c r="B159" s="326"/>
      <c r="C159" s="326"/>
      <c r="D159" s="326"/>
      <c r="E159" s="29" t="s">
        <v>21</v>
      </c>
      <c r="F159" s="15">
        <f>'11C (SS)Sem 1'!E55</f>
        <v>0</v>
      </c>
      <c r="G159" s="15">
        <f>'11C (SS)Sem 1'!F55</f>
        <v>0</v>
      </c>
      <c r="H159" s="15">
        <f>'11C (SS)Sem 1'!G55</f>
        <v>0</v>
      </c>
      <c r="I159" s="15">
        <f>'11C (SS)Sem 1'!H55</f>
        <v>0</v>
      </c>
      <c r="J159" s="15">
        <f>'11C (SS)Sem 1'!I55</f>
        <v>0</v>
      </c>
      <c r="K159" s="15">
        <f>'11C (SS)Sem 1'!J55</f>
        <v>0</v>
      </c>
      <c r="L159" s="15">
        <f>'11C (SS)Sem 1'!K55</f>
        <v>0</v>
      </c>
      <c r="M159" s="15">
        <f>'11C (SS)Sem 1'!L55</f>
        <v>0</v>
      </c>
      <c r="N159" s="15">
        <f>'11C (SS)Sem 1'!M55</f>
        <v>0</v>
      </c>
      <c r="O159" s="15">
        <f>'11C (SS)Sem 1'!N55</f>
        <v>0</v>
      </c>
      <c r="P159" s="15">
        <f>'11C (SS)Sem 1'!O55</f>
        <v>0</v>
      </c>
      <c r="Q159" s="203">
        <f>'11C (SS)Sem 1'!P55</f>
        <v>0</v>
      </c>
      <c r="R159" s="15">
        <f>'11C (SS)Sem 1'!Q55</f>
        <v>0</v>
      </c>
      <c r="S159" s="15">
        <f>'11C (SS)Sem 1'!R55</f>
        <v>0</v>
      </c>
      <c r="T159" s="15">
        <f>'11C (SS)Sem 1'!S55</f>
        <v>0</v>
      </c>
    </row>
    <row r="160" spans="1:20" ht="20.100000000000001" customHeight="1" x14ac:dyDescent="0.25">
      <c r="A160" s="295"/>
      <c r="B160" s="326"/>
      <c r="C160" s="326"/>
      <c r="D160" s="326"/>
      <c r="E160" s="29" t="s">
        <v>22</v>
      </c>
      <c r="F160" s="15">
        <f>'11C (SS)Sem 2'!E55</f>
        <v>0</v>
      </c>
      <c r="G160" s="15">
        <f>'11C (SS)Sem 2'!F55</f>
        <v>0</v>
      </c>
      <c r="H160" s="15">
        <f>'11C (SS)Sem 2'!G55</f>
        <v>0</v>
      </c>
      <c r="I160" s="15">
        <f>'11C (SS)Sem 2'!H55</f>
        <v>0</v>
      </c>
      <c r="J160" s="15">
        <f>'11C (SS)Sem 2'!I55</f>
        <v>0</v>
      </c>
      <c r="K160" s="15">
        <f>'11C (SS)Sem 2'!J55</f>
        <v>0</v>
      </c>
      <c r="L160" s="15">
        <f>'11C (SS)Sem 2'!K55</f>
        <v>0</v>
      </c>
      <c r="M160" s="15">
        <f>'11C (SS)Sem 2'!L55</f>
        <v>0</v>
      </c>
      <c r="N160" s="15">
        <f>'11C (SS)Sem 2'!M55</f>
        <v>0</v>
      </c>
      <c r="O160" s="15">
        <f>'11C (SS)Sem 2'!N55</f>
        <v>0</v>
      </c>
      <c r="P160" s="15">
        <f>'11C (SS)Sem 2'!O55</f>
        <v>0</v>
      </c>
      <c r="Q160" s="203">
        <f>'11C (SS)Sem 2'!P55</f>
        <v>0</v>
      </c>
      <c r="R160" s="15">
        <f>'11C (SS)Sem 2'!Q55</f>
        <v>0</v>
      </c>
      <c r="S160" s="15">
        <f>'11C (SS)Sem 2'!R55</f>
        <v>0</v>
      </c>
      <c r="T160" s="15">
        <f>'11C (SS)Sem 2'!S55</f>
        <v>0</v>
      </c>
    </row>
    <row r="161" spans="1:20" ht="20.100000000000001" customHeight="1" x14ac:dyDescent="0.25">
      <c r="A161" s="295"/>
      <c r="B161" s="326"/>
      <c r="C161" s="326"/>
      <c r="D161" s="326"/>
      <c r="E161" s="108" t="s">
        <v>16</v>
      </c>
      <c r="F161" s="15">
        <f>AVERAGE(F159:F160)</f>
        <v>0</v>
      </c>
      <c r="G161" s="15">
        <f t="shared" ref="G161:Q161" si="51">AVERAGE(G159:G160)</f>
        <v>0</v>
      </c>
      <c r="H161" s="15">
        <f t="shared" si="51"/>
        <v>0</v>
      </c>
      <c r="I161" s="15">
        <f t="shared" si="51"/>
        <v>0</v>
      </c>
      <c r="J161" s="15">
        <f t="shared" si="51"/>
        <v>0</v>
      </c>
      <c r="K161" s="15">
        <f t="shared" si="51"/>
        <v>0</v>
      </c>
      <c r="L161" s="15">
        <f t="shared" si="51"/>
        <v>0</v>
      </c>
      <c r="M161" s="15">
        <f t="shared" si="51"/>
        <v>0</v>
      </c>
      <c r="N161" s="15">
        <f t="shared" si="51"/>
        <v>0</v>
      </c>
      <c r="O161" s="15">
        <f t="shared" si="51"/>
        <v>0</v>
      </c>
      <c r="P161" s="15">
        <f t="shared" si="51"/>
        <v>0</v>
      </c>
      <c r="Q161" s="203">
        <f t="shared" si="51"/>
        <v>0</v>
      </c>
      <c r="R161" s="15">
        <f>'11C Sem avr (SS)'!$H$55</f>
        <v>0</v>
      </c>
      <c r="S161" s="15">
        <f>AVERAGE(S159:S160)</f>
        <v>0</v>
      </c>
      <c r="T161" s="38">
        <f>AVERAGE(T159:T160)</f>
        <v>0</v>
      </c>
    </row>
    <row r="162" spans="1:20" ht="20.100000000000001" customHeight="1" x14ac:dyDescent="0.25">
      <c r="A162" s="295">
        <v>53</v>
      </c>
      <c r="B162" s="326"/>
      <c r="C162" s="326"/>
      <c r="D162" s="326"/>
      <c r="E162" s="29" t="s">
        <v>21</v>
      </c>
      <c r="F162" s="15">
        <f>'11C (SS)Sem 1'!E56</f>
        <v>0</v>
      </c>
      <c r="G162" s="15">
        <f>'11C (SS)Sem 1'!F56</f>
        <v>0</v>
      </c>
      <c r="H162" s="15">
        <f>'11C (SS)Sem 1'!G56</f>
        <v>0</v>
      </c>
      <c r="I162" s="15">
        <f>'11C (SS)Sem 1'!H56</f>
        <v>0</v>
      </c>
      <c r="J162" s="15">
        <f>'11C (SS)Sem 1'!I56</f>
        <v>0</v>
      </c>
      <c r="K162" s="15">
        <f>'11C (SS)Sem 1'!J56</f>
        <v>0</v>
      </c>
      <c r="L162" s="15">
        <f>'11C (SS)Sem 1'!K56</f>
        <v>0</v>
      </c>
      <c r="M162" s="15">
        <f>'11C (SS)Sem 1'!L56</f>
        <v>0</v>
      </c>
      <c r="N162" s="15">
        <f>'11C (SS)Sem 1'!M56</f>
        <v>0</v>
      </c>
      <c r="O162" s="15">
        <f>'11C (SS)Sem 1'!N56</f>
        <v>0</v>
      </c>
      <c r="P162" s="15">
        <f>'11C (SS)Sem 1'!O56</f>
        <v>0</v>
      </c>
      <c r="Q162" s="203">
        <f>'11C (SS)Sem 1'!P56</f>
        <v>0</v>
      </c>
      <c r="R162" s="15">
        <f>'11C (SS)Sem 1'!Q56</f>
        <v>0</v>
      </c>
      <c r="S162" s="15">
        <f>'11C (SS)Sem 1'!R56</f>
        <v>0</v>
      </c>
      <c r="T162" s="15">
        <f>'11C (SS)Sem 1'!S56</f>
        <v>0</v>
      </c>
    </row>
    <row r="163" spans="1:20" ht="20.100000000000001" customHeight="1" x14ac:dyDescent="0.25">
      <c r="A163" s="295"/>
      <c r="B163" s="326"/>
      <c r="C163" s="326"/>
      <c r="D163" s="326"/>
      <c r="E163" s="29" t="s">
        <v>22</v>
      </c>
      <c r="F163" s="15">
        <f>'11C (SS)Sem 2'!E56</f>
        <v>0</v>
      </c>
      <c r="G163" s="15">
        <f>'11C (SS)Sem 2'!F56</f>
        <v>0</v>
      </c>
      <c r="H163" s="15">
        <f>'11C (SS)Sem 2'!G56</f>
        <v>0</v>
      </c>
      <c r="I163" s="15">
        <f>'11C (SS)Sem 2'!H56</f>
        <v>0</v>
      </c>
      <c r="J163" s="15">
        <f>'11C (SS)Sem 2'!I56</f>
        <v>0</v>
      </c>
      <c r="K163" s="15">
        <f>'11C (SS)Sem 2'!J56</f>
        <v>0</v>
      </c>
      <c r="L163" s="15">
        <f>'11C (SS)Sem 2'!K56</f>
        <v>0</v>
      </c>
      <c r="M163" s="15">
        <f>'11C (SS)Sem 2'!L56</f>
        <v>0</v>
      </c>
      <c r="N163" s="15">
        <f>'11C (SS)Sem 2'!M56</f>
        <v>0</v>
      </c>
      <c r="O163" s="15">
        <f>'11C (SS)Sem 2'!N56</f>
        <v>0</v>
      </c>
      <c r="P163" s="15">
        <f>'11C (SS)Sem 2'!O56</f>
        <v>0</v>
      </c>
      <c r="Q163" s="203">
        <f>'11C (SS)Sem 2'!P56</f>
        <v>0</v>
      </c>
      <c r="R163" s="15">
        <f>'11C (SS)Sem 2'!Q56</f>
        <v>0</v>
      </c>
      <c r="S163" s="15">
        <f>'11C (SS)Sem 2'!R56</f>
        <v>0</v>
      </c>
      <c r="T163" s="15">
        <f>'11C (SS)Sem 2'!S56</f>
        <v>0</v>
      </c>
    </row>
    <row r="164" spans="1:20" ht="20.100000000000001" customHeight="1" x14ac:dyDescent="0.25">
      <c r="A164" s="295"/>
      <c r="B164" s="326"/>
      <c r="C164" s="326"/>
      <c r="D164" s="326"/>
      <c r="E164" s="108" t="s">
        <v>16</v>
      </c>
      <c r="F164" s="15">
        <f>AVERAGE(F162:F163)</f>
        <v>0</v>
      </c>
      <c r="G164" s="15">
        <f t="shared" ref="G164:Q164" si="52">AVERAGE(G162:G163)</f>
        <v>0</v>
      </c>
      <c r="H164" s="15">
        <f t="shared" si="52"/>
        <v>0</v>
      </c>
      <c r="I164" s="15">
        <f t="shared" si="52"/>
        <v>0</v>
      </c>
      <c r="J164" s="15">
        <f t="shared" si="52"/>
        <v>0</v>
      </c>
      <c r="K164" s="15">
        <f t="shared" si="52"/>
        <v>0</v>
      </c>
      <c r="L164" s="15">
        <f t="shared" si="52"/>
        <v>0</v>
      </c>
      <c r="M164" s="15">
        <f t="shared" si="52"/>
        <v>0</v>
      </c>
      <c r="N164" s="15">
        <f t="shared" si="52"/>
        <v>0</v>
      </c>
      <c r="O164" s="15">
        <f t="shared" si="52"/>
        <v>0</v>
      </c>
      <c r="P164" s="15">
        <f t="shared" si="52"/>
        <v>0</v>
      </c>
      <c r="Q164" s="203">
        <f t="shared" si="52"/>
        <v>0</v>
      </c>
      <c r="R164" s="15">
        <f>'11C Sem avr (SS)'!$H$56</f>
        <v>0</v>
      </c>
      <c r="S164" s="15">
        <f>AVERAGE(S162:S163)</f>
        <v>0</v>
      </c>
      <c r="T164" s="38">
        <f>AVERAGE(T162:T163)</f>
        <v>0</v>
      </c>
    </row>
    <row r="165" spans="1:20" ht="20.100000000000001" customHeight="1" x14ac:dyDescent="0.25">
      <c r="A165" s="295">
        <v>54</v>
      </c>
      <c r="B165" s="326"/>
      <c r="C165" s="326"/>
      <c r="D165" s="326"/>
      <c r="E165" s="29" t="s">
        <v>21</v>
      </c>
      <c r="F165" s="15">
        <f>'11C (SS)Sem 1'!E57</f>
        <v>0</v>
      </c>
      <c r="G165" s="15">
        <f>'11C (SS)Sem 1'!F57</f>
        <v>0</v>
      </c>
      <c r="H165" s="15">
        <f>'11C (SS)Sem 1'!G57</f>
        <v>0</v>
      </c>
      <c r="I165" s="15">
        <f>'11C (SS)Sem 1'!H57</f>
        <v>0</v>
      </c>
      <c r="J165" s="15">
        <f>'11C (SS)Sem 1'!I57</f>
        <v>0</v>
      </c>
      <c r="K165" s="15">
        <f>'11C (SS)Sem 1'!J57</f>
        <v>0</v>
      </c>
      <c r="L165" s="15">
        <f>'11C (SS)Sem 1'!K57</f>
        <v>0</v>
      </c>
      <c r="M165" s="15">
        <f>'11C (SS)Sem 1'!L57</f>
        <v>0</v>
      </c>
      <c r="N165" s="15">
        <f>'11C (SS)Sem 1'!M57</f>
        <v>0</v>
      </c>
      <c r="O165" s="15">
        <f>'11C (SS)Sem 1'!N57</f>
        <v>0</v>
      </c>
      <c r="P165" s="15">
        <f>'11C (SS)Sem 1'!O57</f>
        <v>0</v>
      </c>
      <c r="Q165" s="203">
        <f>'11C (SS)Sem 1'!P57</f>
        <v>0</v>
      </c>
      <c r="R165" s="15">
        <f>'11C (SS)Sem 1'!Q57</f>
        <v>0</v>
      </c>
      <c r="S165" s="15">
        <f>'11C (SS)Sem 1'!R57</f>
        <v>0</v>
      </c>
      <c r="T165" s="15">
        <f>'11C (SS)Sem 1'!S57</f>
        <v>0</v>
      </c>
    </row>
    <row r="166" spans="1:20" ht="20.100000000000001" customHeight="1" x14ac:dyDescent="0.25">
      <c r="A166" s="295"/>
      <c r="B166" s="326"/>
      <c r="C166" s="326"/>
      <c r="D166" s="326"/>
      <c r="E166" s="29" t="s">
        <v>22</v>
      </c>
      <c r="F166" s="15">
        <f>'11C (SS)Sem 2'!E57</f>
        <v>0</v>
      </c>
      <c r="G166" s="15">
        <f>'11C (SS)Sem 2'!F57</f>
        <v>0</v>
      </c>
      <c r="H166" s="15">
        <f>'11C (SS)Sem 2'!G57</f>
        <v>0</v>
      </c>
      <c r="I166" s="15">
        <f>'11C (SS)Sem 2'!H57</f>
        <v>0</v>
      </c>
      <c r="J166" s="15">
        <f>'11C (SS)Sem 2'!I57</f>
        <v>0</v>
      </c>
      <c r="K166" s="15">
        <f>'11C (SS)Sem 2'!J57</f>
        <v>0</v>
      </c>
      <c r="L166" s="15">
        <f>'11C (SS)Sem 2'!K57</f>
        <v>0</v>
      </c>
      <c r="M166" s="15">
        <f>'11C (SS)Sem 2'!L57</f>
        <v>0</v>
      </c>
      <c r="N166" s="15">
        <f>'11C (SS)Sem 2'!M57</f>
        <v>0</v>
      </c>
      <c r="O166" s="15">
        <f>'11C (SS)Sem 2'!N57</f>
        <v>0</v>
      </c>
      <c r="P166" s="15">
        <f>'11C (SS)Sem 2'!O57</f>
        <v>0</v>
      </c>
      <c r="Q166" s="203">
        <f>'11C (SS)Sem 2'!P57</f>
        <v>0</v>
      </c>
      <c r="R166" s="15">
        <f>'11C (SS)Sem 2'!Q57</f>
        <v>0</v>
      </c>
      <c r="S166" s="15">
        <f>'11C (SS)Sem 2'!R57</f>
        <v>0</v>
      </c>
      <c r="T166" s="15">
        <f>'11C (SS)Sem 2'!S57</f>
        <v>0</v>
      </c>
    </row>
    <row r="167" spans="1:20" ht="20.100000000000001" customHeight="1" x14ac:dyDescent="0.25">
      <c r="A167" s="295"/>
      <c r="B167" s="326"/>
      <c r="C167" s="326"/>
      <c r="D167" s="326"/>
      <c r="E167" s="108" t="s">
        <v>16</v>
      </c>
      <c r="F167" s="15">
        <f>AVERAGE(F165:F166)</f>
        <v>0</v>
      </c>
      <c r="G167" s="15">
        <f t="shared" ref="G167:Q167" si="53">AVERAGE(G165:G166)</f>
        <v>0</v>
      </c>
      <c r="H167" s="15">
        <f t="shared" si="53"/>
        <v>0</v>
      </c>
      <c r="I167" s="15">
        <f t="shared" si="53"/>
        <v>0</v>
      </c>
      <c r="J167" s="15">
        <f t="shared" si="53"/>
        <v>0</v>
      </c>
      <c r="K167" s="15">
        <f t="shared" si="53"/>
        <v>0</v>
      </c>
      <c r="L167" s="15">
        <f t="shared" si="53"/>
        <v>0</v>
      </c>
      <c r="M167" s="15">
        <f t="shared" si="53"/>
        <v>0</v>
      </c>
      <c r="N167" s="15">
        <f t="shared" si="53"/>
        <v>0</v>
      </c>
      <c r="O167" s="15">
        <f t="shared" si="53"/>
        <v>0</v>
      </c>
      <c r="P167" s="15">
        <f t="shared" si="53"/>
        <v>0</v>
      </c>
      <c r="Q167" s="203">
        <f t="shared" si="53"/>
        <v>0</v>
      </c>
      <c r="R167" s="15">
        <f>'11C Sem avr (SS)'!$H$57</f>
        <v>0</v>
      </c>
      <c r="S167" s="15">
        <f>AVERAGE(S165:S166)</f>
        <v>0</v>
      </c>
      <c r="T167" s="38">
        <f>AVERAGE(T165:T166)</f>
        <v>0</v>
      </c>
    </row>
    <row r="168" spans="1:20" ht="20.100000000000001" customHeight="1" x14ac:dyDescent="0.25">
      <c r="A168" s="295">
        <v>55</v>
      </c>
      <c r="B168" s="326"/>
      <c r="C168" s="326"/>
      <c r="D168" s="326"/>
      <c r="E168" s="29" t="s">
        <v>21</v>
      </c>
      <c r="F168" s="15">
        <f>'11C (SS)Sem 1'!E58</f>
        <v>0</v>
      </c>
      <c r="G168" s="15">
        <f>'11C (SS)Sem 1'!F58</f>
        <v>0</v>
      </c>
      <c r="H168" s="15">
        <f>'11C (SS)Sem 1'!G58</f>
        <v>0</v>
      </c>
      <c r="I168" s="15">
        <f>'11C (SS)Sem 1'!H58</f>
        <v>0</v>
      </c>
      <c r="J168" s="15">
        <f>'11C (SS)Sem 1'!I58</f>
        <v>0</v>
      </c>
      <c r="K168" s="15">
        <f>'11C (SS)Sem 1'!J58</f>
        <v>0</v>
      </c>
      <c r="L168" s="15">
        <f>'11C (SS)Sem 1'!K58</f>
        <v>0</v>
      </c>
      <c r="M168" s="15">
        <f>'11C (SS)Sem 1'!L58</f>
        <v>0</v>
      </c>
      <c r="N168" s="15">
        <f>'11C (SS)Sem 1'!M58</f>
        <v>0</v>
      </c>
      <c r="O168" s="15">
        <f>'11C (SS)Sem 1'!N58</f>
        <v>0</v>
      </c>
      <c r="P168" s="15">
        <f>'11C (SS)Sem 1'!O58</f>
        <v>0</v>
      </c>
      <c r="Q168" s="203">
        <f>'11C (SS)Sem 1'!P58</f>
        <v>0</v>
      </c>
      <c r="R168" s="15">
        <f>'11C (SS)Sem 1'!Q58</f>
        <v>0</v>
      </c>
      <c r="S168" s="15">
        <f>'11C (SS)Sem 1'!R58</f>
        <v>0</v>
      </c>
      <c r="T168" s="15">
        <f>'11C (SS)Sem 1'!S58</f>
        <v>0</v>
      </c>
    </row>
    <row r="169" spans="1:20" ht="20.100000000000001" customHeight="1" x14ac:dyDescent="0.25">
      <c r="A169" s="295"/>
      <c r="B169" s="326"/>
      <c r="C169" s="326"/>
      <c r="D169" s="326"/>
      <c r="E169" s="29" t="s">
        <v>22</v>
      </c>
      <c r="F169" s="15">
        <f>'11C (SS)Sem 2'!E58</f>
        <v>0</v>
      </c>
      <c r="G169" s="15">
        <f>'11C (SS)Sem 2'!F58</f>
        <v>0</v>
      </c>
      <c r="H169" s="15">
        <f>'11C (SS)Sem 2'!G58</f>
        <v>0</v>
      </c>
      <c r="I169" s="15">
        <f>'11C (SS)Sem 2'!H58</f>
        <v>0</v>
      </c>
      <c r="J169" s="15">
        <f>'11C (SS)Sem 2'!I58</f>
        <v>0</v>
      </c>
      <c r="K169" s="15">
        <f>'11C (SS)Sem 2'!J58</f>
        <v>0</v>
      </c>
      <c r="L169" s="15">
        <f>'11C (SS)Sem 2'!K58</f>
        <v>0</v>
      </c>
      <c r="M169" s="15">
        <f>'11C (SS)Sem 2'!L58</f>
        <v>0</v>
      </c>
      <c r="N169" s="15">
        <f>'11C (SS)Sem 2'!M58</f>
        <v>0</v>
      </c>
      <c r="O169" s="15">
        <f>'11C (SS)Sem 2'!N58</f>
        <v>0</v>
      </c>
      <c r="P169" s="15">
        <f>'11C (SS)Sem 2'!O58</f>
        <v>0</v>
      </c>
      <c r="Q169" s="203">
        <f>'11C (SS)Sem 2'!P58</f>
        <v>0</v>
      </c>
      <c r="R169" s="15">
        <f>'11C (SS)Sem 2'!Q58</f>
        <v>0</v>
      </c>
      <c r="S169" s="15">
        <f>'11C (SS)Sem 2'!R58</f>
        <v>0</v>
      </c>
      <c r="T169" s="15">
        <f>'11C (SS)Sem 2'!S58</f>
        <v>0</v>
      </c>
    </row>
    <row r="170" spans="1:20" ht="20.100000000000001" customHeight="1" x14ac:dyDescent="0.25">
      <c r="A170" s="295"/>
      <c r="B170" s="326"/>
      <c r="C170" s="326"/>
      <c r="D170" s="326"/>
      <c r="E170" s="29" t="s">
        <v>16</v>
      </c>
      <c r="F170" s="15">
        <f>AVERAGE(F168:F169)</f>
        <v>0</v>
      </c>
      <c r="G170" s="15">
        <f t="shared" ref="G170:Q170" si="54">AVERAGE(G168:G169)</f>
        <v>0</v>
      </c>
      <c r="H170" s="15">
        <f t="shared" si="54"/>
        <v>0</v>
      </c>
      <c r="I170" s="15">
        <f t="shared" si="54"/>
        <v>0</v>
      </c>
      <c r="J170" s="15">
        <f t="shared" si="54"/>
        <v>0</v>
      </c>
      <c r="K170" s="15">
        <f t="shared" si="54"/>
        <v>0</v>
      </c>
      <c r="L170" s="15">
        <f t="shared" si="54"/>
        <v>0</v>
      </c>
      <c r="M170" s="15">
        <f t="shared" si="54"/>
        <v>0</v>
      </c>
      <c r="N170" s="15">
        <f t="shared" si="54"/>
        <v>0</v>
      </c>
      <c r="O170" s="15">
        <f t="shared" si="54"/>
        <v>0</v>
      </c>
      <c r="P170" s="15">
        <f t="shared" si="54"/>
        <v>0</v>
      </c>
      <c r="Q170" s="203">
        <f t="shared" si="54"/>
        <v>0</v>
      </c>
      <c r="R170" s="15">
        <f>'11C Sem avr (SS)'!$H$58</f>
        <v>0</v>
      </c>
      <c r="S170" s="15">
        <f>AVERAGE(S168:S169)</f>
        <v>0</v>
      </c>
      <c r="T170" s="38">
        <f>AVERAGE(T168:T169)</f>
        <v>0</v>
      </c>
    </row>
    <row r="171" spans="1:20" ht="18" customHeight="1" x14ac:dyDescent="0.25">
      <c r="A171" s="7"/>
      <c r="B171" s="9"/>
      <c r="C171"/>
      <c r="D171"/>
    </row>
    <row r="172" spans="1:20" ht="18" customHeight="1" x14ac:dyDescent="0.25">
      <c r="A172" s="7"/>
      <c r="C172"/>
      <c r="D172"/>
    </row>
    <row r="173" spans="1:20" ht="18" customHeight="1" x14ac:dyDescent="0.25">
      <c r="A173" s="7"/>
      <c r="C173" s="6"/>
      <c r="D173" s="6"/>
      <c r="E173" s="6"/>
    </row>
    <row r="174" spans="1:20" ht="18" customHeight="1" x14ac:dyDescent="0.25">
      <c r="A174" s="7"/>
      <c r="B174" s="6"/>
      <c r="C174" s="6"/>
      <c r="D174" s="6"/>
      <c r="E174" s="6"/>
    </row>
    <row r="175" spans="1:20" ht="18" customHeight="1" x14ac:dyDescent="0.25">
      <c r="A175" s="7"/>
      <c r="B175" s="6"/>
      <c r="C175" s="6"/>
      <c r="D175" s="6"/>
      <c r="E175" s="6"/>
    </row>
    <row r="176" spans="1:20" ht="19.5" customHeight="1" x14ac:dyDescent="0.25">
      <c r="A176" s="7"/>
      <c r="B176" s="6"/>
      <c r="C176" s="6"/>
      <c r="D176" s="6"/>
      <c r="E176" s="6"/>
    </row>
    <row r="177" spans="1:5" ht="18.75" customHeight="1" x14ac:dyDescent="0.25">
      <c r="A177" s="7"/>
      <c r="B177" s="6"/>
      <c r="C177" s="6"/>
      <c r="D177" s="6"/>
      <c r="E177" s="6"/>
    </row>
    <row r="178" spans="1:5" ht="18" customHeight="1" x14ac:dyDescent="0.25">
      <c r="A178" s="7"/>
      <c r="B178" s="6"/>
      <c r="C178" s="6"/>
      <c r="D178" s="6"/>
      <c r="E178" s="6"/>
    </row>
    <row r="179" spans="1:5" ht="18" customHeight="1" x14ac:dyDescent="0.25">
      <c r="A179" s="7"/>
      <c r="B179" s="6"/>
      <c r="C179" s="6"/>
      <c r="D179" s="6"/>
      <c r="E179" s="6"/>
    </row>
    <row r="180" spans="1:5" ht="18" customHeight="1" x14ac:dyDescent="0.25">
      <c r="A180" s="7"/>
      <c r="B180" s="6"/>
      <c r="C180" s="6"/>
      <c r="D180" s="6"/>
      <c r="E180" s="6"/>
    </row>
    <row r="181" spans="1:5" ht="18" customHeight="1" x14ac:dyDescent="0.25">
      <c r="A181" s="7"/>
      <c r="B181" s="6"/>
      <c r="C181" s="6"/>
      <c r="D181" s="6"/>
      <c r="E181" s="6"/>
    </row>
    <row r="182" spans="1:5" ht="18" customHeight="1" x14ac:dyDescent="0.25">
      <c r="A182" s="7"/>
      <c r="B182" s="6"/>
      <c r="C182" s="6"/>
      <c r="D182" s="6"/>
      <c r="E182" s="6"/>
    </row>
    <row r="183" spans="1:5" ht="18" customHeight="1" x14ac:dyDescent="0.25">
      <c r="A183" s="7"/>
      <c r="B183" s="6"/>
      <c r="C183" s="6"/>
      <c r="D183" s="6"/>
      <c r="E183" s="6"/>
    </row>
    <row r="184" spans="1:5" ht="18" customHeight="1" x14ac:dyDescent="0.25">
      <c r="A184" s="7"/>
      <c r="B184" s="6"/>
      <c r="C184" s="6"/>
      <c r="D184" s="6"/>
      <c r="E184" s="6"/>
    </row>
    <row r="185" spans="1:5" ht="18" customHeight="1" x14ac:dyDescent="0.25">
      <c r="A185" s="7"/>
      <c r="B185" s="6"/>
      <c r="C185" s="6"/>
      <c r="D185" s="6"/>
      <c r="E185" s="6"/>
    </row>
    <row r="186" spans="1:5" ht="18" customHeight="1" x14ac:dyDescent="0.25">
      <c r="A186" s="7"/>
      <c r="B186" s="6"/>
      <c r="C186" s="6"/>
      <c r="D186" s="6"/>
      <c r="E186" s="6"/>
    </row>
    <row r="187" spans="1:5" ht="18" customHeight="1" x14ac:dyDescent="0.25">
      <c r="A187" s="7"/>
      <c r="B187" s="6"/>
      <c r="C187" s="6"/>
      <c r="D187" s="6"/>
      <c r="E187" s="6"/>
    </row>
    <row r="188" spans="1:5" ht="18" customHeight="1" x14ac:dyDescent="0.25">
      <c r="A188" s="7"/>
      <c r="B188" s="6"/>
      <c r="C188" s="6"/>
      <c r="D188" s="6"/>
      <c r="E188" s="6"/>
    </row>
    <row r="189" spans="1:5" ht="18" customHeight="1" x14ac:dyDescent="0.25">
      <c r="A189" s="7"/>
      <c r="B189" s="6"/>
      <c r="C189" s="6"/>
      <c r="D189" s="6"/>
      <c r="E189" s="6"/>
    </row>
    <row r="190" spans="1:5" ht="18" customHeight="1" x14ac:dyDescent="0.25">
      <c r="A190" s="7"/>
      <c r="B190" s="6"/>
      <c r="C190" s="6"/>
      <c r="D190" s="6"/>
      <c r="E190" s="6"/>
    </row>
    <row r="191" spans="1:5" ht="18" customHeight="1" x14ac:dyDescent="0.25">
      <c r="A191" s="7"/>
      <c r="B191" s="6"/>
      <c r="C191" s="6"/>
      <c r="D191" s="6"/>
      <c r="E191" s="6"/>
    </row>
    <row r="192" spans="1:5" ht="18" customHeight="1" x14ac:dyDescent="0.25">
      <c r="A192" s="7"/>
      <c r="B192" s="6"/>
      <c r="C192" s="6"/>
      <c r="D192" s="6"/>
      <c r="E192" s="6"/>
    </row>
    <row r="193" spans="1:5" ht="18" customHeight="1" x14ac:dyDescent="0.25">
      <c r="A193" s="7"/>
      <c r="B193" s="6"/>
      <c r="C193" s="6"/>
      <c r="D193" s="6"/>
      <c r="E193" s="6"/>
    </row>
    <row r="194" spans="1:5" ht="18" customHeight="1" x14ac:dyDescent="0.25">
      <c r="A194" s="7"/>
      <c r="B194" s="6"/>
      <c r="C194" s="6"/>
      <c r="D194" s="6"/>
      <c r="E194" s="6"/>
    </row>
    <row r="195" spans="1:5" ht="18" customHeight="1" x14ac:dyDescent="0.25">
      <c r="B195" s="6"/>
      <c r="C195" s="6"/>
      <c r="D195" s="6"/>
      <c r="E195" s="6"/>
    </row>
    <row r="196" spans="1:5" ht="18" customHeight="1" x14ac:dyDescent="0.25">
      <c r="B196" s="6"/>
      <c r="C196" s="6"/>
      <c r="D196" s="6"/>
      <c r="E196" s="6"/>
    </row>
    <row r="197" spans="1:5" ht="18" customHeight="1" x14ac:dyDescent="0.25">
      <c r="B197" s="6"/>
      <c r="C197" s="6"/>
      <c r="D197" s="6"/>
      <c r="E197" s="6"/>
    </row>
    <row r="198" spans="1:5" ht="18" customHeight="1" x14ac:dyDescent="0.25">
      <c r="B198" s="6"/>
      <c r="C198"/>
      <c r="D198"/>
    </row>
    <row r="199" spans="1:5" ht="18" customHeight="1" x14ac:dyDescent="0.25">
      <c r="C199"/>
      <c r="D199"/>
    </row>
    <row r="200" spans="1:5" ht="18" customHeight="1" x14ac:dyDescent="0.25">
      <c r="C200"/>
      <c r="D200"/>
    </row>
    <row r="201" spans="1:5" ht="18" customHeight="1" x14ac:dyDescent="0.25">
      <c r="C201"/>
      <c r="D201"/>
    </row>
    <row r="202" spans="1:5" ht="18" customHeight="1" x14ac:dyDescent="0.25">
      <c r="C202"/>
      <c r="D202"/>
    </row>
    <row r="203" spans="1:5" ht="18" customHeight="1" x14ac:dyDescent="0.25">
      <c r="C203"/>
      <c r="D203"/>
    </row>
    <row r="204" spans="1:5" ht="18.75" customHeight="1" x14ac:dyDescent="0.25">
      <c r="C204"/>
      <c r="D204"/>
    </row>
    <row r="205" spans="1:5" ht="18.75" customHeight="1" x14ac:dyDescent="0.25">
      <c r="C205"/>
      <c r="D205"/>
    </row>
    <row r="206" spans="1:5" ht="18.75" customHeight="1" x14ac:dyDescent="0.25">
      <c r="C206"/>
      <c r="D206"/>
    </row>
    <row r="207" spans="1:5" ht="18.75" customHeight="1" x14ac:dyDescent="0.25">
      <c r="C207"/>
      <c r="D207"/>
    </row>
    <row r="208" spans="1:5" ht="18.75" customHeight="1" x14ac:dyDescent="0.25">
      <c r="C208"/>
      <c r="D208"/>
    </row>
    <row r="209" spans="3:4" ht="18.75" customHeight="1" x14ac:dyDescent="0.25">
      <c r="C209"/>
      <c r="D209"/>
    </row>
    <row r="210" spans="3:4" ht="18.75" customHeight="1" x14ac:dyDescent="0.25">
      <c r="C210"/>
      <c r="D210"/>
    </row>
    <row r="211" spans="3:4" ht="18.75" customHeight="1" x14ac:dyDescent="0.25">
      <c r="C211"/>
      <c r="D211"/>
    </row>
    <row r="212" spans="3:4" ht="18.75" customHeight="1" x14ac:dyDescent="0.25">
      <c r="C212"/>
      <c r="D212"/>
    </row>
    <row r="213" spans="3:4" ht="18.75" customHeight="1" x14ac:dyDescent="0.25">
      <c r="C213"/>
      <c r="D213"/>
    </row>
    <row r="214" spans="3:4" ht="18.75" customHeight="1" x14ac:dyDescent="0.25">
      <c r="C214"/>
      <c r="D214"/>
    </row>
    <row r="215" spans="3:4" ht="18.75" customHeight="1" x14ac:dyDescent="0.25">
      <c r="C215"/>
      <c r="D215"/>
    </row>
    <row r="216" spans="3:4" ht="18.75" customHeight="1" x14ac:dyDescent="0.25">
      <c r="C216"/>
      <c r="D216"/>
    </row>
    <row r="217" spans="3:4" ht="18.75" customHeight="1" x14ac:dyDescent="0.25">
      <c r="C217"/>
      <c r="D217"/>
    </row>
    <row r="218" spans="3:4" ht="18.75" customHeight="1" x14ac:dyDescent="0.25">
      <c r="C218"/>
      <c r="D218"/>
    </row>
    <row r="219" spans="3:4" ht="18.75" customHeight="1" x14ac:dyDescent="0.25">
      <c r="C219"/>
      <c r="D219"/>
    </row>
    <row r="220" spans="3:4" ht="18.75" customHeight="1" x14ac:dyDescent="0.25">
      <c r="C220"/>
      <c r="D220"/>
    </row>
    <row r="221" spans="3:4" ht="18.75" customHeight="1" x14ac:dyDescent="0.25">
      <c r="C221"/>
      <c r="D221"/>
    </row>
    <row r="222" spans="3:4" ht="18.75" customHeight="1" x14ac:dyDescent="0.25">
      <c r="C222"/>
      <c r="D222"/>
    </row>
    <row r="223" spans="3:4" ht="18.75" customHeight="1" x14ac:dyDescent="0.25">
      <c r="C223"/>
      <c r="D223"/>
    </row>
    <row r="224" spans="3:4" ht="18.75" customHeight="1" x14ac:dyDescent="0.25">
      <c r="C224"/>
      <c r="D224"/>
    </row>
    <row r="225" ht="18.75" customHeight="1" x14ac:dyDescent="0.25"/>
    <row r="229" ht="19.5" customHeight="1" x14ac:dyDescent="0.25"/>
    <row r="232" ht="16.5" customHeight="1" x14ac:dyDescent="0.25"/>
    <row r="241" ht="17.25" customHeight="1" x14ac:dyDescent="0.25"/>
    <row r="244" ht="19.5" customHeight="1" x14ac:dyDescent="0.25"/>
  </sheetData>
  <mergeCells count="222">
    <mergeCell ref="A165:A167"/>
    <mergeCell ref="B165:B167"/>
    <mergeCell ref="C165:C167"/>
    <mergeCell ref="D165:D167"/>
    <mergeCell ref="A168:A170"/>
    <mergeCell ref="B168:B170"/>
    <mergeCell ref="C168:C170"/>
    <mergeCell ref="D168:D170"/>
    <mergeCell ref="A156:A158"/>
    <mergeCell ref="B156:B158"/>
    <mergeCell ref="C156:C158"/>
    <mergeCell ref="D156:D158"/>
    <mergeCell ref="A159:A161"/>
    <mergeCell ref="B159:B161"/>
    <mergeCell ref="C159:C161"/>
    <mergeCell ref="D159:D161"/>
    <mergeCell ref="A162:A164"/>
    <mergeCell ref="B162:B164"/>
    <mergeCell ref="C162:C164"/>
    <mergeCell ref="D162:D164"/>
    <mergeCell ref="A147:A149"/>
    <mergeCell ref="B147:B149"/>
    <mergeCell ref="C147:C149"/>
    <mergeCell ref="D147:D149"/>
    <mergeCell ref="A150:A152"/>
    <mergeCell ref="B150:B152"/>
    <mergeCell ref="C150:C152"/>
    <mergeCell ref="D150:D152"/>
    <mergeCell ref="A153:A155"/>
    <mergeCell ref="B153:B155"/>
    <mergeCell ref="C153:C155"/>
    <mergeCell ref="D153:D155"/>
    <mergeCell ref="A138:A140"/>
    <mergeCell ref="B138:B140"/>
    <mergeCell ref="C138:C140"/>
    <mergeCell ref="D138:D140"/>
    <mergeCell ref="A141:A143"/>
    <mergeCell ref="B141:B143"/>
    <mergeCell ref="C141:C143"/>
    <mergeCell ref="D141:D143"/>
    <mergeCell ref="A144:A146"/>
    <mergeCell ref="B144:B146"/>
    <mergeCell ref="C144:C146"/>
    <mergeCell ref="D144:D146"/>
    <mergeCell ref="A129:A131"/>
    <mergeCell ref="B129:B131"/>
    <mergeCell ref="C129:C131"/>
    <mergeCell ref="D129:D131"/>
    <mergeCell ref="A132:A134"/>
    <mergeCell ref="B132:B134"/>
    <mergeCell ref="C132:C134"/>
    <mergeCell ref="D132:D134"/>
    <mergeCell ref="A135:A137"/>
    <mergeCell ref="B135:B137"/>
    <mergeCell ref="C135:C137"/>
    <mergeCell ref="D135:D137"/>
    <mergeCell ref="A120:A122"/>
    <mergeCell ref="B120:B122"/>
    <mergeCell ref="C120:C122"/>
    <mergeCell ref="D120:D122"/>
    <mergeCell ref="A123:A125"/>
    <mergeCell ref="B123:B125"/>
    <mergeCell ref="C123:C125"/>
    <mergeCell ref="D123:D125"/>
    <mergeCell ref="A126:A128"/>
    <mergeCell ref="B126:B128"/>
    <mergeCell ref="C126:C128"/>
    <mergeCell ref="D126:D128"/>
    <mergeCell ref="A117:A119"/>
    <mergeCell ref="B117:B119"/>
    <mergeCell ref="C117:C119"/>
    <mergeCell ref="D117:D119"/>
    <mergeCell ref="A111:A113"/>
    <mergeCell ref="B111:B113"/>
    <mergeCell ref="C111:C113"/>
    <mergeCell ref="D111:D113"/>
    <mergeCell ref="A114:A116"/>
    <mergeCell ref="B114:B116"/>
    <mergeCell ref="C114:C116"/>
    <mergeCell ref="D114:D116"/>
    <mergeCell ref="A105:A107"/>
    <mergeCell ref="B105:B107"/>
    <mergeCell ref="C105:C107"/>
    <mergeCell ref="D105:D107"/>
    <mergeCell ref="A108:A110"/>
    <mergeCell ref="B108:B110"/>
    <mergeCell ref="C108:C110"/>
    <mergeCell ref="D108:D110"/>
    <mergeCell ref="A99:A101"/>
    <mergeCell ref="B99:B101"/>
    <mergeCell ref="C99:C101"/>
    <mergeCell ref="D99:D101"/>
    <mergeCell ref="A102:A104"/>
    <mergeCell ref="B102:B104"/>
    <mergeCell ref="C102:C104"/>
    <mergeCell ref="D102:D104"/>
    <mergeCell ref="A93:A95"/>
    <mergeCell ref="B93:B95"/>
    <mergeCell ref="C93:C95"/>
    <mergeCell ref="D93:D95"/>
    <mergeCell ref="A96:A98"/>
    <mergeCell ref="B96:B98"/>
    <mergeCell ref="C96:C98"/>
    <mergeCell ref="D96:D98"/>
    <mergeCell ref="A87:A89"/>
    <mergeCell ref="B87:B89"/>
    <mergeCell ref="C87:C89"/>
    <mergeCell ref="D87:D89"/>
    <mergeCell ref="A90:A92"/>
    <mergeCell ref="B90:B92"/>
    <mergeCell ref="C90:C92"/>
    <mergeCell ref="D90:D92"/>
    <mergeCell ref="A81:A83"/>
    <mergeCell ref="B81:B83"/>
    <mergeCell ref="C81:C83"/>
    <mergeCell ref="D81:D83"/>
    <mergeCell ref="A84:A86"/>
    <mergeCell ref="B84:B86"/>
    <mergeCell ref="C84:C86"/>
    <mergeCell ref="D84:D86"/>
    <mergeCell ref="A75:A77"/>
    <mergeCell ref="B75:B77"/>
    <mergeCell ref="C75:C77"/>
    <mergeCell ref="D75:D77"/>
    <mergeCell ref="A78:A80"/>
    <mergeCell ref="B78:B80"/>
    <mergeCell ref="C78:C80"/>
    <mergeCell ref="D78:D80"/>
    <mergeCell ref="A69:A71"/>
    <mergeCell ref="B69:B71"/>
    <mergeCell ref="C69:C71"/>
    <mergeCell ref="D69:D71"/>
    <mergeCell ref="A72:A74"/>
    <mergeCell ref="B72:B74"/>
    <mergeCell ref="C72:C74"/>
    <mergeCell ref="D72:D74"/>
    <mergeCell ref="D60:D62"/>
    <mergeCell ref="A63:A65"/>
    <mergeCell ref="B63:B65"/>
    <mergeCell ref="C63:C65"/>
    <mergeCell ref="D63:D65"/>
    <mergeCell ref="A66:A68"/>
    <mergeCell ref="B66:B68"/>
    <mergeCell ref="C66:C68"/>
    <mergeCell ref="D66:D68"/>
    <mergeCell ref="A57:A59"/>
    <mergeCell ref="B57:B59"/>
    <mergeCell ref="C57:C59"/>
    <mergeCell ref="A60:A62"/>
    <mergeCell ref="B60:B62"/>
    <mergeCell ref="C60:C62"/>
    <mergeCell ref="A51:A53"/>
    <mergeCell ref="B51:B53"/>
    <mergeCell ref="C51:C53"/>
    <mergeCell ref="D51:D53"/>
    <mergeCell ref="A54:A56"/>
    <mergeCell ref="B54:B56"/>
    <mergeCell ref="C54:C56"/>
    <mergeCell ref="D54:D56"/>
    <mergeCell ref="A45:A47"/>
    <mergeCell ref="B45:B47"/>
    <mergeCell ref="C45:C47"/>
    <mergeCell ref="D45:D47"/>
    <mergeCell ref="A48:A50"/>
    <mergeCell ref="B48:B50"/>
    <mergeCell ref="C48:C50"/>
    <mergeCell ref="D48:D50"/>
    <mergeCell ref="A39:A41"/>
    <mergeCell ref="B39:B41"/>
    <mergeCell ref="C39:C41"/>
    <mergeCell ref="D39:D41"/>
    <mergeCell ref="A42:A44"/>
    <mergeCell ref="B42:B44"/>
    <mergeCell ref="C42:C44"/>
    <mergeCell ref="D42:D44"/>
    <mergeCell ref="A33:A35"/>
    <mergeCell ref="B33:B35"/>
    <mergeCell ref="C33:C35"/>
    <mergeCell ref="D33:D35"/>
    <mergeCell ref="A36:A38"/>
    <mergeCell ref="B36:B38"/>
    <mergeCell ref="C36:C38"/>
    <mergeCell ref="D36:D38"/>
    <mergeCell ref="B27:B29"/>
    <mergeCell ref="C27:C29"/>
    <mergeCell ref="D27:D29"/>
    <mergeCell ref="A30:A32"/>
    <mergeCell ref="B30:B32"/>
    <mergeCell ref="C30:C32"/>
    <mergeCell ref="D30:D32"/>
    <mergeCell ref="A21:A23"/>
    <mergeCell ref="B21:B23"/>
    <mergeCell ref="C21:C23"/>
    <mergeCell ref="D21:D23"/>
    <mergeCell ref="A24:A26"/>
    <mergeCell ref="B24:B26"/>
    <mergeCell ref="C24:C26"/>
    <mergeCell ref="D24:D26"/>
    <mergeCell ref="D57:D59"/>
    <mergeCell ref="A1:T1"/>
    <mergeCell ref="A3:T3"/>
    <mergeCell ref="A6:A8"/>
    <mergeCell ref="B6:B8"/>
    <mergeCell ref="C6:C8"/>
    <mergeCell ref="D6:D8"/>
    <mergeCell ref="A15:A17"/>
    <mergeCell ref="B15:B17"/>
    <mergeCell ref="C15:C17"/>
    <mergeCell ref="D15:D17"/>
    <mergeCell ref="A18:A20"/>
    <mergeCell ref="B18:B20"/>
    <mergeCell ref="C18:C20"/>
    <mergeCell ref="D18:D20"/>
    <mergeCell ref="A9:A11"/>
    <mergeCell ref="B9:B11"/>
    <mergeCell ref="C9:C11"/>
    <mergeCell ref="D9:D11"/>
    <mergeCell ref="A12:A14"/>
    <mergeCell ref="B12:B14"/>
    <mergeCell ref="C12:C14"/>
    <mergeCell ref="D12:D14"/>
    <mergeCell ref="A27:A29"/>
  </mergeCells>
  <pageMargins left="0.7" right="0.7" top="0.75" bottom="0.75" header="0.3" footer="0.3"/>
  <pageSetup paperSize="9" scale="76" fitToHeight="0" orientation="landscape" verticalDpi="4294967295" r:id="rId1"/>
  <rowBreaks count="3" manualBreakCount="3">
    <brk id="26" max="16383" man="1"/>
    <brk id="83" max="16383" man="1"/>
    <brk id="110" max="16383" man="1"/>
  </rowBreaks>
  <ignoredErrors>
    <ignoredError sqref="R6:R170" formula="1"/>
  </ignoredError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8"/>
  <sheetViews>
    <sheetView topLeftCell="A31" workbookViewId="0">
      <selection activeCell="B32" sqref="B32:B33"/>
    </sheetView>
  </sheetViews>
  <sheetFormatPr defaultRowHeight="15" x14ac:dyDescent="0.25"/>
  <cols>
    <col min="1" max="1" width="6.7109375" style="14" customWidth="1"/>
    <col min="2" max="2" width="35.140625" bestFit="1" customWidth="1"/>
    <col min="3" max="3" width="4.7109375" customWidth="1"/>
    <col min="4" max="4" width="4.140625" customWidth="1"/>
    <col min="5" max="15" width="7.7109375" customWidth="1"/>
    <col min="16" max="19" width="7.7109375" style="14" customWidth="1"/>
  </cols>
  <sheetData>
    <row r="1" spans="1:19" ht="20.25" x14ac:dyDescent="0.25">
      <c r="A1" s="272" t="s">
        <v>60</v>
      </c>
      <c r="B1" s="273"/>
      <c r="C1" s="273"/>
      <c r="D1" s="273"/>
      <c r="E1" s="273"/>
      <c r="F1" s="273"/>
      <c r="G1" s="273"/>
      <c r="H1" s="273"/>
      <c r="I1" s="273"/>
      <c r="J1" s="273"/>
      <c r="K1" s="273"/>
      <c r="L1" s="273"/>
      <c r="M1" s="273"/>
      <c r="N1" s="273"/>
      <c r="O1" s="273"/>
      <c r="P1" s="273"/>
      <c r="Q1" s="273"/>
      <c r="R1" s="273"/>
      <c r="S1" s="273"/>
    </row>
    <row r="2" spans="1:19" ht="15.75" thickBot="1" x14ac:dyDescent="0.3">
      <c r="A2" s="275" t="s">
        <v>62</v>
      </c>
      <c r="B2" s="275"/>
      <c r="C2" s="275"/>
      <c r="D2" s="275"/>
      <c r="E2" s="275"/>
      <c r="F2" s="275"/>
      <c r="G2" s="275"/>
      <c r="H2" s="275"/>
      <c r="I2" s="275"/>
      <c r="J2" s="275"/>
      <c r="K2" s="275"/>
      <c r="L2" s="275"/>
      <c r="M2" s="275"/>
      <c r="N2" s="275"/>
      <c r="O2" s="275"/>
      <c r="P2" s="275"/>
      <c r="Q2" s="275"/>
      <c r="R2" s="275"/>
      <c r="S2" s="275"/>
    </row>
    <row r="3" spans="1:19" ht="67.5" customHeight="1" thickBot="1" x14ac:dyDescent="0.3">
      <c r="A3" s="21" t="s">
        <v>24</v>
      </c>
      <c r="B3" s="22" t="s">
        <v>1</v>
      </c>
      <c r="C3" s="23" t="s">
        <v>2</v>
      </c>
      <c r="D3" s="22" t="s">
        <v>3</v>
      </c>
      <c r="E3" s="195" t="s">
        <v>4</v>
      </c>
      <c r="F3" s="195" t="s">
        <v>5</v>
      </c>
      <c r="G3" s="195" t="s">
        <v>6</v>
      </c>
      <c r="H3" s="195" t="s">
        <v>10</v>
      </c>
      <c r="I3" s="195" t="s">
        <v>11</v>
      </c>
      <c r="J3" s="195" t="s">
        <v>12</v>
      </c>
      <c r="K3" s="195" t="s">
        <v>13</v>
      </c>
      <c r="L3" s="195" t="s">
        <v>14</v>
      </c>
      <c r="M3" s="195" t="s">
        <v>29</v>
      </c>
      <c r="N3" s="195" t="s">
        <v>30</v>
      </c>
      <c r="O3" s="195" t="s">
        <v>15</v>
      </c>
      <c r="P3" s="195" t="s">
        <v>16</v>
      </c>
      <c r="Q3" s="195" t="s">
        <v>17</v>
      </c>
      <c r="R3" s="195" t="s">
        <v>18</v>
      </c>
      <c r="S3" s="99" t="s">
        <v>19</v>
      </c>
    </row>
    <row r="4" spans="1:19" ht="20.100000000000001" customHeight="1" x14ac:dyDescent="0.25">
      <c r="A4" s="136">
        <v>1</v>
      </c>
      <c r="B4" s="142"/>
      <c r="C4" s="156">
        <v>17</v>
      </c>
      <c r="D4" s="156" t="s">
        <v>20</v>
      </c>
      <c r="E4" s="225">
        <v>78</v>
      </c>
      <c r="F4" s="85">
        <v>59</v>
      </c>
      <c r="G4" s="85">
        <v>44</v>
      </c>
      <c r="H4" s="85">
        <v>63</v>
      </c>
      <c r="I4" s="85">
        <v>65</v>
      </c>
      <c r="J4" s="85">
        <v>55</v>
      </c>
      <c r="K4" s="85">
        <v>86</v>
      </c>
      <c r="L4" s="85">
        <v>88</v>
      </c>
      <c r="M4" s="85">
        <v>60</v>
      </c>
      <c r="N4" s="85">
        <v>62</v>
      </c>
      <c r="O4" s="85">
        <f>SUM(E4:N4)</f>
        <v>660</v>
      </c>
      <c r="P4" s="226">
        <f>AVERAGE(E4:N4)</f>
        <v>66</v>
      </c>
      <c r="Q4" s="227">
        <f>RANK(P4,$P$4:$P$33)</f>
        <v>24</v>
      </c>
      <c r="R4" s="15"/>
      <c r="S4" s="15"/>
    </row>
    <row r="5" spans="1:19" ht="20.100000000000001" customHeight="1" x14ac:dyDescent="0.25">
      <c r="A5" s="121">
        <v>2</v>
      </c>
      <c r="B5" s="142"/>
      <c r="C5" s="156">
        <v>16</v>
      </c>
      <c r="D5" s="156" t="s">
        <v>23</v>
      </c>
      <c r="E5" s="225">
        <v>93</v>
      </c>
      <c r="F5" s="85">
        <v>86</v>
      </c>
      <c r="G5" s="85">
        <v>54</v>
      </c>
      <c r="H5" s="85">
        <v>81</v>
      </c>
      <c r="I5" s="85">
        <v>85</v>
      </c>
      <c r="J5" s="85">
        <v>69</v>
      </c>
      <c r="K5" s="85">
        <v>88</v>
      </c>
      <c r="L5" s="85">
        <v>95</v>
      </c>
      <c r="M5" s="85">
        <v>78</v>
      </c>
      <c r="N5" s="85">
        <v>90</v>
      </c>
      <c r="O5" s="85">
        <f t="shared" ref="O5:O33" si="0">SUM(E5:N5)</f>
        <v>819</v>
      </c>
      <c r="P5" s="226">
        <f t="shared" ref="P5:P33" si="1">AVERAGE(E5:N5)</f>
        <v>81.900000000000006</v>
      </c>
      <c r="Q5" s="227">
        <f t="shared" ref="Q5:Q33" si="2">RANK(P5,$P$4:$P$33)</f>
        <v>8</v>
      </c>
      <c r="R5" s="15"/>
      <c r="S5" s="15"/>
    </row>
    <row r="6" spans="1:19" ht="20.100000000000001" customHeight="1" x14ac:dyDescent="0.25">
      <c r="A6" s="137">
        <v>3</v>
      </c>
      <c r="B6" s="142"/>
      <c r="C6" s="156">
        <v>16</v>
      </c>
      <c r="D6" s="156" t="s">
        <v>20</v>
      </c>
      <c r="E6" s="225">
        <v>65</v>
      </c>
      <c r="F6" s="85">
        <v>62</v>
      </c>
      <c r="G6" s="85">
        <v>53</v>
      </c>
      <c r="H6" s="85">
        <v>56</v>
      </c>
      <c r="I6" s="85">
        <v>56</v>
      </c>
      <c r="J6" s="85">
        <v>57</v>
      </c>
      <c r="K6" s="85">
        <v>91</v>
      </c>
      <c r="L6" s="85">
        <v>85</v>
      </c>
      <c r="M6" s="85">
        <v>63</v>
      </c>
      <c r="N6" s="85">
        <v>69</v>
      </c>
      <c r="O6" s="85">
        <f t="shared" si="0"/>
        <v>657</v>
      </c>
      <c r="P6" s="226">
        <f t="shared" si="1"/>
        <v>65.7</v>
      </c>
      <c r="Q6" s="227">
        <f t="shared" si="2"/>
        <v>27</v>
      </c>
      <c r="R6" s="15"/>
      <c r="S6" s="15"/>
    </row>
    <row r="7" spans="1:19" ht="20.100000000000001" customHeight="1" x14ac:dyDescent="0.25">
      <c r="A7" s="121">
        <v>4</v>
      </c>
      <c r="B7" s="142"/>
      <c r="C7" s="156">
        <v>14</v>
      </c>
      <c r="D7" s="156" t="s">
        <v>20</v>
      </c>
      <c r="E7" s="225">
        <v>81</v>
      </c>
      <c r="F7" s="85">
        <v>84</v>
      </c>
      <c r="G7" s="85">
        <v>75</v>
      </c>
      <c r="H7" s="85">
        <v>94</v>
      </c>
      <c r="I7" s="85">
        <v>85</v>
      </c>
      <c r="J7" s="85">
        <v>82</v>
      </c>
      <c r="K7" s="85">
        <v>99</v>
      </c>
      <c r="L7" s="85">
        <v>99</v>
      </c>
      <c r="M7" s="85">
        <v>85</v>
      </c>
      <c r="N7" s="85">
        <v>91</v>
      </c>
      <c r="O7" s="85">
        <f t="shared" si="0"/>
        <v>875</v>
      </c>
      <c r="P7" s="226">
        <f t="shared" si="1"/>
        <v>87.5</v>
      </c>
      <c r="Q7" s="227">
        <f t="shared" si="2"/>
        <v>5</v>
      </c>
      <c r="R7" s="15"/>
      <c r="S7" s="15"/>
    </row>
    <row r="8" spans="1:19" ht="20.100000000000001" customHeight="1" x14ac:dyDescent="0.25">
      <c r="A8" s="121">
        <v>5</v>
      </c>
      <c r="B8" s="142"/>
      <c r="C8" s="156">
        <v>17</v>
      </c>
      <c r="D8" s="156" t="s">
        <v>23</v>
      </c>
      <c r="E8" s="225">
        <v>70</v>
      </c>
      <c r="F8" s="85">
        <v>60</v>
      </c>
      <c r="G8" s="85">
        <v>44</v>
      </c>
      <c r="H8" s="85">
        <v>52</v>
      </c>
      <c r="I8" s="85">
        <v>54</v>
      </c>
      <c r="J8" s="85">
        <v>50</v>
      </c>
      <c r="K8" s="85">
        <v>74</v>
      </c>
      <c r="L8" s="85">
        <v>76</v>
      </c>
      <c r="M8" s="85">
        <v>46</v>
      </c>
      <c r="N8" s="85">
        <v>46</v>
      </c>
      <c r="O8" s="85">
        <f t="shared" si="0"/>
        <v>572</v>
      </c>
      <c r="P8" s="226">
        <f t="shared" si="1"/>
        <v>57.2</v>
      </c>
      <c r="Q8" s="227">
        <f t="shared" si="2"/>
        <v>30</v>
      </c>
      <c r="R8" s="15"/>
      <c r="S8" s="15"/>
    </row>
    <row r="9" spans="1:19" ht="20.100000000000001" customHeight="1" x14ac:dyDescent="0.25">
      <c r="A9" s="137">
        <v>6</v>
      </c>
      <c r="B9" s="142"/>
      <c r="C9" s="156">
        <v>16</v>
      </c>
      <c r="D9" s="156" t="s">
        <v>23</v>
      </c>
      <c r="E9" s="225">
        <v>82</v>
      </c>
      <c r="F9" s="85">
        <v>73</v>
      </c>
      <c r="G9" s="85">
        <v>77</v>
      </c>
      <c r="H9" s="85">
        <v>68</v>
      </c>
      <c r="I9" s="85">
        <v>75</v>
      </c>
      <c r="J9" s="85">
        <v>63</v>
      </c>
      <c r="K9" s="85">
        <v>86</v>
      </c>
      <c r="L9" s="85">
        <v>90</v>
      </c>
      <c r="M9" s="85">
        <v>69</v>
      </c>
      <c r="N9" s="85">
        <v>64</v>
      </c>
      <c r="O9" s="85">
        <f t="shared" si="0"/>
        <v>747</v>
      </c>
      <c r="P9" s="226">
        <f t="shared" si="1"/>
        <v>74.7</v>
      </c>
      <c r="Q9" s="227">
        <f t="shared" si="2"/>
        <v>13</v>
      </c>
      <c r="R9" s="15"/>
      <c r="S9" s="15"/>
    </row>
    <row r="10" spans="1:19" ht="20.100000000000001" customHeight="1" x14ac:dyDescent="0.25">
      <c r="A10" s="121">
        <v>7</v>
      </c>
      <c r="B10" s="142"/>
      <c r="C10" s="156">
        <v>16</v>
      </c>
      <c r="D10" s="156" t="s">
        <v>20</v>
      </c>
      <c r="E10" s="225">
        <v>77</v>
      </c>
      <c r="F10" s="85">
        <v>76</v>
      </c>
      <c r="G10" s="85">
        <v>53</v>
      </c>
      <c r="H10" s="85">
        <v>65</v>
      </c>
      <c r="I10" s="85">
        <v>68</v>
      </c>
      <c r="J10" s="85">
        <v>67</v>
      </c>
      <c r="K10" s="85">
        <v>97</v>
      </c>
      <c r="L10" s="85">
        <v>92</v>
      </c>
      <c r="M10" s="85">
        <v>73</v>
      </c>
      <c r="N10" s="85">
        <v>70</v>
      </c>
      <c r="O10" s="85">
        <f t="shared" si="0"/>
        <v>738</v>
      </c>
      <c r="P10" s="226">
        <f t="shared" si="1"/>
        <v>73.8</v>
      </c>
      <c r="Q10" s="227">
        <f t="shared" si="2"/>
        <v>15</v>
      </c>
      <c r="R10" s="15"/>
      <c r="S10" s="15"/>
    </row>
    <row r="11" spans="1:19" ht="20.100000000000001" customHeight="1" x14ac:dyDescent="0.25">
      <c r="A11" s="121">
        <v>8</v>
      </c>
      <c r="B11" s="142"/>
      <c r="C11" s="156">
        <v>16</v>
      </c>
      <c r="D11" s="156" t="s">
        <v>23</v>
      </c>
      <c r="E11" s="225">
        <v>85</v>
      </c>
      <c r="F11" s="85">
        <v>93</v>
      </c>
      <c r="G11" s="85">
        <v>64</v>
      </c>
      <c r="H11" s="85">
        <v>97</v>
      </c>
      <c r="I11" s="85">
        <v>94</v>
      </c>
      <c r="J11" s="85">
        <v>82</v>
      </c>
      <c r="K11" s="85">
        <v>98</v>
      </c>
      <c r="L11" s="85">
        <v>100</v>
      </c>
      <c r="M11" s="85">
        <v>95</v>
      </c>
      <c r="N11" s="85">
        <v>100</v>
      </c>
      <c r="O11" s="85">
        <f t="shared" si="0"/>
        <v>908</v>
      </c>
      <c r="P11" s="226">
        <f t="shared" si="1"/>
        <v>90.8</v>
      </c>
      <c r="Q11" s="227">
        <f t="shared" si="2"/>
        <v>4</v>
      </c>
      <c r="R11" s="15"/>
      <c r="S11" s="15"/>
    </row>
    <row r="12" spans="1:19" ht="20.100000000000001" customHeight="1" x14ac:dyDescent="0.25">
      <c r="A12" s="137">
        <v>9</v>
      </c>
      <c r="B12" s="142"/>
      <c r="C12" s="156">
        <v>16</v>
      </c>
      <c r="D12" s="156" t="s">
        <v>20</v>
      </c>
      <c r="E12" s="225">
        <v>75</v>
      </c>
      <c r="F12" s="85">
        <v>71</v>
      </c>
      <c r="G12" s="85">
        <v>46</v>
      </c>
      <c r="H12" s="85">
        <v>59</v>
      </c>
      <c r="I12" s="85">
        <v>61</v>
      </c>
      <c r="J12" s="85">
        <v>57</v>
      </c>
      <c r="K12" s="85">
        <v>82</v>
      </c>
      <c r="L12" s="85">
        <v>91</v>
      </c>
      <c r="M12" s="85">
        <v>60</v>
      </c>
      <c r="N12" s="85">
        <v>64</v>
      </c>
      <c r="O12" s="85">
        <f t="shared" si="0"/>
        <v>666</v>
      </c>
      <c r="P12" s="226">
        <f t="shared" si="1"/>
        <v>66.599999999999994</v>
      </c>
      <c r="Q12" s="227">
        <f t="shared" si="2"/>
        <v>23</v>
      </c>
      <c r="R12" s="15"/>
      <c r="S12" s="15"/>
    </row>
    <row r="13" spans="1:19" ht="20.100000000000001" customHeight="1" x14ac:dyDescent="0.25">
      <c r="A13" s="121">
        <v>10</v>
      </c>
      <c r="B13" s="142"/>
      <c r="C13" s="156">
        <v>16</v>
      </c>
      <c r="D13" s="156" t="s">
        <v>23</v>
      </c>
      <c r="E13" s="225">
        <v>65</v>
      </c>
      <c r="F13" s="85">
        <v>61</v>
      </c>
      <c r="G13" s="85">
        <v>52</v>
      </c>
      <c r="H13" s="85">
        <v>54</v>
      </c>
      <c r="I13" s="85">
        <v>63</v>
      </c>
      <c r="J13" s="85">
        <v>52</v>
      </c>
      <c r="K13" s="85">
        <v>78</v>
      </c>
      <c r="L13" s="85">
        <v>82</v>
      </c>
      <c r="M13" s="85">
        <v>58</v>
      </c>
      <c r="N13" s="85">
        <v>55</v>
      </c>
      <c r="O13" s="85">
        <f t="shared" si="0"/>
        <v>620</v>
      </c>
      <c r="P13" s="226">
        <f t="shared" si="1"/>
        <v>62</v>
      </c>
      <c r="Q13" s="227">
        <f t="shared" si="2"/>
        <v>28</v>
      </c>
      <c r="R13" s="15"/>
      <c r="S13" s="15"/>
    </row>
    <row r="14" spans="1:19" ht="20.100000000000001" customHeight="1" x14ac:dyDescent="0.25">
      <c r="A14" s="137">
        <v>11</v>
      </c>
      <c r="B14" s="142"/>
      <c r="C14" s="156">
        <v>14</v>
      </c>
      <c r="D14" s="156" t="s">
        <v>23</v>
      </c>
      <c r="E14" s="225">
        <v>90</v>
      </c>
      <c r="F14" s="85">
        <v>90</v>
      </c>
      <c r="G14" s="85">
        <v>82</v>
      </c>
      <c r="H14" s="85">
        <v>100</v>
      </c>
      <c r="I14" s="85">
        <v>98</v>
      </c>
      <c r="J14" s="85">
        <v>80</v>
      </c>
      <c r="K14" s="85">
        <v>100</v>
      </c>
      <c r="L14" s="85">
        <v>99</v>
      </c>
      <c r="M14" s="85">
        <v>98</v>
      </c>
      <c r="N14" s="85">
        <v>98</v>
      </c>
      <c r="O14" s="85">
        <f t="shared" si="0"/>
        <v>935</v>
      </c>
      <c r="P14" s="226">
        <f t="shared" si="1"/>
        <v>93.5</v>
      </c>
      <c r="Q14" s="227">
        <f t="shared" si="2"/>
        <v>2</v>
      </c>
      <c r="R14" s="15"/>
      <c r="S14" s="15"/>
    </row>
    <row r="15" spans="1:19" ht="20.100000000000001" customHeight="1" x14ac:dyDescent="0.25">
      <c r="A15" s="137">
        <v>12</v>
      </c>
      <c r="B15" s="142"/>
      <c r="C15" s="156">
        <v>16</v>
      </c>
      <c r="D15" s="156" t="s">
        <v>23</v>
      </c>
      <c r="E15" s="225">
        <v>66</v>
      </c>
      <c r="F15" s="85">
        <v>69</v>
      </c>
      <c r="G15" s="85">
        <v>49</v>
      </c>
      <c r="H15" s="85">
        <v>57</v>
      </c>
      <c r="I15" s="85">
        <v>53</v>
      </c>
      <c r="J15" s="85">
        <v>56</v>
      </c>
      <c r="K15" s="85">
        <v>80</v>
      </c>
      <c r="L15" s="85">
        <v>84</v>
      </c>
      <c r="M15" s="85">
        <v>54</v>
      </c>
      <c r="N15" s="85">
        <v>48</v>
      </c>
      <c r="O15" s="85">
        <f t="shared" si="0"/>
        <v>616</v>
      </c>
      <c r="P15" s="226">
        <f t="shared" si="1"/>
        <v>61.6</v>
      </c>
      <c r="Q15" s="227">
        <f t="shared" si="2"/>
        <v>29</v>
      </c>
      <c r="R15" s="15"/>
      <c r="S15" s="15"/>
    </row>
    <row r="16" spans="1:19" ht="20.100000000000001" customHeight="1" x14ac:dyDescent="0.25">
      <c r="A16" s="137">
        <v>13</v>
      </c>
      <c r="B16" s="142"/>
      <c r="C16" s="156">
        <v>16</v>
      </c>
      <c r="D16" s="156" t="s">
        <v>20</v>
      </c>
      <c r="E16" s="225">
        <v>85</v>
      </c>
      <c r="F16" s="85">
        <v>87</v>
      </c>
      <c r="G16" s="85">
        <v>93</v>
      </c>
      <c r="H16" s="85">
        <v>90</v>
      </c>
      <c r="I16" s="85">
        <v>93</v>
      </c>
      <c r="J16" s="85">
        <v>87</v>
      </c>
      <c r="K16" s="85">
        <v>96</v>
      </c>
      <c r="L16" s="85">
        <v>97</v>
      </c>
      <c r="M16" s="85">
        <v>96</v>
      </c>
      <c r="N16" s="85">
        <v>95</v>
      </c>
      <c r="O16" s="85">
        <f t="shared" si="0"/>
        <v>919</v>
      </c>
      <c r="P16" s="226">
        <f t="shared" si="1"/>
        <v>91.9</v>
      </c>
      <c r="Q16" s="227">
        <f t="shared" si="2"/>
        <v>3</v>
      </c>
      <c r="R16" s="15"/>
      <c r="S16" s="15"/>
    </row>
    <row r="17" spans="1:19" ht="20.100000000000001" customHeight="1" x14ac:dyDescent="0.25">
      <c r="A17" s="121">
        <v>14</v>
      </c>
      <c r="B17" s="142"/>
      <c r="C17" s="156">
        <v>15</v>
      </c>
      <c r="D17" s="156" t="s">
        <v>23</v>
      </c>
      <c r="E17" s="225">
        <v>74</v>
      </c>
      <c r="F17" s="85">
        <v>77</v>
      </c>
      <c r="G17" s="85">
        <v>57</v>
      </c>
      <c r="H17" s="85">
        <v>64</v>
      </c>
      <c r="I17" s="85">
        <v>65</v>
      </c>
      <c r="J17" s="85">
        <v>58</v>
      </c>
      <c r="K17" s="85">
        <v>76</v>
      </c>
      <c r="L17" s="85">
        <v>88</v>
      </c>
      <c r="M17" s="85">
        <v>56</v>
      </c>
      <c r="N17" s="85">
        <v>61</v>
      </c>
      <c r="O17" s="85">
        <f t="shared" si="0"/>
        <v>676</v>
      </c>
      <c r="P17" s="226">
        <f t="shared" si="1"/>
        <v>67.599999999999994</v>
      </c>
      <c r="Q17" s="227">
        <f t="shared" si="2"/>
        <v>22</v>
      </c>
      <c r="R17" s="15"/>
      <c r="S17" s="15"/>
    </row>
    <row r="18" spans="1:19" ht="20.100000000000001" customHeight="1" x14ac:dyDescent="0.25">
      <c r="A18" s="137">
        <v>15</v>
      </c>
      <c r="B18" s="142"/>
      <c r="C18" s="156">
        <v>15</v>
      </c>
      <c r="D18" s="156" t="s">
        <v>23</v>
      </c>
      <c r="E18" s="225">
        <v>79</v>
      </c>
      <c r="F18" s="85">
        <v>84</v>
      </c>
      <c r="G18" s="47">
        <v>63</v>
      </c>
      <c r="H18" s="85">
        <v>83</v>
      </c>
      <c r="I18" s="85">
        <v>80</v>
      </c>
      <c r="J18" s="85">
        <v>71</v>
      </c>
      <c r="K18" s="85">
        <v>89</v>
      </c>
      <c r="L18" s="85">
        <v>92</v>
      </c>
      <c r="M18" s="85">
        <v>72</v>
      </c>
      <c r="N18" s="85">
        <v>77</v>
      </c>
      <c r="O18" s="85">
        <f t="shared" si="0"/>
        <v>790</v>
      </c>
      <c r="P18" s="226">
        <f t="shared" si="1"/>
        <v>79</v>
      </c>
      <c r="Q18" s="227">
        <f t="shared" si="2"/>
        <v>9</v>
      </c>
      <c r="R18" s="15"/>
      <c r="S18" s="15"/>
    </row>
    <row r="19" spans="1:19" ht="20.100000000000001" customHeight="1" x14ac:dyDescent="0.25">
      <c r="A19" s="121">
        <v>16</v>
      </c>
      <c r="B19" s="142"/>
      <c r="C19" s="156">
        <v>16</v>
      </c>
      <c r="D19" s="156" t="s">
        <v>23</v>
      </c>
      <c r="E19" s="225">
        <v>78</v>
      </c>
      <c r="F19" s="85">
        <v>59</v>
      </c>
      <c r="G19" s="85">
        <v>76</v>
      </c>
      <c r="H19" s="85">
        <v>50</v>
      </c>
      <c r="I19" s="85">
        <v>63</v>
      </c>
      <c r="J19" s="85">
        <v>73</v>
      </c>
      <c r="K19" s="85">
        <v>85</v>
      </c>
      <c r="L19" s="85">
        <v>90</v>
      </c>
      <c r="M19" s="85">
        <v>45</v>
      </c>
      <c r="N19" s="85">
        <v>41</v>
      </c>
      <c r="O19" s="85">
        <f t="shared" si="0"/>
        <v>660</v>
      </c>
      <c r="P19" s="226">
        <f t="shared" si="1"/>
        <v>66</v>
      </c>
      <c r="Q19" s="227">
        <f t="shared" si="2"/>
        <v>24</v>
      </c>
      <c r="R19" s="15"/>
      <c r="S19" s="15"/>
    </row>
    <row r="20" spans="1:19" ht="20.100000000000001" customHeight="1" x14ac:dyDescent="0.25">
      <c r="A20" s="121">
        <v>17</v>
      </c>
      <c r="B20" s="142"/>
      <c r="C20" s="156">
        <v>17</v>
      </c>
      <c r="D20" s="156" t="s">
        <v>23</v>
      </c>
      <c r="E20" s="225">
        <v>94</v>
      </c>
      <c r="F20" s="85">
        <v>92</v>
      </c>
      <c r="G20" s="85">
        <v>98</v>
      </c>
      <c r="H20" s="85">
        <v>100</v>
      </c>
      <c r="I20" s="85">
        <v>100</v>
      </c>
      <c r="J20" s="85">
        <v>83</v>
      </c>
      <c r="K20" s="85">
        <v>100</v>
      </c>
      <c r="L20" s="85">
        <v>100</v>
      </c>
      <c r="M20" s="85">
        <v>99</v>
      </c>
      <c r="N20" s="85">
        <v>97</v>
      </c>
      <c r="O20" s="85">
        <f t="shared" si="0"/>
        <v>963</v>
      </c>
      <c r="P20" s="226">
        <f t="shared" si="1"/>
        <v>96.3</v>
      </c>
      <c r="Q20" s="227">
        <f t="shared" si="2"/>
        <v>1</v>
      </c>
      <c r="R20" s="15"/>
      <c r="S20" s="15"/>
    </row>
    <row r="21" spans="1:19" ht="20.100000000000001" customHeight="1" x14ac:dyDescent="0.25">
      <c r="A21" s="121">
        <v>18</v>
      </c>
      <c r="B21" s="142"/>
      <c r="C21" s="156">
        <v>16</v>
      </c>
      <c r="D21" s="156" t="s">
        <v>23</v>
      </c>
      <c r="E21" s="225">
        <v>75</v>
      </c>
      <c r="F21" s="85">
        <v>54</v>
      </c>
      <c r="G21" s="47">
        <v>54</v>
      </c>
      <c r="H21" s="85">
        <v>64</v>
      </c>
      <c r="I21" s="85">
        <v>65</v>
      </c>
      <c r="J21" s="85">
        <v>68</v>
      </c>
      <c r="K21" s="85">
        <v>85</v>
      </c>
      <c r="L21" s="85">
        <v>91</v>
      </c>
      <c r="M21" s="85">
        <v>68</v>
      </c>
      <c r="N21" s="85">
        <v>61</v>
      </c>
      <c r="O21" s="85">
        <f t="shared" si="0"/>
        <v>685</v>
      </c>
      <c r="P21" s="226">
        <f t="shared" si="1"/>
        <v>68.5</v>
      </c>
      <c r="Q21" s="227">
        <f t="shared" si="2"/>
        <v>20</v>
      </c>
      <c r="R21" s="15"/>
      <c r="S21" s="15"/>
    </row>
    <row r="22" spans="1:19" ht="20.100000000000001" customHeight="1" x14ac:dyDescent="0.25">
      <c r="A22" s="137">
        <v>19</v>
      </c>
      <c r="B22" s="142"/>
      <c r="C22" s="156">
        <v>16</v>
      </c>
      <c r="D22" s="156" t="s">
        <v>20</v>
      </c>
      <c r="E22" s="225">
        <v>80</v>
      </c>
      <c r="F22" s="85">
        <v>75</v>
      </c>
      <c r="G22" s="85">
        <v>57</v>
      </c>
      <c r="H22" s="85">
        <v>73</v>
      </c>
      <c r="I22" s="85">
        <v>80</v>
      </c>
      <c r="J22" s="85">
        <v>71</v>
      </c>
      <c r="K22" s="85">
        <v>94</v>
      </c>
      <c r="L22" s="85">
        <v>96</v>
      </c>
      <c r="M22" s="85">
        <v>80</v>
      </c>
      <c r="N22" s="85">
        <v>82</v>
      </c>
      <c r="O22" s="85">
        <f t="shared" si="0"/>
        <v>788</v>
      </c>
      <c r="P22" s="226">
        <f t="shared" si="1"/>
        <v>78.8</v>
      </c>
      <c r="Q22" s="227">
        <f t="shared" si="2"/>
        <v>10</v>
      </c>
      <c r="R22" s="15"/>
      <c r="S22" s="15"/>
    </row>
    <row r="23" spans="1:19" ht="20.100000000000001" customHeight="1" x14ac:dyDescent="0.25">
      <c r="A23" s="137">
        <v>20</v>
      </c>
      <c r="B23" s="142"/>
      <c r="C23" s="156">
        <v>17</v>
      </c>
      <c r="D23" s="156" t="s">
        <v>23</v>
      </c>
      <c r="E23" s="225">
        <v>78</v>
      </c>
      <c r="F23" s="85">
        <v>72</v>
      </c>
      <c r="G23" s="85">
        <v>50</v>
      </c>
      <c r="H23" s="85">
        <v>69</v>
      </c>
      <c r="I23" s="85">
        <v>65</v>
      </c>
      <c r="J23" s="85">
        <v>70</v>
      </c>
      <c r="K23" s="85">
        <v>78</v>
      </c>
      <c r="L23" s="85">
        <v>92</v>
      </c>
      <c r="M23" s="85">
        <v>62</v>
      </c>
      <c r="N23" s="85">
        <v>74</v>
      </c>
      <c r="O23" s="85">
        <f t="shared" si="0"/>
        <v>710</v>
      </c>
      <c r="P23" s="226">
        <f t="shared" si="1"/>
        <v>71</v>
      </c>
      <c r="Q23" s="227">
        <f t="shared" si="2"/>
        <v>17</v>
      </c>
      <c r="R23" s="15"/>
      <c r="S23" s="15"/>
    </row>
    <row r="24" spans="1:19" ht="20.100000000000001" customHeight="1" x14ac:dyDescent="0.25">
      <c r="A24" s="137">
        <v>21</v>
      </c>
      <c r="B24" s="142"/>
      <c r="C24" s="156">
        <v>15</v>
      </c>
      <c r="D24" s="156" t="s">
        <v>23</v>
      </c>
      <c r="E24" s="225">
        <v>83</v>
      </c>
      <c r="F24" s="85">
        <v>70</v>
      </c>
      <c r="G24" s="85">
        <v>60</v>
      </c>
      <c r="H24" s="85">
        <v>62</v>
      </c>
      <c r="I24" s="85">
        <v>74</v>
      </c>
      <c r="J24" s="85">
        <v>58</v>
      </c>
      <c r="K24" s="85">
        <v>89</v>
      </c>
      <c r="L24" s="85">
        <v>81</v>
      </c>
      <c r="M24" s="85">
        <v>67</v>
      </c>
      <c r="N24" s="85">
        <v>68</v>
      </c>
      <c r="O24" s="85">
        <f t="shared" si="0"/>
        <v>712</v>
      </c>
      <c r="P24" s="226">
        <f t="shared" si="1"/>
        <v>71.2</v>
      </c>
      <c r="Q24" s="227">
        <f t="shared" si="2"/>
        <v>16</v>
      </c>
      <c r="R24" s="15"/>
      <c r="S24" s="15"/>
    </row>
    <row r="25" spans="1:19" ht="20.100000000000001" customHeight="1" x14ac:dyDescent="0.25">
      <c r="A25" s="121">
        <v>22</v>
      </c>
      <c r="B25" s="142"/>
      <c r="C25" s="156">
        <v>16</v>
      </c>
      <c r="D25" s="156" t="s">
        <v>23</v>
      </c>
      <c r="E25" s="225">
        <v>67</v>
      </c>
      <c r="F25" s="85">
        <v>69</v>
      </c>
      <c r="G25" s="85">
        <v>53</v>
      </c>
      <c r="H25" s="85">
        <v>63</v>
      </c>
      <c r="I25" s="85">
        <v>63</v>
      </c>
      <c r="J25" s="85">
        <v>58</v>
      </c>
      <c r="K25" s="85">
        <v>77</v>
      </c>
      <c r="L25" s="85">
        <v>83</v>
      </c>
      <c r="M25" s="85">
        <v>56</v>
      </c>
      <c r="N25" s="85">
        <v>69</v>
      </c>
      <c r="O25" s="85">
        <f t="shared" si="0"/>
        <v>658</v>
      </c>
      <c r="P25" s="226">
        <f t="shared" si="1"/>
        <v>65.8</v>
      </c>
      <c r="Q25" s="227">
        <f t="shared" si="2"/>
        <v>26</v>
      </c>
      <c r="R25" s="15"/>
      <c r="S25" s="15"/>
    </row>
    <row r="26" spans="1:19" ht="20.100000000000001" customHeight="1" x14ac:dyDescent="0.25">
      <c r="A26" s="121">
        <v>23</v>
      </c>
      <c r="B26" s="142"/>
      <c r="C26" s="156">
        <v>16</v>
      </c>
      <c r="D26" s="156" t="s">
        <v>23</v>
      </c>
      <c r="E26" s="225">
        <v>84</v>
      </c>
      <c r="F26" s="85">
        <v>60</v>
      </c>
      <c r="G26" s="85">
        <v>54</v>
      </c>
      <c r="H26" s="85">
        <v>65</v>
      </c>
      <c r="I26" s="85">
        <v>57</v>
      </c>
      <c r="J26" s="85">
        <v>55</v>
      </c>
      <c r="K26" s="85">
        <v>79</v>
      </c>
      <c r="L26" s="85">
        <v>87</v>
      </c>
      <c r="M26" s="85">
        <v>69</v>
      </c>
      <c r="N26" s="85">
        <v>71</v>
      </c>
      <c r="O26" s="85">
        <f t="shared" si="0"/>
        <v>681</v>
      </c>
      <c r="P26" s="226">
        <f t="shared" si="1"/>
        <v>68.099999999999994</v>
      </c>
      <c r="Q26" s="227">
        <f t="shared" si="2"/>
        <v>21</v>
      </c>
      <c r="R26" s="15"/>
      <c r="S26" s="15"/>
    </row>
    <row r="27" spans="1:19" ht="20.100000000000001" customHeight="1" x14ac:dyDescent="0.25">
      <c r="A27" s="137">
        <v>24</v>
      </c>
      <c r="B27" s="142"/>
      <c r="C27" s="156">
        <v>16</v>
      </c>
      <c r="D27" s="156" t="s">
        <v>23</v>
      </c>
      <c r="E27" s="225">
        <v>90</v>
      </c>
      <c r="F27" s="85">
        <v>84</v>
      </c>
      <c r="G27" s="47">
        <v>71</v>
      </c>
      <c r="H27" s="47">
        <v>88</v>
      </c>
      <c r="I27" s="85">
        <v>87</v>
      </c>
      <c r="J27" s="47">
        <v>77</v>
      </c>
      <c r="K27" s="85">
        <v>94</v>
      </c>
      <c r="L27" s="85">
        <v>87</v>
      </c>
      <c r="M27" s="85">
        <v>79</v>
      </c>
      <c r="N27" s="85">
        <v>88</v>
      </c>
      <c r="O27" s="85">
        <f t="shared" si="0"/>
        <v>845</v>
      </c>
      <c r="P27" s="226">
        <f t="shared" si="1"/>
        <v>84.5</v>
      </c>
      <c r="Q27" s="227">
        <f t="shared" si="2"/>
        <v>6</v>
      </c>
      <c r="R27" s="15"/>
      <c r="S27" s="15"/>
    </row>
    <row r="28" spans="1:19" ht="20.100000000000001" customHeight="1" x14ac:dyDescent="0.25">
      <c r="A28" s="121">
        <v>25</v>
      </c>
      <c r="B28" s="142"/>
      <c r="C28" s="156">
        <v>16</v>
      </c>
      <c r="D28" s="156" t="s">
        <v>23</v>
      </c>
      <c r="E28" s="225">
        <v>78</v>
      </c>
      <c r="F28" s="47">
        <v>80</v>
      </c>
      <c r="G28" s="47">
        <v>56</v>
      </c>
      <c r="H28" s="85">
        <v>73</v>
      </c>
      <c r="I28" s="47">
        <v>84</v>
      </c>
      <c r="J28" s="85">
        <v>68</v>
      </c>
      <c r="K28" s="85">
        <v>88</v>
      </c>
      <c r="L28" s="85">
        <v>89</v>
      </c>
      <c r="M28" s="85">
        <v>72</v>
      </c>
      <c r="N28" s="85">
        <v>84</v>
      </c>
      <c r="O28" s="85">
        <f t="shared" si="0"/>
        <v>772</v>
      </c>
      <c r="P28" s="226">
        <f t="shared" si="1"/>
        <v>77.2</v>
      </c>
      <c r="Q28" s="227">
        <f t="shared" si="2"/>
        <v>12</v>
      </c>
      <c r="R28" s="15"/>
      <c r="S28" s="15"/>
    </row>
    <row r="29" spans="1:19" ht="20.100000000000001" customHeight="1" x14ac:dyDescent="0.25">
      <c r="A29" s="137">
        <v>26</v>
      </c>
      <c r="B29" s="142"/>
      <c r="C29" s="156">
        <v>16</v>
      </c>
      <c r="D29" s="156" t="s">
        <v>23</v>
      </c>
      <c r="E29" s="225">
        <v>84</v>
      </c>
      <c r="F29" s="85">
        <v>86</v>
      </c>
      <c r="G29" s="85">
        <v>58</v>
      </c>
      <c r="H29" s="85">
        <v>78</v>
      </c>
      <c r="I29" s="85">
        <v>82</v>
      </c>
      <c r="J29" s="85">
        <v>79</v>
      </c>
      <c r="K29" s="85">
        <v>96</v>
      </c>
      <c r="L29" s="85">
        <v>100</v>
      </c>
      <c r="M29" s="85">
        <v>82</v>
      </c>
      <c r="N29" s="85">
        <v>87</v>
      </c>
      <c r="O29" s="85">
        <f t="shared" si="0"/>
        <v>832</v>
      </c>
      <c r="P29" s="226">
        <f t="shared" si="1"/>
        <v>83.2</v>
      </c>
      <c r="Q29" s="227">
        <f t="shared" si="2"/>
        <v>7</v>
      </c>
      <c r="R29" s="15"/>
      <c r="S29" s="15"/>
    </row>
    <row r="30" spans="1:19" ht="20.100000000000001" customHeight="1" x14ac:dyDescent="0.25">
      <c r="A30" s="137">
        <v>27</v>
      </c>
      <c r="B30" s="142"/>
      <c r="C30" s="156">
        <v>17</v>
      </c>
      <c r="D30" s="156" t="s">
        <v>20</v>
      </c>
      <c r="E30" s="225">
        <v>71</v>
      </c>
      <c r="F30" s="85">
        <v>70</v>
      </c>
      <c r="G30" s="47">
        <v>43</v>
      </c>
      <c r="H30" s="85">
        <v>71</v>
      </c>
      <c r="I30" s="85">
        <v>62</v>
      </c>
      <c r="J30" s="85">
        <v>68</v>
      </c>
      <c r="K30" s="85">
        <v>86</v>
      </c>
      <c r="L30" s="85">
        <v>85</v>
      </c>
      <c r="M30" s="85">
        <v>68</v>
      </c>
      <c r="N30" s="85">
        <v>73</v>
      </c>
      <c r="O30" s="85">
        <f t="shared" si="0"/>
        <v>697</v>
      </c>
      <c r="P30" s="226">
        <f t="shared" si="1"/>
        <v>69.7</v>
      </c>
      <c r="Q30" s="227">
        <f t="shared" si="2"/>
        <v>19</v>
      </c>
      <c r="R30" s="15"/>
      <c r="S30" s="15"/>
    </row>
    <row r="31" spans="1:19" ht="20.100000000000001" customHeight="1" x14ac:dyDescent="0.25">
      <c r="A31" s="137">
        <v>28</v>
      </c>
      <c r="B31" s="142"/>
      <c r="C31" s="156">
        <v>16</v>
      </c>
      <c r="D31" s="156" t="s">
        <v>20</v>
      </c>
      <c r="E31" s="225">
        <v>81</v>
      </c>
      <c r="F31" s="85">
        <v>75</v>
      </c>
      <c r="G31" s="85">
        <v>69</v>
      </c>
      <c r="H31" s="85">
        <v>73</v>
      </c>
      <c r="I31" s="85">
        <v>77</v>
      </c>
      <c r="J31" s="85">
        <v>70</v>
      </c>
      <c r="K31" s="85">
        <v>87</v>
      </c>
      <c r="L31" s="85">
        <v>90</v>
      </c>
      <c r="M31" s="85">
        <v>70</v>
      </c>
      <c r="N31" s="85">
        <v>81</v>
      </c>
      <c r="O31" s="85">
        <f t="shared" si="0"/>
        <v>773</v>
      </c>
      <c r="P31" s="226">
        <f t="shared" si="1"/>
        <v>77.3</v>
      </c>
      <c r="Q31" s="227">
        <f t="shared" si="2"/>
        <v>11</v>
      </c>
      <c r="R31" s="15"/>
      <c r="S31" s="15"/>
    </row>
    <row r="32" spans="1:19" ht="20.100000000000001" customHeight="1" x14ac:dyDescent="0.25">
      <c r="A32" s="121">
        <v>29</v>
      </c>
      <c r="B32" s="142"/>
      <c r="C32" s="156">
        <v>16</v>
      </c>
      <c r="D32" s="156" t="s">
        <v>23</v>
      </c>
      <c r="E32" s="225">
        <v>76</v>
      </c>
      <c r="F32" s="85">
        <v>76</v>
      </c>
      <c r="G32" s="85">
        <v>57</v>
      </c>
      <c r="H32" s="85">
        <v>71</v>
      </c>
      <c r="I32" s="85">
        <v>80</v>
      </c>
      <c r="J32" s="85">
        <v>58</v>
      </c>
      <c r="K32" s="85">
        <v>91</v>
      </c>
      <c r="L32" s="85">
        <v>90</v>
      </c>
      <c r="M32" s="85">
        <v>75</v>
      </c>
      <c r="N32" s="85">
        <v>71</v>
      </c>
      <c r="O32" s="85">
        <f t="shared" si="0"/>
        <v>745</v>
      </c>
      <c r="P32" s="226">
        <f t="shared" si="1"/>
        <v>74.5</v>
      </c>
      <c r="Q32" s="227">
        <f t="shared" si="2"/>
        <v>14</v>
      </c>
      <c r="R32" s="15"/>
      <c r="S32" s="15"/>
    </row>
    <row r="33" spans="1:19" ht="20.100000000000001" customHeight="1" x14ac:dyDescent="0.25">
      <c r="A33" s="137">
        <v>30</v>
      </c>
      <c r="B33" s="142"/>
      <c r="C33" s="156">
        <v>16</v>
      </c>
      <c r="D33" s="156" t="s">
        <v>23</v>
      </c>
      <c r="E33" s="225">
        <v>82</v>
      </c>
      <c r="F33" s="47">
        <v>75</v>
      </c>
      <c r="G33" s="47">
        <v>72</v>
      </c>
      <c r="H33" s="47">
        <v>69</v>
      </c>
      <c r="I33" s="85">
        <v>70</v>
      </c>
      <c r="J33" s="85">
        <v>62</v>
      </c>
      <c r="K33" s="85">
        <v>74</v>
      </c>
      <c r="L33" s="85">
        <v>81</v>
      </c>
      <c r="M33" s="85">
        <v>54</v>
      </c>
      <c r="N33" s="85">
        <v>60</v>
      </c>
      <c r="O33" s="85">
        <f t="shared" si="0"/>
        <v>699</v>
      </c>
      <c r="P33" s="226">
        <f t="shared" si="1"/>
        <v>69.900000000000006</v>
      </c>
      <c r="Q33" s="227">
        <f t="shared" si="2"/>
        <v>18</v>
      </c>
      <c r="R33" s="15"/>
      <c r="S33" s="15"/>
    </row>
    <row r="34" spans="1:19" ht="20.100000000000001" customHeight="1" x14ac:dyDescent="0.25">
      <c r="A34" s="121">
        <v>31</v>
      </c>
      <c r="B34" s="185"/>
      <c r="C34" s="186"/>
      <c r="D34" s="185"/>
      <c r="E34" s="30"/>
      <c r="F34" s="30"/>
      <c r="G34" s="31"/>
      <c r="H34" s="30"/>
      <c r="I34" s="30"/>
      <c r="J34" s="30"/>
      <c r="K34" s="31"/>
      <c r="L34" s="30"/>
      <c r="M34" s="30"/>
      <c r="N34" s="30"/>
      <c r="O34" s="30"/>
      <c r="P34" s="33"/>
      <c r="Q34" s="106"/>
      <c r="R34" s="15"/>
      <c r="S34" s="15"/>
    </row>
    <row r="35" spans="1:19" ht="20.100000000000001" customHeight="1" x14ac:dyDescent="0.25">
      <c r="A35" s="121">
        <v>32</v>
      </c>
      <c r="B35" s="125"/>
      <c r="C35" s="184"/>
      <c r="D35" s="125"/>
      <c r="E35" s="30"/>
      <c r="F35" s="30"/>
      <c r="G35" s="30"/>
      <c r="H35" s="30"/>
      <c r="I35" s="30"/>
      <c r="J35" s="30"/>
      <c r="K35" s="30"/>
      <c r="L35" s="30"/>
      <c r="M35" s="30"/>
      <c r="N35" s="30"/>
      <c r="O35" s="30"/>
      <c r="P35" s="33"/>
      <c r="Q35" s="106"/>
      <c r="R35" s="15"/>
      <c r="S35" s="15"/>
    </row>
    <row r="36" spans="1:19" ht="20.100000000000001" customHeight="1" x14ac:dyDescent="0.25">
      <c r="A36" s="121">
        <v>33</v>
      </c>
      <c r="B36" s="125"/>
      <c r="C36" s="184"/>
      <c r="D36" s="125"/>
      <c r="E36" s="30"/>
      <c r="F36" s="30"/>
      <c r="G36" s="31"/>
      <c r="H36" s="30"/>
      <c r="I36" s="30"/>
      <c r="J36" s="30"/>
      <c r="K36" s="30"/>
      <c r="L36" s="30"/>
      <c r="M36" s="30"/>
      <c r="N36" s="30"/>
      <c r="O36" s="30"/>
      <c r="P36" s="33"/>
      <c r="Q36" s="106"/>
      <c r="R36" s="15"/>
      <c r="S36" s="15"/>
    </row>
    <row r="37" spans="1:19" ht="20.100000000000001" customHeight="1" x14ac:dyDescent="0.25">
      <c r="A37" s="137">
        <v>34</v>
      </c>
      <c r="B37" s="125"/>
      <c r="C37" s="184"/>
      <c r="D37" s="125"/>
      <c r="E37" s="30"/>
      <c r="F37" s="30"/>
      <c r="G37" s="30"/>
      <c r="H37" s="30"/>
      <c r="I37" s="30"/>
      <c r="J37" s="30"/>
      <c r="K37" s="30"/>
      <c r="L37" s="30"/>
      <c r="M37" s="30"/>
      <c r="N37" s="30"/>
      <c r="O37" s="30"/>
      <c r="P37" s="33"/>
      <c r="Q37" s="106"/>
      <c r="R37" s="15"/>
      <c r="S37" s="15"/>
    </row>
    <row r="38" spans="1:19" ht="20.100000000000001" customHeight="1" x14ac:dyDescent="0.25">
      <c r="A38" s="137">
        <v>35</v>
      </c>
      <c r="B38" s="125"/>
      <c r="C38" s="184"/>
      <c r="D38" s="125"/>
      <c r="E38" s="30"/>
      <c r="F38" s="30"/>
      <c r="G38" s="30"/>
      <c r="H38" s="30"/>
      <c r="I38" s="30"/>
      <c r="J38" s="30"/>
      <c r="K38" s="30"/>
      <c r="L38" s="30"/>
      <c r="M38" s="30"/>
      <c r="N38" s="30"/>
      <c r="O38" s="30"/>
      <c r="P38" s="33"/>
      <c r="Q38" s="106"/>
      <c r="R38" s="15"/>
      <c r="S38" s="15"/>
    </row>
    <row r="39" spans="1:19" ht="20.100000000000001" customHeight="1" x14ac:dyDescent="0.25">
      <c r="A39" s="137">
        <v>36</v>
      </c>
      <c r="B39" s="125"/>
      <c r="C39" s="184"/>
      <c r="D39" s="125"/>
      <c r="E39" s="30"/>
      <c r="F39" s="30"/>
      <c r="G39" s="31"/>
      <c r="H39" s="30"/>
      <c r="I39" s="30"/>
      <c r="J39" s="30"/>
      <c r="K39" s="30"/>
      <c r="L39" s="30"/>
      <c r="M39" s="30"/>
      <c r="N39" s="30"/>
      <c r="O39" s="30"/>
      <c r="P39" s="33"/>
      <c r="Q39" s="106"/>
      <c r="R39" s="15"/>
      <c r="S39" s="15"/>
    </row>
    <row r="40" spans="1:19" ht="20.100000000000001" customHeight="1" x14ac:dyDescent="0.25">
      <c r="A40" s="121">
        <v>37</v>
      </c>
      <c r="B40" s="125"/>
      <c r="C40" s="184"/>
      <c r="D40" s="125"/>
      <c r="E40" s="30"/>
      <c r="F40" s="30"/>
      <c r="G40" s="30"/>
      <c r="H40" s="30"/>
      <c r="I40" s="30"/>
      <c r="J40" s="30"/>
      <c r="K40" s="30"/>
      <c r="L40" s="30"/>
      <c r="M40" s="30"/>
      <c r="N40" s="30"/>
      <c r="O40" s="30"/>
      <c r="P40" s="33"/>
      <c r="Q40" s="106"/>
      <c r="R40" s="15"/>
      <c r="S40" s="15"/>
    </row>
    <row r="41" spans="1:19" ht="20.100000000000001" customHeight="1" x14ac:dyDescent="0.25">
      <c r="A41" s="121">
        <v>38</v>
      </c>
      <c r="B41" s="125"/>
      <c r="C41" s="184"/>
      <c r="D41" s="125"/>
      <c r="E41" s="30"/>
      <c r="F41" s="30"/>
      <c r="G41" s="30"/>
      <c r="H41" s="30"/>
      <c r="I41" s="30"/>
      <c r="J41" s="30"/>
      <c r="K41" s="30"/>
      <c r="L41" s="30"/>
      <c r="M41" s="30"/>
      <c r="N41" s="30"/>
      <c r="O41" s="30"/>
      <c r="P41" s="33"/>
      <c r="Q41" s="106"/>
      <c r="R41" s="15"/>
      <c r="S41" s="15"/>
    </row>
    <row r="42" spans="1:19" ht="20.100000000000001" customHeight="1" x14ac:dyDescent="0.25">
      <c r="A42" s="137">
        <v>39</v>
      </c>
      <c r="B42" s="11"/>
      <c r="C42" s="11"/>
      <c r="D42" s="11"/>
      <c r="E42" s="30"/>
      <c r="F42" s="30"/>
      <c r="G42" s="31"/>
      <c r="H42" s="30"/>
      <c r="I42" s="30"/>
      <c r="J42" s="30"/>
      <c r="K42" s="30"/>
      <c r="L42" s="30"/>
      <c r="M42" s="30"/>
      <c r="N42" s="30"/>
      <c r="O42" s="30"/>
      <c r="P42" s="15"/>
      <c r="Q42" s="33"/>
      <c r="R42" s="15"/>
      <c r="S42" s="15"/>
    </row>
    <row r="43" spans="1:19" ht="20.100000000000001" customHeight="1" x14ac:dyDescent="0.25">
      <c r="A43" s="121">
        <v>40</v>
      </c>
      <c r="B43" s="11"/>
      <c r="C43" s="12"/>
      <c r="D43" s="12"/>
      <c r="E43" s="30"/>
      <c r="F43" s="30"/>
      <c r="G43" s="30"/>
      <c r="H43" s="30"/>
      <c r="I43" s="30"/>
      <c r="J43" s="30"/>
      <c r="K43" s="31"/>
      <c r="L43" s="30"/>
      <c r="M43" s="30"/>
      <c r="N43" s="30"/>
      <c r="O43" s="30"/>
      <c r="P43" s="15"/>
      <c r="Q43" s="33"/>
      <c r="R43" s="15"/>
      <c r="S43" s="15"/>
    </row>
    <row r="44" spans="1:19" ht="20.100000000000001" customHeight="1" x14ac:dyDescent="0.25">
      <c r="A44" s="137">
        <v>41</v>
      </c>
      <c r="B44" s="20"/>
      <c r="C44" s="20"/>
      <c r="D44" s="20"/>
      <c r="E44" s="20"/>
      <c r="F44" s="20"/>
      <c r="G44" s="20"/>
      <c r="H44" s="20"/>
      <c r="I44" s="20"/>
      <c r="J44" s="20"/>
      <c r="K44" s="20"/>
      <c r="L44" s="20"/>
      <c r="M44" s="20"/>
      <c r="N44" s="20"/>
      <c r="O44" s="20"/>
      <c r="P44" s="20"/>
      <c r="Q44" s="20"/>
      <c r="R44" s="20"/>
      <c r="S44" s="20"/>
    </row>
    <row r="45" spans="1:19" ht="20.100000000000001" customHeight="1" x14ac:dyDescent="0.25">
      <c r="A45" s="121">
        <v>42</v>
      </c>
      <c r="B45" s="20"/>
      <c r="C45" s="20"/>
      <c r="D45" s="20"/>
      <c r="E45" s="20"/>
      <c r="F45" s="20"/>
      <c r="G45" s="20"/>
      <c r="H45" s="20"/>
      <c r="I45" s="20"/>
      <c r="J45" s="20"/>
      <c r="K45" s="20"/>
      <c r="L45" s="20"/>
      <c r="M45" s="20"/>
      <c r="N45" s="20"/>
      <c r="O45" s="20"/>
      <c r="P45" s="20"/>
      <c r="Q45" s="20"/>
      <c r="R45" s="20"/>
      <c r="S45" s="20"/>
    </row>
    <row r="46" spans="1:19" ht="20.100000000000001" customHeight="1" x14ac:dyDescent="0.25">
      <c r="A46" s="137">
        <v>43</v>
      </c>
      <c r="B46" s="20"/>
      <c r="C46" s="20"/>
      <c r="D46" s="20"/>
      <c r="E46" s="20"/>
      <c r="F46" s="20"/>
      <c r="G46" s="20"/>
      <c r="H46" s="20"/>
      <c r="I46" s="20"/>
      <c r="J46" s="20"/>
      <c r="K46" s="20"/>
      <c r="L46" s="20"/>
      <c r="M46" s="20"/>
      <c r="N46" s="20"/>
      <c r="O46" s="20"/>
      <c r="P46" s="20"/>
      <c r="Q46" s="20"/>
      <c r="R46" s="20"/>
      <c r="S46" s="20"/>
    </row>
    <row r="47" spans="1:19" ht="20.100000000000001" customHeight="1" x14ac:dyDescent="0.25">
      <c r="A47" s="121">
        <v>44</v>
      </c>
      <c r="B47" s="20"/>
      <c r="C47" s="20"/>
      <c r="D47" s="20"/>
      <c r="E47" s="20"/>
      <c r="F47" s="20"/>
      <c r="G47" s="20"/>
      <c r="H47" s="20"/>
      <c r="I47" s="20"/>
      <c r="J47" s="20"/>
      <c r="K47" s="20"/>
      <c r="L47" s="20"/>
      <c r="M47" s="20"/>
      <c r="N47" s="20"/>
      <c r="O47" s="20"/>
      <c r="P47" s="20"/>
      <c r="Q47" s="20"/>
      <c r="R47" s="20"/>
      <c r="S47" s="20"/>
    </row>
    <row r="48" spans="1:19" ht="20.100000000000001" customHeight="1" x14ac:dyDescent="0.25">
      <c r="A48" s="137">
        <v>45</v>
      </c>
      <c r="B48" s="20"/>
      <c r="C48" s="20"/>
      <c r="D48" s="20"/>
      <c r="E48" s="20"/>
      <c r="F48" s="20"/>
      <c r="G48" s="20"/>
      <c r="H48" s="20"/>
      <c r="I48" s="20"/>
      <c r="J48" s="20"/>
      <c r="K48" s="20"/>
      <c r="L48" s="20"/>
      <c r="M48" s="20"/>
      <c r="N48" s="20"/>
      <c r="O48" s="20"/>
      <c r="P48" s="20"/>
      <c r="Q48" s="20"/>
      <c r="R48" s="20"/>
      <c r="S48" s="20"/>
    </row>
    <row r="49" spans="1:19" ht="20.100000000000001" customHeight="1" x14ac:dyDescent="0.25">
      <c r="A49" s="121">
        <v>46</v>
      </c>
      <c r="B49" s="20"/>
      <c r="C49" s="20"/>
      <c r="D49" s="20"/>
      <c r="E49" s="20"/>
      <c r="F49" s="20"/>
      <c r="G49" s="20"/>
      <c r="H49" s="20"/>
      <c r="I49" s="20"/>
      <c r="J49" s="20"/>
      <c r="K49" s="20"/>
      <c r="L49" s="20"/>
      <c r="M49" s="20"/>
      <c r="N49" s="20"/>
      <c r="O49" s="20"/>
      <c r="P49" s="20"/>
      <c r="Q49" s="20"/>
      <c r="R49" s="20"/>
      <c r="S49" s="20"/>
    </row>
    <row r="50" spans="1:19" ht="20.100000000000001" customHeight="1" x14ac:dyDescent="0.25">
      <c r="A50" s="137">
        <v>47</v>
      </c>
      <c r="B50" s="20"/>
      <c r="C50" s="20"/>
      <c r="D50" s="20"/>
      <c r="E50" s="20"/>
      <c r="F50" s="20"/>
      <c r="G50" s="20"/>
      <c r="H50" s="20"/>
      <c r="I50" s="20"/>
      <c r="J50" s="20"/>
      <c r="K50" s="20"/>
      <c r="L50" s="20"/>
      <c r="M50" s="20"/>
      <c r="N50" s="20"/>
      <c r="O50" s="20"/>
      <c r="P50" s="20"/>
      <c r="Q50" s="20"/>
      <c r="R50" s="20"/>
      <c r="S50" s="20"/>
    </row>
    <row r="51" spans="1:19" ht="20.100000000000001" customHeight="1" x14ac:dyDescent="0.25">
      <c r="A51" s="121">
        <v>48</v>
      </c>
      <c r="B51" s="20"/>
      <c r="C51" s="20"/>
      <c r="D51" s="20"/>
      <c r="E51" s="20"/>
      <c r="F51" s="20"/>
      <c r="G51" s="20"/>
      <c r="H51" s="20"/>
      <c r="I51" s="20"/>
      <c r="J51" s="20"/>
      <c r="K51" s="20"/>
      <c r="L51" s="20"/>
      <c r="M51" s="20"/>
      <c r="N51" s="20"/>
      <c r="O51" s="20"/>
      <c r="P51" s="20"/>
      <c r="Q51" s="20"/>
      <c r="R51" s="20"/>
      <c r="S51" s="20"/>
    </row>
    <row r="52" spans="1:19" ht="20.100000000000001" customHeight="1" x14ac:dyDescent="0.25">
      <c r="A52" s="137">
        <v>49</v>
      </c>
      <c r="B52" s="20"/>
      <c r="C52" s="20"/>
      <c r="D52" s="20"/>
      <c r="E52" s="20"/>
      <c r="F52" s="20"/>
      <c r="G52" s="20"/>
      <c r="H52" s="20"/>
      <c r="I52" s="20"/>
      <c r="J52" s="20"/>
      <c r="K52" s="20"/>
      <c r="L52" s="20"/>
      <c r="M52" s="20"/>
      <c r="N52" s="20"/>
      <c r="O52" s="20"/>
      <c r="P52" s="20"/>
      <c r="Q52" s="20"/>
      <c r="R52" s="20"/>
      <c r="S52" s="20"/>
    </row>
    <row r="53" spans="1:19" ht="20.100000000000001" customHeight="1" x14ac:dyDescent="0.25">
      <c r="A53" s="121">
        <v>50</v>
      </c>
      <c r="B53" s="20"/>
      <c r="C53" s="20"/>
      <c r="D53" s="20"/>
      <c r="E53" s="20"/>
      <c r="F53" s="20"/>
      <c r="G53" s="20"/>
      <c r="H53" s="20"/>
      <c r="I53" s="20"/>
      <c r="J53" s="20"/>
      <c r="K53" s="20"/>
      <c r="L53" s="20"/>
      <c r="M53" s="20"/>
      <c r="N53" s="20"/>
      <c r="O53" s="20"/>
      <c r="P53" s="20"/>
      <c r="Q53" s="20"/>
      <c r="R53" s="20"/>
      <c r="S53" s="20"/>
    </row>
    <row r="54" spans="1:19" ht="20.100000000000001" customHeight="1" x14ac:dyDescent="0.25">
      <c r="A54" s="107">
        <v>51</v>
      </c>
      <c r="B54" s="20"/>
      <c r="C54" s="20"/>
      <c r="D54" s="20"/>
      <c r="E54" s="20"/>
      <c r="F54" s="20"/>
      <c r="G54" s="20"/>
      <c r="H54" s="20"/>
      <c r="I54" s="20"/>
      <c r="J54" s="20"/>
      <c r="K54" s="20"/>
      <c r="L54" s="20"/>
      <c r="M54" s="20"/>
      <c r="N54" s="20"/>
      <c r="O54" s="20"/>
      <c r="P54" s="20"/>
      <c r="Q54" s="20"/>
      <c r="R54" s="20"/>
      <c r="S54" s="20"/>
    </row>
    <row r="55" spans="1:19" ht="20.100000000000001" customHeight="1" x14ac:dyDescent="0.25">
      <c r="A55" s="16">
        <v>52</v>
      </c>
      <c r="B55" s="20"/>
      <c r="C55" s="20"/>
      <c r="D55" s="20"/>
      <c r="E55" s="20"/>
      <c r="F55" s="20"/>
      <c r="G55" s="20"/>
      <c r="H55" s="20"/>
      <c r="I55" s="20"/>
      <c r="J55" s="20"/>
      <c r="K55" s="20"/>
      <c r="L55" s="20"/>
      <c r="M55" s="20"/>
      <c r="N55" s="20"/>
      <c r="O55" s="20"/>
      <c r="P55" s="15"/>
      <c r="Q55" s="15"/>
      <c r="R55" s="15"/>
      <c r="S55" s="15"/>
    </row>
    <row r="56" spans="1:19" ht="20.100000000000001" customHeight="1" x14ac:dyDescent="0.25">
      <c r="A56" s="107">
        <v>53</v>
      </c>
      <c r="B56" s="20"/>
      <c r="C56" s="20"/>
      <c r="D56" s="20"/>
      <c r="E56" s="20"/>
      <c r="F56" s="20"/>
      <c r="G56" s="20"/>
      <c r="H56" s="20"/>
      <c r="I56" s="20"/>
      <c r="J56" s="20"/>
      <c r="K56" s="20"/>
      <c r="L56" s="20"/>
      <c r="M56" s="20"/>
      <c r="N56" s="20"/>
      <c r="O56" s="20"/>
      <c r="P56" s="15"/>
      <c r="Q56" s="15"/>
      <c r="R56" s="15"/>
      <c r="S56" s="15"/>
    </row>
    <row r="57" spans="1:19" ht="20.100000000000001" customHeight="1" x14ac:dyDescent="0.25">
      <c r="A57" s="16">
        <v>54</v>
      </c>
      <c r="B57" s="20"/>
      <c r="C57" s="20"/>
      <c r="D57" s="20"/>
      <c r="E57" s="20"/>
      <c r="F57" s="20"/>
      <c r="G57" s="20"/>
      <c r="H57" s="20"/>
      <c r="I57" s="20"/>
      <c r="J57" s="20"/>
      <c r="K57" s="20"/>
      <c r="L57" s="20"/>
      <c r="M57" s="20"/>
      <c r="N57" s="20"/>
      <c r="O57" s="20"/>
      <c r="P57" s="15"/>
      <c r="Q57" s="15"/>
      <c r="R57" s="15"/>
      <c r="S57" s="15"/>
    </row>
    <row r="58" spans="1:19" ht="20.100000000000001" customHeight="1" x14ac:dyDescent="0.25">
      <c r="A58" s="107">
        <v>55</v>
      </c>
      <c r="B58" s="20"/>
      <c r="C58" s="20"/>
      <c r="D58" s="20"/>
      <c r="E58" s="20"/>
      <c r="F58" s="20"/>
      <c r="G58" s="20"/>
      <c r="H58" s="20"/>
      <c r="I58" s="20"/>
      <c r="J58" s="20"/>
      <c r="K58" s="20"/>
      <c r="L58" s="20"/>
      <c r="M58" s="20"/>
      <c r="N58" s="20"/>
      <c r="O58" s="20"/>
      <c r="P58" s="15"/>
      <c r="Q58" s="15"/>
      <c r="R58" s="15"/>
      <c r="S58" s="15"/>
    </row>
  </sheetData>
  <mergeCells count="2">
    <mergeCell ref="A1:S1"/>
    <mergeCell ref="A2:S2"/>
  </mergeCells>
  <conditionalFormatting sqref="E4:N33">
    <cfRule type="cellIs" dxfId="2" priority="1" operator="lessThan">
      <formula>50</formula>
    </cfRule>
  </conditionalFormatting>
  <pageMargins left="0.7" right="0.7" top="0.75" bottom="0.75" header="0.3" footer="0.3"/>
  <pageSetup paperSize="9" scale="70" fitToWidth="0" fitToHeight="0" orientation="landscape" verticalDpi="0"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58"/>
  <sheetViews>
    <sheetView workbookViewId="0">
      <selection activeCell="B4" sqref="B4:B33"/>
    </sheetView>
  </sheetViews>
  <sheetFormatPr defaultRowHeight="15" x14ac:dyDescent="0.25"/>
  <cols>
    <col min="1" max="1" width="6.7109375" style="14" customWidth="1"/>
    <col min="2" max="2" width="35.140625" bestFit="1" customWidth="1"/>
    <col min="3" max="3" width="4.7109375" customWidth="1"/>
    <col min="4" max="4" width="4.140625" customWidth="1"/>
    <col min="5" max="15" width="7.7109375" customWidth="1"/>
    <col min="16" max="20" width="7.7109375" style="14" customWidth="1"/>
  </cols>
  <sheetData>
    <row r="1" spans="1:20" ht="20.25" x14ac:dyDescent="0.25">
      <c r="A1" s="272" t="s">
        <v>60</v>
      </c>
      <c r="B1" s="273"/>
      <c r="C1" s="273"/>
      <c r="D1" s="273"/>
      <c r="E1" s="273"/>
      <c r="F1" s="273"/>
      <c r="G1" s="273"/>
      <c r="H1" s="273"/>
      <c r="I1" s="273"/>
      <c r="J1" s="273"/>
      <c r="K1" s="273"/>
      <c r="L1" s="273"/>
      <c r="M1" s="273"/>
      <c r="N1" s="273"/>
      <c r="O1" s="273"/>
      <c r="P1" s="273"/>
      <c r="Q1" s="273"/>
      <c r="R1" s="273"/>
      <c r="S1" s="273"/>
      <c r="T1" s="274"/>
    </row>
    <row r="2" spans="1:20" ht="15.75" thickBot="1" x14ac:dyDescent="0.3">
      <c r="A2" s="275" t="s">
        <v>63</v>
      </c>
      <c r="B2" s="275"/>
      <c r="C2" s="275"/>
      <c r="D2" s="275"/>
      <c r="E2" s="275"/>
      <c r="F2" s="275"/>
      <c r="G2" s="275"/>
      <c r="H2" s="275"/>
      <c r="I2" s="275"/>
      <c r="J2" s="275"/>
      <c r="K2" s="275"/>
      <c r="L2" s="275"/>
      <c r="M2" s="275"/>
      <c r="N2" s="275"/>
      <c r="O2" s="275"/>
      <c r="P2" s="275"/>
      <c r="Q2" s="275"/>
      <c r="R2" s="275"/>
      <c r="S2" s="275"/>
      <c r="T2" s="275"/>
    </row>
    <row r="3" spans="1:20" ht="67.5" customHeight="1" thickBot="1" x14ac:dyDescent="0.3">
      <c r="A3" s="21" t="s">
        <v>24</v>
      </c>
      <c r="B3" s="22" t="s">
        <v>1</v>
      </c>
      <c r="C3" s="23" t="s">
        <v>2</v>
      </c>
      <c r="D3" s="22" t="s">
        <v>3</v>
      </c>
      <c r="E3" s="195" t="s">
        <v>4</v>
      </c>
      <c r="F3" s="195" t="s">
        <v>5</v>
      </c>
      <c r="G3" s="195" t="s">
        <v>6</v>
      </c>
      <c r="H3" s="195" t="s">
        <v>10</v>
      </c>
      <c r="I3" s="195" t="s">
        <v>11</v>
      </c>
      <c r="J3" s="195" t="s">
        <v>12</v>
      </c>
      <c r="K3" s="195" t="s">
        <v>13</v>
      </c>
      <c r="L3" s="195" t="s">
        <v>14</v>
      </c>
      <c r="M3" s="195" t="s">
        <v>29</v>
      </c>
      <c r="N3" s="195" t="s">
        <v>30</v>
      </c>
      <c r="O3" s="195" t="s">
        <v>15</v>
      </c>
      <c r="P3" s="195" t="s">
        <v>16</v>
      </c>
      <c r="Q3" s="195" t="s">
        <v>17</v>
      </c>
      <c r="R3" s="195" t="s">
        <v>18</v>
      </c>
      <c r="S3" s="99" t="s">
        <v>19</v>
      </c>
      <c r="T3" s="28" t="s">
        <v>19</v>
      </c>
    </row>
    <row r="4" spans="1:20" ht="20.100000000000001" customHeight="1" x14ac:dyDescent="0.25">
      <c r="A4" s="136">
        <v>1</v>
      </c>
      <c r="B4" s="142"/>
      <c r="C4" s="156">
        <v>17</v>
      </c>
      <c r="D4" s="156" t="s">
        <v>20</v>
      </c>
      <c r="E4" s="138">
        <v>81</v>
      </c>
      <c r="F4" s="30">
        <v>71</v>
      </c>
      <c r="G4" s="30">
        <v>53</v>
      </c>
      <c r="H4" s="30">
        <v>76</v>
      </c>
      <c r="I4" s="30">
        <v>67</v>
      </c>
      <c r="J4" s="30">
        <v>69</v>
      </c>
      <c r="K4" s="30">
        <v>78</v>
      </c>
      <c r="L4" s="30">
        <v>96</v>
      </c>
      <c r="M4" s="30">
        <v>64</v>
      </c>
      <c r="N4" s="30">
        <v>62</v>
      </c>
      <c r="O4" s="30">
        <f>SUM(E4:N4)</f>
        <v>717</v>
      </c>
      <c r="P4" s="15">
        <f>AVERAGE(E4:N4)</f>
        <v>71.7</v>
      </c>
      <c r="Q4" s="106">
        <f>RANK(P4,$P$4:$P$33)</f>
        <v>25</v>
      </c>
      <c r="R4" s="15"/>
      <c r="S4" s="24"/>
      <c r="T4" s="24"/>
    </row>
    <row r="5" spans="1:20" ht="20.100000000000001" customHeight="1" x14ac:dyDescent="0.25">
      <c r="A5" s="121">
        <v>2</v>
      </c>
      <c r="B5" s="142"/>
      <c r="C5" s="156">
        <v>16</v>
      </c>
      <c r="D5" s="156" t="s">
        <v>23</v>
      </c>
      <c r="E5" s="138">
        <v>88</v>
      </c>
      <c r="F5" s="30">
        <v>86</v>
      </c>
      <c r="G5" s="30">
        <v>66</v>
      </c>
      <c r="H5" s="30">
        <v>83</v>
      </c>
      <c r="I5" s="30">
        <v>77</v>
      </c>
      <c r="J5" s="30">
        <v>90</v>
      </c>
      <c r="K5" s="30">
        <v>89</v>
      </c>
      <c r="L5" s="30">
        <v>95</v>
      </c>
      <c r="M5" s="30">
        <v>82</v>
      </c>
      <c r="N5" s="30">
        <v>80</v>
      </c>
      <c r="O5" s="30">
        <f t="shared" ref="O5:O33" si="0">SUM(E5:N5)</f>
        <v>836</v>
      </c>
      <c r="P5" s="15">
        <f t="shared" ref="P5:P33" si="1">AVERAGE(E5:N5)</f>
        <v>83.6</v>
      </c>
      <c r="Q5" s="106">
        <f t="shared" ref="Q5:Q33" si="2">RANK(P5,$P$4:$P$33)</f>
        <v>10</v>
      </c>
      <c r="R5" s="15"/>
      <c r="S5" s="15"/>
      <c r="T5" s="15"/>
    </row>
    <row r="6" spans="1:20" ht="20.100000000000001" customHeight="1" x14ac:dyDescent="0.25">
      <c r="A6" s="137">
        <v>3</v>
      </c>
      <c r="B6" s="142"/>
      <c r="C6" s="156">
        <v>16</v>
      </c>
      <c r="D6" s="156" t="s">
        <v>20</v>
      </c>
      <c r="E6" s="138">
        <v>72</v>
      </c>
      <c r="F6" s="30">
        <v>68</v>
      </c>
      <c r="G6" s="30">
        <v>47</v>
      </c>
      <c r="H6" s="30">
        <v>58</v>
      </c>
      <c r="I6" s="30">
        <v>73</v>
      </c>
      <c r="J6" s="30">
        <v>71</v>
      </c>
      <c r="K6" s="30">
        <v>83</v>
      </c>
      <c r="L6" s="30">
        <v>96</v>
      </c>
      <c r="M6" s="30">
        <v>60</v>
      </c>
      <c r="N6" s="30">
        <v>63</v>
      </c>
      <c r="O6" s="30">
        <f t="shared" si="0"/>
        <v>691</v>
      </c>
      <c r="P6" s="15">
        <f t="shared" si="1"/>
        <v>69.099999999999994</v>
      </c>
      <c r="Q6" s="106">
        <f t="shared" si="2"/>
        <v>27</v>
      </c>
      <c r="R6" s="15"/>
      <c r="S6" s="15"/>
      <c r="T6" s="15"/>
    </row>
    <row r="7" spans="1:20" ht="20.100000000000001" customHeight="1" x14ac:dyDescent="0.25">
      <c r="A7" s="121">
        <v>4</v>
      </c>
      <c r="B7" s="142"/>
      <c r="C7" s="156">
        <v>14</v>
      </c>
      <c r="D7" s="156" t="s">
        <v>20</v>
      </c>
      <c r="E7" s="138">
        <v>87</v>
      </c>
      <c r="F7" s="30">
        <v>84</v>
      </c>
      <c r="G7" s="30">
        <v>89</v>
      </c>
      <c r="H7" s="30">
        <v>93</v>
      </c>
      <c r="I7" s="30">
        <v>89</v>
      </c>
      <c r="J7" s="30">
        <v>99</v>
      </c>
      <c r="K7" s="30">
        <v>92</v>
      </c>
      <c r="L7" s="30">
        <v>99</v>
      </c>
      <c r="M7" s="30">
        <v>88</v>
      </c>
      <c r="N7" s="30">
        <v>84</v>
      </c>
      <c r="O7" s="30">
        <f t="shared" si="0"/>
        <v>904</v>
      </c>
      <c r="P7" s="15">
        <f t="shared" si="1"/>
        <v>90.4</v>
      </c>
      <c r="Q7" s="106">
        <f t="shared" si="2"/>
        <v>5</v>
      </c>
      <c r="R7" s="15"/>
      <c r="S7" s="15"/>
      <c r="T7" s="15"/>
    </row>
    <row r="8" spans="1:20" ht="20.100000000000001" customHeight="1" x14ac:dyDescent="0.25">
      <c r="A8" s="121">
        <v>5</v>
      </c>
      <c r="B8" s="142"/>
      <c r="C8" s="156">
        <v>17</v>
      </c>
      <c r="D8" s="156" t="s">
        <v>23</v>
      </c>
      <c r="E8" s="138">
        <v>80</v>
      </c>
      <c r="F8" s="30">
        <v>60</v>
      </c>
      <c r="G8" s="30">
        <v>41</v>
      </c>
      <c r="H8" s="30">
        <v>49</v>
      </c>
      <c r="I8" s="30">
        <v>51</v>
      </c>
      <c r="J8" s="30">
        <v>62</v>
      </c>
      <c r="K8" s="30">
        <v>83</v>
      </c>
      <c r="L8" s="30">
        <v>83</v>
      </c>
      <c r="M8" s="30">
        <v>49</v>
      </c>
      <c r="N8" s="30">
        <v>48</v>
      </c>
      <c r="O8" s="30">
        <f t="shared" si="0"/>
        <v>606</v>
      </c>
      <c r="P8" s="15">
        <f t="shared" si="1"/>
        <v>60.6</v>
      </c>
      <c r="Q8" s="106">
        <f t="shared" si="2"/>
        <v>30</v>
      </c>
      <c r="R8" s="15"/>
      <c r="S8" s="15"/>
      <c r="T8" s="15"/>
    </row>
    <row r="9" spans="1:20" ht="20.100000000000001" customHeight="1" x14ac:dyDescent="0.25">
      <c r="A9" s="137">
        <v>6</v>
      </c>
      <c r="B9" s="142"/>
      <c r="C9" s="156">
        <v>16</v>
      </c>
      <c r="D9" s="156" t="s">
        <v>23</v>
      </c>
      <c r="E9" s="138">
        <v>85</v>
      </c>
      <c r="F9" s="30">
        <v>66</v>
      </c>
      <c r="G9" s="30">
        <v>73</v>
      </c>
      <c r="H9" s="30">
        <v>75</v>
      </c>
      <c r="I9" s="30">
        <v>79</v>
      </c>
      <c r="J9" s="30">
        <v>71</v>
      </c>
      <c r="K9" s="30">
        <v>98</v>
      </c>
      <c r="L9" s="30">
        <v>84</v>
      </c>
      <c r="M9" s="30">
        <v>69</v>
      </c>
      <c r="N9" s="30">
        <v>65</v>
      </c>
      <c r="O9" s="30">
        <f t="shared" si="0"/>
        <v>765</v>
      </c>
      <c r="P9" s="15">
        <f t="shared" si="1"/>
        <v>76.5</v>
      </c>
      <c r="Q9" s="106">
        <f t="shared" si="2"/>
        <v>18</v>
      </c>
      <c r="R9" s="15"/>
      <c r="S9" s="15"/>
      <c r="T9" s="15"/>
    </row>
    <row r="10" spans="1:20" ht="20.100000000000001" customHeight="1" x14ac:dyDescent="0.25">
      <c r="A10" s="121">
        <v>7</v>
      </c>
      <c r="B10" s="142"/>
      <c r="C10" s="156">
        <v>16</v>
      </c>
      <c r="D10" s="156" t="s">
        <v>20</v>
      </c>
      <c r="E10" s="138">
        <v>80</v>
      </c>
      <c r="F10" s="30">
        <v>77</v>
      </c>
      <c r="G10" s="30">
        <v>62</v>
      </c>
      <c r="H10" s="30">
        <v>68</v>
      </c>
      <c r="I10" s="30">
        <v>73</v>
      </c>
      <c r="J10" s="30">
        <v>85</v>
      </c>
      <c r="K10" s="30">
        <v>95</v>
      </c>
      <c r="L10" s="30">
        <v>99</v>
      </c>
      <c r="M10" s="30">
        <v>62</v>
      </c>
      <c r="N10" s="30">
        <v>64</v>
      </c>
      <c r="O10" s="30">
        <f t="shared" si="0"/>
        <v>765</v>
      </c>
      <c r="P10" s="15">
        <f t="shared" si="1"/>
        <v>76.5</v>
      </c>
      <c r="Q10" s="106">
        <f t="shared" si="2"/>
        <v>18</v>
      </c>
      <c r="R10" s="15"/>
      <c r="S10" s="15"/>
      <c r="T10" s="15"/>
    </row>
    <row r="11" spans="1:20" ht="20.100000000000001" customHeight="1" x14ac:dyDescent="0.25">
      <c r="A11" s="121">
        <v>8</v>
      </c>
      <c r="B11" s="142"/>
      <c r="C11" s="156">
        <v>16</v>
      </c>
      <c r="D11" s="156" t="s">
        <v>23</v>
      </c>
      <c r="E11" s="138">
        <v>95</v>
      </c>
      <c r="F11" s="30">
        <v>92</v>
      </c>
      <c r="G11" s="30">
        <v>63</v>
      </c>
      <c r="H11" s="30">
        <v>99</v>
      </c>
      <c r="I11" s="30">
        <v>97</v>
      </c>
      <c r="J11" s="30">
        <v>96</v>
      </c>
      <c r="K11" s="30">
        <v>88</v>
      </c>
      <c r="L11" s="30">
        <v>98</v>
      </c>
      <c r="M11" s="30">
        <v>89</v>
      </c>
      <c r="N11" s="30">
        <v>92</v>
      </c>
      <c r="O11" s="30">
        <f t="shared" si="0"/>
        <v>909</v>
      </c>
      <c r="P11" s="15">
        <f t="shared" si="1"/>
        <v>90.9</v>
      </c>
      <c r="Q11" s="106">
        <f t="shared" si="2"/>
        <v>4</v>
      </c>
      <c r="R11" s="15"/>
      <c r="S11" s="15"/>
      <c r="T11" s="15"/>
    </row>
    <row r="12" spans="1:20" ht="20.100000000000001" customHeight="1" x14ac:dyDescent="0.25">
      <c r="A12" s="137">
        <v>9</v>
      </c>
      <c r="B12" s="142"/>
      <c r="C12" s="156">
        <v>16</v>
      </c>
      <c r="D12" s="156" t="s">
        <v>20</v>
      </c>
      <c r="E12" s="138">
        <v>88</v>
      </c>
      <c r="F12" s="30">
        <v>79</v>
      </c>
      <c r="G12" s="30">
        <v>49</v>
      </c>
      <c r="H12" s="30">
        <v>68</v>
      </c>
      <c r="I12" s="30">
        <v>66</v>
      </c>
      <c r="J12" s="30">
        <v>74</v>
      </c>
      <c r="K12" s="30">
        <v>82</v>
      </c>
      <c r="L12" s="30">
        <v>96</v>
      </c>
      <c r="M12" s="30">
        <v>51</v>
      </c>
      <c r="N12" s="30">
        <v>63</v>
      </c>
      <c r="O12" s="30">
        <f t="shared" si="0"/>
        <v>716</v>
      </c>
      <c r="P12" s="15">
        <f t="shared" si="1"/>
        <v>71.599999999999994</v>
      </c>
      <c r="Q12" s="106">
        <f t="shared" si="2"/>
        <v>26</v>
      </c>
      <c r="R12" s="15"/>
      <c r="S12" s="15"/>
      <c r="T12" s="15"/>
    </row>
    <row r="13" spans="1:20" ht="20.100000000000001" customHeight="1" x14ac:dyDescent="0.25">
      <c r="A13" s="121">
        <v>10</v>
      </c>
      <c r="B13" s="142"/>
      <c r="C13" s="156">
        <v>16</v>
      </c>
      <c r="D13" s="156" t="s">
        <v>23</v>
      </c>
      <c r="E13" s="138">
        <v>89</v>
      </c>
      <c r="F13" s="30">
        <v>67</v>
      </c>
      <c r="G13" s="30">
        <v>52</v>
      </c>
      <c r="H13" s="30">
        <v>60</v>
      </c>
      <c r="I13" s="30">
        <v>61</v>
      </c>
      <c r="J13" s="30">
        <v>68</v>
      </c>
      <c r="K13" s="30">
        <v>81</v>
      </c>
      <c r="L13" s="30">
        <v>92</v>
      </c>
      <c r="M13" s="30">
        <v>58</v>
      </c>
      <c r="N13" s="30">
        <v>56</v>
      </c>
      <c r="O13" s="30">
        <f t="shared" si="0"/>
        <v>684</v>
      </c>
      <c r="P13" s="15">
        <f t="shared" si="1"/>
        <v>68.400000000000006</v>
      </c>
      <c r="Q13" s="106">
        <f t="shared" si="2"/>
        <v>28</v>
      </c>
      <c r="R13" s="15"/>
      <c r="S13" s="15"/>
      <c r="T13" s="15"/>
    </row>
    <row r="14" spans="1:20" ht="20.100000000000001" customHeight="1" x14ac:dyDescent="0.25">
      <c r="A14" s="137">
        <v>11</v>
      </c>
      <c r="B14" s="142"/>
      <c r="C14" s="156">
        <v>14</v>
      </c>
      <c r="D14" s="156" t="s">
        <v>23</v>
      </c>
      <c r="E14" s="138">
        <v>93</v>
      </c>
      <c r="F14" s="30">
        <v>92</v>
      </c>
      <c r="G14" s="30">
        <v>91</v>
      </c>
      <c r="H14" s="30">
        <v>100</v>
      </c>
      <c r="I14" s="30">
        <v>100</v>
      </c>
      <c r="J14" s="30">
        <v>99</v>
      </c>
      <c r="K14" s="30">
        <v>92</v>
      </c>
      <c r="L14" s="30">
        <v>100</v>
      </c>
      <c r="M14" s="30">
        <v>94</v>
      </c>
      <c r="N14" s="30">
        <v>97</v>
      </c>
      <c r="O14" s="30">
        <f t="shared" si="0"/>
        <v>958</v>
      </c>
      <c r="P14" s="15">
        <f t="shared" si="1"/>
        <v>95.8</v>
      </c>
      <c r="Q14" s="106">
        <f t="shared" si="2"/>
        <v>2</v>
      </c>
      <c r="R14" s="15"/>
      <c r="S14" s="15"/>
      <c r="T14" s="15"/>
    </row>
    <row r="15" spans="1:20" ht="20.100000000000001" customHeight="1" x14ac:dyDescent="0.25">
      <c r="A15" s="137">
        <v>12</v>
      </c>
      <c r="B15" s="142"/>
      <c r="C15" s="156">
        <v>16</v>
      </c>
      <c r="D15" s="156" t="s">
        <v>23</v>
      </c>
      <c r="E15" s="138">
        <v>76</v>
      </c>
      <c r="F15" s="30">
        <v>71</v>
      </c>
      <c r="G15" s="30">
        <v>57</v>
      </c>
      <c r="H15" s="30">
        <v>67</v>
      </c>
      <c r="I15" s="30">
        <v>65</v>
      </c>
      <c r="J15" s="30">
        <v>72</v>
      </c>
      <c r="K15" s="30">
        <v>88</v>
      </c>
      <c r="L15" s="30">
        <v>92</v>
      </c>
      <c r="M15" s="30">
        <v>63</v>
      </c>
      <c r="N15" s="30">
        <v>70</v>
      </c>
      <c r="O15" s="30">
        <f t="shared" si="0"/>
        <v>721</v>
      </c>
      <c r="P15" s="15">
        <f t="shared" si="1"/>
        <v>72.099999999999994</v>
      </c>
      <c r="Q15" s="106">
        <f t="shared" si="2"/>
        <v>24</v>
      </c>
      <c r="R15" s="15"/>
      <c r="S15" s="15"/>
      <c r="T15" s="15"/>
    </row>
    <row r="16" spans="1:20" ht="20.100000000000001" customHeight="1" x14ac:dyDescent="0.25">
      <c r="A16" s="137">
        <v>13</v>
      </c>
      <c r="B16" s="142"/>
      <c r="C16" s="156">
        <v>16</v>
      </c>
      <c r="D16" s="156" t="s">
        <v>20</v>
      </c>
      <c r="E16" s="138">
        <v>92</v>
      </c>
      <c r="F16" s="30">
        <v>90</v>
      </c>
      <c r="G16" s="30">
        <v>98</v>
      </c>
      <c r="H16" s="30">
        <v>97</v>
      </c>
      <c r="I16" s="30">
        <v>93</v>
      </c>
      <c r="J16" s="30">
        <v>99</v>
      </c>
      <c r="K16" s="30">
        <v>95</v>
      </c>
      <c r="L16" s="30">
        <v>97</v>
      </c>
      <c r="M16" s="30">
        <v>97</v>
      </c>
      <c r="N16" s="30">
        <v>93</v>
      </c>
      <c r="O16" s="30">
        <f t="shared" si="0"/>
        <v>951</v>
      </c>
      <c r="P16" s="15">
        <f t="shared" si="1"/>
        <v>95.1</v>
      </c>
      <c r="Q16" s="106">
        <f t="shared" si="2"/>
        <v>3</v>
      </c>
      <c r="R16" s="15"/>
      <c r="S16" s="15"/>
      <c r="T16" s="15"/>
    </row>
    <row r="17" spans="1:20" ht="20.100000000000001" customHeight="1" x14ac:dyDescent="0.25">
      <c r="A17" s="121">
        <v>14</v>
      </c>
      <c r="B17" s="142"/>
      <c r="C17" s="156">
        <v>15</v>
      </c>
      <c r="D17" s="156" t="s">
        <v>23</v>
      </c>
      <c r="E17" s="138">
        <v>90</v>
      </c>
      <c r="F17" s="30">
        <v>82</v>
      </c>
      <c r="G17" s="30">
        <v>77</v>
      </c>
      <c r="H17" s="30">
        <v>81</v>
      </c>
      <c r="I17" s="30">
        <v>81</v>
      </c>
      <c r="J17" s="30">
        <v>88</v>
      </c>
      <c r="K17" s="30">
        <v>82</v>
      </c>
      <c r="L17" s="30">
        <v>90</v>
      </c>
      <c r="M17" s="30">
        <v>76</v>
      </c>
      <c r="N17" s="30">
        <v>72</v>
      </c>
      <c r="O17" s="30">
        <f t="shared" si="0"/>
        <v>819</v>
      </c>
      <c r="P17" s="15">
        <f t="shared" si="1"/>
        <v>81.900000000000006</v>
      </c>
      <c r="Q17" s="106">
        <f t="shared" si="2"/>
        <v>11</v>
      </c>
      <c r="R17" s="15"/>
      <c r="S17" s="15"/>
      <c r="T17" s="15"/>
    </row>
    <row r="18" spans="1:20" ht="20.100000000000001" customHeight="1" x14ac:dyDescent="0.25">
      <c r="A18" s="137">
        <v>15</v>
      </c>
      <c r="B18" s="142"/>
      <c r="C18" s="156">
        <v>15</v>
      </c>
      <c r="D18" s="156" t="s">
        <v>23</v>
      </c>
      <c r="E18" s="138">
        <v>92</v>
      </c>
      <c r="F18" s="30">
        <v>86</v>
      </c>
      <c r="G18" s="31">
        <v>94</v>
      </c>
      <c r="H18" s="30">
        <v>86</v>
      </c>
      <c r="I18" s="30">
        <v>83</v>
      </c>
      <c r="J18" s="30">
        <v>96</v>
      </c>
      <c r="K18" s="30">
        <v>85</v>
      </c>
      <c r="L18" s="30">
        <v>95</v>
      </c>
      <c r="M18" s="30">
        <v>86</v>
      </c>
      <c r="N18" s="30">
        <v>74</v>
      </c>
      <c r="O18" s="30">
        <f t="shared" si="0"/>
        <v>877</v>
      </c>
      <c r="P18" s="15">
        <f t="shared" si="1"/>
        <v>87.7</v>
      </c>
      <c r="Q18" s="106">
        <f t="shared" si="2"/>
        <v>7</v>
      </c>
      <c r="R18" s="15"/>
      <c r="S18" s="15"/>
      <c r="T18" s="15"/>
    </row>
    <row r="19" spans="1:20" ht="20.100000000000001" customHeight="1" x14ac:dyDescent="0.25">
      <c r="A19" s="121">
        <v>16</v>
      </c>
      <c r="B19" s="142"/>
      <c r="C19" s="156">
        <v>16</v>
      </c>
      <c r="D19" s="156" t="s">
        <v>23</v>
      </c>
      <c r="E19" s="138">
        <v>87</v>
      </c>
      <c r="F19" s="30">
        <v>56</v>
      </c>
      <c r="G19" s="30">
        <v>52</v>
      </c>
      <c r="H19" s="30">
        <v>51</v>
      </c>
      <c r="I19" s="30">
        <v>62</v>
      </c>
      <c r="J19" s="30">
        <v>49</v>
      </c>
      <c r="K19" s="30">
        <v>73</v>
      </c>
      <c r="L19" s="30">
        <v>89</v>
      </c>
      <c r="M19" s="30">
        <v>46</v>
      </c>
      <c r="N19" s="30">
        <v>66</v>
      </c>
      <c r="O19" s="30">
        <f t="shared" si="0"/>
        <v>631</v>
      </c>
      <c r="P19" s="15">
        <f t="shared" si="1"/>
        <v>63.1</v>
      </c>
      <c r="Q19" s="106">
        <f t="shared" si="2"/>
        <v>29</v>
      </c>
      <c r="R19" s="15"/>
      <c r="S19" s="15"/>
      <c r="T19" s="15"/>
    </row>
    <row r="20" spans="1:20" ht="20.100000000000001" customHeight="1" x14ac:dyDescent="0.25">
      <c r="A20" s="121">
        <v>17</v>
      </c>
      <c r="B20" s="142"/>
      <c r="C20" s="156">
        <v>17</v>
      </c>
      <c r="D20" s="156" t="s">
        <v>23</v>
      </c>
      <c r="E20" s="138">
        <v>95</v>
      </c>
      <c r="F20" s="30">
        <v>94</v>
      </c>
      <c r="G20" s="30">
        <v>100</v>
      </c>
      <c r="H20" s="30">
        <v>100</v>
      </c>
      <c r="I20" s="30">
        <v>96</v>
      </c>
      <c r="J20" s="30">
        <v>99</v>
      </c>
      <c r="K20" s="30">
        <v>94</v>
      </c>
      <c r="L20" s="30">
        <v>100</v>
      </c>
      <c r="M20" s="30">
        <v>99</v>
      </c>
      <c r="N20" s="30">
        <v>99</v>
      </c>
      <c r="O20" s="30">
        <f t="shared" si="0"/>
        <v>976</v>
      </c>
      <c r="P20" s="15">
        <f t="shared" si="1"/>
        <v>97.6</v>
      </c>
      <c r="Q20" s="106">
        <f t="shared" si="2"/>
        <v>1</v>
      </c>
      <c r="R20" s="15"/>
      <c r="S20" s="15"/>
      <c r="T20" s="15"/>
    </row>
    <row r="21" spans="1:20" ht="20.100000000000001" customHeight="1" x14ac:dyDescent="0.25">
      <c r="A21" s="121">
        <v>18</v>
      </c>
      <c r="B21" s="142"/>
      <c r="C21" s="156">
        <v>16</v>
      </c>
      <c r="D21" s="156" t="s">
        <v>23</v>
      </c>
      <c r="E21" s="138">
        <v>79</v>
      </c>
      <c r="F21" s="30">
        <v>76</v>
      </c>
      <c r="G21" s="31">
        <v>56</v>
      </c>
      <c r="H21" s="30">
        <v>70</v>
      </c>
      <c r="I21" s="30">
        <v>67</v>
      </c>
      <c r="J21" s="30">
        <v>71</v>
      </c>
      <c r="K21" s="30">
        <v>84</v>
      </c>
      <c r="L21" s="30">
        <v>89</v>
      </c>
      <c r="M21" s="30">
        <v>67</v>
      </c>
      <c r="N21" s="30">
        <v>64</v>
      </c>
      <c r="O21" s="30">
        <f t="shared" si="0"/>
        <v>723</v>
      </c>
      <c r="P21" s="15">
        <f t="shared" si="1"/>
        <v>72.3</v>
      </c>
      <c r="Q21" s="106">
        <f t="shared" si="2"/>
        <v>23</v>
      </c>
      <c r="R21" s="15"/>
      <c r="S21" s="15"/>
      <c r="T21" s="15"/>
    </row>
    <row r="22" spans="1:20" ht="20.100000000000001" customHeight="1" x14ac:dyDescent="0.25">
      <c r="A22" s="137">
        <v>19</v>
      </c>
      <c r="B22" s="142"/>
      <c r="C22" s="156">
        <v>16</v>
      </c>
      <c r="D22" s="156" t="s">
        <v>20</v>
      </c>
      <c r="E22" s="138">
        <v>89</v>
      </c>
      <c r="F22" s="30">
        <v>79</v>
      </c>
      <c r="G22" s="30">
        <v>88</v>
      </c>
      <c r="H22" s="30">
        <v>85</v>
      </c>
      <c r="I22" s="30">
        <v>84</v>
      </c>
      <c r="J22" s="30">
        <v>90</v>
      </c>
      <c r="K22" s="30">
        <v>90</v>
      </c>
      <c r="L22" s="30">
        <v>92</v>
      </c>
      <c r="M22" s="30">
        <v>82</v>
      </c>
      <c r="N22" s="30">
        <v>88</v>
      </c>
      <c r="O22" s="30">
        <f t="shared" si="0"/>
        <v>867</v>
      </c>
      <c r="P22" s="15">
        <f t="shared" si="1"/>
        <v>86.7</v>
      </c>
      <c r="Q22" s="106">
        <f t="shared" si="2"/>
        <v>8</v>
      </c>
      <c r="R22" s="15"/>
      <c r="S22" s="15"/>
      <c r="T22" s="15"/>
    </row>
    <row r="23" spans="1:20" ht="20.100000000000001" customHeight="1" x14ac:dyDescent="0.25">
      <c r="A23" s="137">
        <v>20</v>
      </c>
      <c r="B23" s="142"/>
      <c r="C23" s="156">
        <v>17</v>
      </c>
      <c r="D23" s="156" t="s">
        <v>23</v>
      </c>
      <c r="E23" s="138">
        <v>84</v>
      </c>
      <c r="F23" s="30">
        <v>76</v>
      </c>
      <c r="G23" s="30">
        <v>64</v>
      </c>
      <c r="H23" s="30">
        <v>73</v>
      </c>
      <c r="I23" s="30">
        <v>68</v>
      </c>
      <c r="J23" s="30">
        <v>83</v>
      </c>
      <c r="K23" s="30">
        <v>78</v>
      </c>
      <c r="L23" s="30">
        <v>89</v>
      </c>
      <c r="M23" s="30">
        <v>64</v>
      </c>
      <c r="N23" s="30">
        <v>65</v>
      </c>
      <c r="O23" s="30">
        <f t="shared" si="0"/>
        <v>744</v>
      </c>
      <c r="P23" s="15">
        <f t="shared" si="1"/>
        <v>74.400000000000006</v>
      </c>
      <c r="Q23" s="106">
        <f t="shared" si="2"/>
        <v>21</v>
      </c>
      <c r="R23" s="15"/>
      <c r="S23" s="15"/>
      <c r="T23" s="15"/>
    </row>
    <row r="24" spans="1:20" ht="20.100000000000001" customHeight="1" x14ac:dyDescent="0.25">
      <c r="A24" s="137">
        <v>21</v>
      </c>
      <c r="B24" s="142"/>
      <c r="C24" s="156">
        <v>15</v>
      </c>
      <c r="D24" s="156" t="s">
        <v>23</v>
      </c>
      <c r="E24" s="138">
        <v>91</v>
      </c>
      <c r="F24" s="30">
        <v>79</v>
      </c>
      <c r="G24" s="30">
        <v>55</v>
      </c>
      <c r="H24" s="30">
        <v>71</v>
      </c>
      <c r="I24" s="30">
        <v>68</v>
      </c>
      <c r="J24" s="30">
        <v>86</v>
      </c>
      <c r="K24" s="30">
        <v>88</v>
      </c>
      <c r="L24" s="30">
        <v>89</v>
      </c>
      <c r="M24" s="30">
        <v>65</v>
      </c>
      <c r="N24" s="30">
        <v>79</v>
      </c>
      <c r="O24" s="30">
        <f t="shared" si="0"/>
        <v>771</v>
      </c>
      <c r="P24" s="15">
        <f t="shared" si="1"/>
        <v>77.099999999999994</v>
      </c>
      <c r="Q24" s="106">
        <f t="shared" si="2"/>
        <v>16</v>
      </c>
      <c r="R24" s="15"/>
      <c r="S24" s="15"/>
      <c r="T24" s="15"/>
    </row>
    <row r="25" spans="1:20" ht="20.100000000000001" customHeight="1" x14ac:dyDescent="0.25">
      <c r="A25" s="121">
        <v>22</v>
      </c>
      <c r="B25" s="142"/>
      <c r="C25" s="156">
        <v>16</v>
      </c>
      <c r="D25" s="156" t="s">
        <v>23</v>
      </c>
      <c r="E25" s="138">
        <v>81</v>
      </c>
      <c r="F25" s="30">
        <v>76</v>
      </c>
      <c r="G25" s="30">
        <v>65</v>
      </c>
      <c r="H25" s="30">
        <v>80</v>
      </c>
      <c r="I25" s="30">
        <v>69</v>
      </c>
      <c r="J25" s="30">
        <v>81</v>
      </c>
      <c r="K25" s="30">
        <v>80</v>
      </c>
      <c r="L25" s="30">
        <v>99</v>
      </c>
      <c r="M25" s="30">
        <v>70</v>
      </c>
      <c r="N25" s="30">
        <v>86</v>
      </c>
      <c r="O25" s="30">
        <f t="shared" si="0"/>
        <v>787</v>
      </c>
      <c r="P25" s="15">
        <f t="shared" si="1"/>
        <v>78.7</v>
      </c>
      <c r="Q25" s="106">
        <f t="shared" si="2"/>
        <v>14</v>
      </c>
      <c r="R25" s="15"/>
      <c r="S25" s="15"/>
      <c r="T25" s="15"/>
    </row>
    <row r="26" spans="1:20" ht="20.100000000000001" customHeight="1" x14ac:dyDescent="0.25">
      <c r="A26" s="121">
        <v>23</v>
      </c>
      <c r="B26" s="142"/>
      <c r="C26" s="156">
        <v>16</v>
      </c>
      <c r="D26" s="156" t="s">
        <v>23</v>
      </c>
      <c r="E26" s="138">
        <v>86</v>
      </c>
      <c r="F26" s="30">
        <v>65</v>
      </c>
      <c r="G26" s="30">
        <v>63</v>
      </c>
      <c r="H26" s="30">
        <v>75</v>
      </c>
      <c r="I26" s="30">
        <v>74</v>
      </c>
      <c r="J26" s="30">
        <v>82</v>
      </c>
      <c r="K26" s="30">
        <v>87</v>
      </c>
      <c r="L26" s="30">
        <v>87</v>
      </c>
      <c r="M26" s="30">
        <v>67</v>
      </c>
      <c r="N26" s="30">
        <v>64</v>
      </c>
      <c r="O26" s="30">
        <f t="shared" si="0"/>
        <v>750</v>
      </c>
      <c r="P26" s="15">
        <f t="shared" si="1"/>
        <v>75</v>
      </c>
      <c r="Q26" s="106">
        <f t="shared" si="2"/>
        <v>20</v>
      </c>
      <c r="R26" s="15"/>
      <c r="S26" s="15"/>
      <c r="T26" s="15"/>
    </row>
    <row r="27" spans="1:20" ht="20.100000000000001" customHeight="1" x14ac:dyDescent="0.25">
      <c r="A27" s="137">
        <v>24</v>
      </c>
      <c r="B27" s="142"/>
      <c r="C27" s="156">
        <v>16</v>
      </c>
      <c r="D27" s="156" t="s">
        <v>23</v>
      </c>
      <c r="E27" s="138">
        <v>91</v>
      </c>
      <c r="F27" s="30">
        <v>91</v>
      </c>
      <c r="G27" s="31">
        <v>75</v>
      </c>
      <c r="H27" s="31">
        <v>89</v>
      </c>
      <c r="I27" s="30">
        <v>91</v>
      </c>
      <c r="J27" s="31">
        <v>94</v>
      </c>
      <c r="K27" s="30">
        <v>98</v>
      </c>
      <c r="L27" s="30">
        <v>95</v>
      </c>
      <c r="M27" s="30">
        <v>88</v>
      </c>
      <c r="N27" s="30">
        <v>91</v>
      </c>
      <c r="O27" s="30">
        <f t="shared" si="0"/>
        <v>903</v>
      </c>
      <c r="P27" s="15">
        <f t="shared" si="1"/>
        <v>90.3</v>
      </c>
      <c r="Q27" s="106">
        <f t="shared" si="2"/>
        <v>6</v>
      </c>
      <c r="R27" s="15"/>
      <c r="S27" s="15"/>
      <c r="T27" s="15"/>
    </row>
    <row r="28" spans="1:20" ht="20.100000000000001" customHeight="1" x14ac:dyDescent="0.25">
      <c r="A28" s="121">
        <v>25</v>
      </c>
      <c r="B28" s="142"/>
      <c r="C28" s="156">
        <v>16</v>
      </c>
      <c r="D28" s="156" t="s">
        <v>23</v>
      </c>
      <c r="E28" s="138">
        <v>84</v>
      </c>
      <c r="F28" s="31">
        <v>80</v>
      </c>
      <c r="G28" s="31">
        <v>56</v>
      </c>
      <c r="H28" s="30">
        <v>82</v>
      </c>
      <c r="I28" s="31">
        <v>81</v>
      </c>
      <c r="J28" s="30">
        <v>87</v>
      </c>
      <c r="K28" s="30">
        <v>84</v>
      </c>
      <c r="L28" s="30">
        <v>92</v>
      </c>
      <c r="M28" s="30">
        <v>79</v>
      </c>
      <c r="N28" s="30">
        <v>84</v>
      </c>
      <c r="O28" s="30">
        <f t="shared" si="0"/>
        <v>809</v>
      </c>
      <c r="P28" s="15">
        <f t="shared" si="1"/>
        <v>80.900000000000006</v>
      </c>
      <c r="Q28" s="106">
        <f t="shared" si="2"/>
        <v>12</v>
      </c>
      <c r="R28" s="15"/>
      <c r="S28" s="15"/>
      <c r="T28" s="15"/>
    </row>
    <row r="29" spans="1:20" ht="20.100000000000001" customHeight="1" x14ac:dyDescent="0.25">
      <c r="A29" s="137">
        <v>26</v>
      </c>
      <c r="B29" s="142"/>
      <c r="C29" s="156">
        <v>16</v>
      </c>
      <c r="D29" s="156" t="s">
        <v>23</v>
      </c>
      <c r="E29" s="138">
        <v>95</v>
      </c>
      <c r="F29" s="30">
        <v>87</v>
      </c>
      <c r="G29" s="30">
        <v>71</v>
      </c>
      <c r="H29" s="30">
        <v>86</v>
      </c>
      <c r="I29" s="30">
        <v>82</v>
      </c>
      <c r="J29" s="30">
        <v>92</v>
      </c>
      <c r="K29" s="30">
        <v>90</v>
      </c>
      <c r="L29" s="30">
        <v>97</v>
      </c>
      <c r="M29" s="30">
        <v>76</v>
      </c>
      <c r="N29" s="30">
        <v>87</v>
      </c>
      <c r="O29" s="30">
        <f t="shared" si="0"/>
        <v>863</v>
      </c>
      <c r="P29" s="15">
        <f t="shared" si="1"/>
        <v>86.3</v>
      </c>
      <c r="Q29" s="106">
        <f t="shared" si="2"/>
        <v>9</v>
      </c>
      <c r="R29" s="15"/>
      <c r="S29" s="15"/>
      <c r="T29" s="15"/>
    </row>
    <row r="30" spans="1:20" ht="20.100000000000001" customHeight="1" x14ac:dyDescent="0.25">
      <c r="A30" s="137">
        <v>27</v>
      </c>
      <c r="B30" s="142"/>
      <c r="C30" s="156">
        <v>17</v>
      </c>
      <c r="D30" s="156" t="s">
        <v>20</v>
      </c>
      <c r="E30" s="138">
        <v>77</v>
      </c>
      <c r="F30" s="30">
        <v>80</v>
      </c>
      <c r="G30" s="31">
        <v>44</v>
      </c>
      <c r="H30" s="30">
        <v>87</v>
      </c>
      <c r="I30" s="30">
        <v>72</v>
      </c>
      <c r="J30" s="30">
        <v>87</v>
      </c>
      <c r="K30" s="30">
        <v>82</v>
      </c>
      <c r="L30" s="30">
        <v>99</v>
      </c>
      <c r="M30" s="30">
        <v>69</v>
      </c>
      <c r="N30" s="30">
        <v>71</v>
      </c>
      <c r="O30" s="30">
        <f t="shared" si="0"/>
        <v>768</v>
      </c>
      <c r="P30" s="15">
        <f t="shared" si="1"/>
        <v>76.8</v>
      </c>
      <c r="Q30" s="106">
        <f t="shared" si="2"/>
        <v>17</v>
      </c>
      <c r="R30" s="15"/>
      <c r="S30" s="15"/>
      <c r="T30" s="15"/>
    </row>
    <row r="31" spans="1:20" ht="20.100000000000001" customHeight="1" x14ac:dyDescent="0.25">
      <c r="A31" s="137">
        <v>28</v>
      </c>
      <c r="B31" s="142"/>
      <c r="C31" s="156">
        <v>16</v>
      </c>
      <c r="D31" s="156" t="s">
        <v>20</v>
      </c>
      <c r="E31" s="138">
        <v>80</v>
      </c>
      <c r="F31" s="30">
        <v>63</v>
      </c>
      <c r="G31" s="30">
        <v>74</v>
      </c>
      <c r="H31" s="30">
        <v>77</v>
      </c>
      <c r="I31" s="30">
        <v>77</v>
      </c>
      <c r="J31" s="30">
        <v>91</v>
      </c>
      <c r="K31" s="30">
        <v>91</v>
      </c>
      <c r="L31" s="30">
        <v>89</v>
      </c>
      <c r="M31" s="30">
        <v>73</v>
      </c>
      <c r="N31" s="30">
        <v>75</v>
      </c>
      <c r="O31" s="30">
        <f t="shared" si="0"/>
        <v>790</v>
      </c>
      <c r="P31" s="15">
        <f t="shared" si="1"/>
        <v>79</v>
      </c>
      <c r="Q31" s="106">
        <f t="shared" si="2"/>
        <v>13</v>
      </c>
      <c r="R31" s="15"/>
      <c r="S31" s="15"/>
      <c r="T31" s="15"/>
    </row>
    <row r="32" spans="1:20" ht="20.100000000000001" customHeight="1" x14ac:dyDescent="0.25">
      <c r="A32" s="121">
        <v>29</v>
      </c>
      <c r="B32" s="142"/>
      <c r="C32" s="156">
        <v>16</v>
      </c>
      <c r="D32" s="156" t="s">
        <v>23</v>
      </c>
      <c r="E32" s="138">
        <v>86</v>
      </c>
      <c r="F32" s="30">
        <v>84</v>
      </c>
      <c r="G32" s="30">
        <v>62</v>
      </c>
      <c r="H32" s="30">
        <v>75</v>
      </c>
      <c r="I32" s="30">
        <v>73</v>
      </c>
      <c r="J32" s="30">
        <v>82</v>
      </c>
      <c r="K32" s="30">
        <v>91</v>
      </c>
      <c r="L32" s="30">
        <v>84</v>
      </c>
      <c r="M32" s="30">
        <v>69</v>
      </c>
      <c r="N32" s="30">
        <v>66</v>
      </c>
      <c r="O32" s="30">
        <f t="shared" si="0"/>
        <v>772</v>
      </c>
      <c r="P32" s="15">
        <f t="shared" si="1"/>
        <v>77.2</v>
      </c>
      <c r="Q32" s="106">
        <f t="shared" si="2"/>
        <v>15</v>
      </c>
      <c r="R32" s="15"/>
      <c r="S32" s="15"/>
      <c r="T32" s="15"/>
    </row>
    <row r="33" spans="1:20" ht="20.100000000000001" customHeight="1" x14ac:dyDescent="0.25">
      <c r="A33" s="137">
        <v>30</v>
      </c>
      <c r="B33" s="142"/>
      <c r="C33" s="156">
        <v>16</v>
      </c>
      <c r="D33" s="156" t="s">
        <v>23</v>
      </c>
      <c r="E33" s="138">
        <v>90</v>
      </c>
      <c r="F33" s="31">
        <v>76</v>
      </c>
      <c r="G33" s="31">
        <v>50</v>
      </c>
      <c r="H33" s="31">
        <v>69</v>
      </c>
      <c r="I33" s="30">
        <v>70</v>
      </c>
      <c r="J33" s="30">
        <v>79</v>
      </c>
      <c r="K33" s="30">
        <v>81</v>
      </c>
      <c r="L33" s="30">
        <v>86</v>
      </c>
      <c r="M33" s="30">
        <v>59</v>
      </c>
      <c r="N33" s="30">
        <v>73</v>
      </c>
      <c r="O33" s="30">
        <f t="shared" si="0"/>
        <v>733</v>
      </c>
      <c r="P33" s="15">
        <f t="shared" si="1"/>
        <v>73.3</v>
      </c>
      <c r="Q33" s="106">
        <f t="shared" si="2"/>
        <v>22</v>
      </c>
      <c r="R33" s="15"/>
      <c r="S33" s="15"/>
      <c r="T33" s="15"/>
    </row>
    <row r="34" spans="1:20" ht="20.100000000000001" customHeight="1" x14ac:dyDescent="0.25">
      <c r="A34" s="121">
        <v>31</v>
      </c>
      <c r="B34" s="125"/>
      <c r="C34" s="184"/>
      <c r="D34" s="125"/>
      <c r="E34" s="138"/>
      <c r="F34" s="30"/>
      <c r="G34" s="31"/>
      <c r="H34" s="30"/>
      <c r="I34" s="30"/>
      <c r="J34" s="30"/>
      <c r="K34" s="31"/>
      <c r="L34" s="30"/>
      <c r="M34" s="30"/>
      <c r="N34" s="30"/>
      <c r="O34" s="30"/>
      <c r="P34" s="15"/>
      <c r="Q34" s="33"/>
      <c r="R34" s="15"/>
      <c r="S34" s="15"/>
      <c r="T34" s="15"/>
    </row>
    <row r="35" spans="1:20" ht="20.100000000000001" customHeight="1" x14ac:dyDescent="0.25">
      <c r="A35" s="121">
        <v>32</v>
      </c>
      <c r="B35" s="125"/>
      <c r="C35" s="184"/>
      <c r="D35" s="125"/>
      <c r="E35" s="138"/>
      <c r="F35" s="30"/>
      <c r="G35" s="30"/>
      <c r="H35" s="30"/>
      <c r="I35" s="30"/>
      <c r="J35" s="30"/>
      <c r="K35" s="30"/>
      <c r="L35" s="30"/>
      <c r="M35" s="30"/>
      <c r="N35" s="30"/>
      <c r="O35" s="30"/>
      <c r="P35" s="15"/>
      <c r="Q35" s="33"/>
      <c r="R35" s="15"/>
      <c r="S35" s="15"/>
      <c r="T35" s="15"/>
    </row>
    <row r="36" spans="1:20" ht="20.100000000000001" customHeight="1" x14ac:dyDescent="0.25">
      <c r="A36" s="121">
        <v>33</v>
      </c>
      <c r="B36" s="125"/>
      <c r="C36" s="184"/>
      <c r="D36" s="125"/>
      <c r="E36" s="138"/>
      <c r="F36" s="30"/>
      <c r="G36" s="31"/>
      <c r="H36" s="30"/>
      <c r="I36" s="30"/>
      <c r="J36" s="30"/>
      <c r="K36" s="30"/>
      <c r="L36" s="30"/>
      <c r="M36" s="30"/>
      <c r="N36" s="30"/>
      <c r="O36" s="30"/>
      <c r="P36" s="15"/>
      <c r="Q36" s="33"/>
      <c r="R36" s="15"/>
      <c r="S36" s="15"/>
      <c r="T36" s="15"/>
    </row>
    <row r="37" spans="1:20" ht="20.100000000000001" customHeight="1" x14ac:dyDescent="0.25">
      <c r="A37" s="137">
        <v>34</v>
      </c>
      <c r="B37" s="125"/>
      <c r="C37" s="184"/>
      <c r="D37" s="125"/>
      <c r="E37" s="138"/>
      <c r="F37" s="30"/>
      <c r="G37" s="30"/>
      <c r="H37" s="30"/>
      <c r="I37" s="30"/>
      <c r="J37" s="30"/>
      <c r="K37" s="30"/>
      <c r="L37" s="30"/>
      <c r="M37" s="30"/>
      <c r="N37" s="30"/>
      <c r="O37" s="30"/>
      <c r="P37" s="15"/>
      <c r="Q37" s="33"/>
      <c r="R37" s="15"/>
      <c r="S37" s="15"/>
      <c r="T37" s="15"/>
    </row>
    <row r="38" spans="1:20" ht="20.100000000000001" customHeight="1" x14ac:dyDescent="0.25">
      <c r="A38" s="137">
        <v>35</v>
      </c>
      <c r="B38" s="125"/>
      <c r="C38" s="184"/>
      <c r="D38" s="125"/>
      <c r="E38" s="138"/>
      <c r="F38" s="30"/>
      <c r="G38" s="30"/>
      <c r="H38" s="30"/>
      <c r="I38" s="30"/>
      <c r="J38" s="30"/>
      <c r="K38" s="30"/>
      <c r="L38" s="30"/>
      <c r="M38" s="30"/>
      <c r="N38" s="30"/>
      <c r="O38" s="30"/>
      <c r="P38" s="15"/>
      <c r="Q38" s="33"/>
      <c r="R38" s="15"/>
      <c r="S38" s="15"/>
      <c r="T38" s="15"/>
    </row>
    <row r="39" spans="1:20" ht="20.100000000000001" customHeight="1" x14ac:dyDescent="0.25">
      <c r="A39" s="137">
        <v>36</v>
      </c>
      <c r="B39" s="125"/>
      <c r="C39" s="184"/>
      <c r="D39" s="125"/>
      <c r="E39" s="138"/>
      <c r="F39" s="30"/>
      <c r="G39" s="31"/>
      <c r="H39" s="30"/>
      <c r="I39" s="30"/>
      <c r="J39" s="30"/>
      <c r="K39" s="30"/>
      <c r="L39" s="30"/>
      <c r="M39" s="30"/>
      <c r="N39" s="30"/>
      <c r="O39" s="30"/>
      <c r="P39" s="15"/>
      <c r="Q39" s="33"/>
      <c r="R39" s="15"/>
      <c r="S39" s="15"/>
      <c r="T39" s="15"/>
    </row>
    <row r="40" spans="1:20" ht="20.100000000000001" customHeight="1" x14ac:dyDescent="0.25">
      <c r="A40" s="121">
        <v>37</v>
      </c>
      <c r="B40" s="125"/>
      <c r="C40" s="184"/>
      <c r="D40" s="125"/>
      <c r="E40" s="138"/>
      <c r="F40" s="30"/>
      <c r="G40" s="30"/>
      <c r="H40" s="30"/>
      <c r="I40" s="30"/>
      <c r="J40" s="30"/>
      <c r="K40" s="30"/>
      <c r="L40" s="30"/>
      <c r="M40" s="30"/>
      <c r="N40" s="30"/>
      <c r="O40" s="30"/>
      <c r="P40" s="15"/>
      <c r="Q40" s="33"/>
      <c r="R40" s="15"/>
      <c r="S40" s="15"/>
      <c r="T40" s="15"/>
    </row>
    <row r="41" spans="1:20" ht="20.100000000000001" customHeight="1" x14ac:dyDescent="0.25">
      <c r="A41" s="121">
        <v>38</v>
      </c>
      <c r="B41" s="125"/>
      <c r="C41" s="184"/>
      <c r="D41" s="125"/>
      <c r="E41" s="138"/>
      <c r="F41" s="30"/>
      <c r="G41" s="30"/>
      <c r="H41" s="30"/>
      <c r="I41" s="30"/>
      <c r="J41" s="30"/>
      <c r="K41" s="30"/>
      <c r="L41" s="30"/>
      <c r="M41" s="30"/>
      <c r="N41" s="30"/>
      <c r="O41" s="30"/>
      <c r="P41" s="15"/>
      <c r="Q41" s="33"/>
      <c r="R41" s="15"/>
      <c r="S41" s="15"/>
      <c r="T41" s="15"/>
    </row>
    <row r="42" spans="1:20" ht="20.100000000000001" customHeight="1" x14ac:dyDescent="0.25">
      <c r="A42" s="137">
        <v>39</v>
      </c>
      <c r="B42" s="11"/>
      <c r="C42" s="11"/>
      <c r="D42" s="11"/>
      <c r="E42" s="138"/>
      <c r="F42" s="30"/>
      <c r="G42" s="31"/>
      <c r="H42" s="30"/>
      <c r="I42" s="30"/>
      <c r="J42" s="30"/>
      <c r="K42" s="30"/>
      <c r="L42" s="30"/>
      <c r="M42" s="30"/>
      <c r="N42" s="30"/>
      <c r="O42" s="30"/>
      <c r="P42" s="15"/>
      <c r="Q42" s="33"/>
      <c r="R42" s="15"/>
      <c r="S42" s="15"/>
      <c r="T42" s="15"/>
    </row>
    <row r="43" spans="1:20" ht="20.100000000000001" customHeight="1" x14ac:dyDescent="0.25">
      <c r="A43" s="121">
        <v>40</v>
      </c>
      <c r="B43" s="11"/>
      <c r="C43" s="12"/>
      <c r="D43" s="12"/>
      <c r="E43" s="138"/>
      <c r="F43" s="30"/>
      <c r="G43" s="30"/>
      <c r="H43" s="30"/>
      <c r="I43" s="30"/>
      <c r="J43" s="30"/>
      <c r="K43" s="31"/>
      <c r="L43" s="30"/>
      <c r="M43" s="30"/>
      <c r="N43" s="30"/>
      <c r="O43" s="30"/>
      <c r="P43" s="15"/>
      <c r="Q43" s="33"/>
      <c r="R43" s="15"/>
      <c r="S43" s="15"/>
      <c r="T43" s="15"/>
    </row>
    <row r="44" spans="1:20" ht="20.100000000000001" customHeight="1" x14ac:dyDescent="0.25">
      <c r="A44" s="137">
        <v>41</v>
      </c>
      <c r="B44" s="20"/>
      <c r="C44" s="20"/>
      <c r="D44" s="20"/>
      <c r="E44" s="139"/>
      <c r="F44" s="20"/>
      <c r="G44" s="20"/>
      <c r="H44" s="20"/>
      <c r="I44" s="20"/>
      <c r="J44" s="20"/>
      <c r="K44" s="20"/>
      <c r="L44" s="20"/>
      <c r="M44" s="20"/>
      <c r="N44" s="20"/>
      <c r="O44" s="20"/>
      <c r="P44" s="20"/>
      <c r="Q44" s="20"/>
      <c r="R44" s="20"/>
      <c r="S44" s="20"/>
      <c r="T44" s="20"/>
    </row>
    <row r="45" spans="1:20" ht="20.100000000000001" customHeight="1" x14ac:dyDescent="0.25">
      <c r="A45" s="121">
        <v>42</v>
      </c>
      <c r="B45" s="20"/>
      <c r="C45" s="20"/>
      <c r="D45" s="20"/>
      <c r="E45" s="139"/>
      <c r="F45" s="20"/>
      <c r="G45" s="20"/>
      <c r="H45" s="20"/>
      <c r="I45" s="20"/>
      <c r="J45" s="20"/>
      <c r="K45" s="20"/>
      <c r="L45" s="20"/>
      <c r="M45" s="20"/>
      <c r="N45" s="20"/>
      <c r="O45" s="20"/>
      <c r="P45" s="20"/>
      <c r="Q45" s="20"/>
      <c r="R45" s="20"/>
      <c r="S45" s="20"/>
      <c r="T45" s="20"/>
    </row>
    <row r="46" spans="1:20" ht="20.100000000000001" customHeight="1" x14ac:dyDescent="0.25">
      <c r="A46" s="107">
        <v>43</v>
      </c>
      <c r="B46" s="20"/>
      <c r="C46" s="20"/>
      <c r="D46" s="20"/>
      <c r="E46" s="20"/>
      <c r="F46" s="20"/>
      <c r="G46" s="20"/>
      <c r="H46" s="20"/>
      <c r="I46" s="20"/>
      <c r="J46" s="20"/>
      <c r="K46" s="20"/>
      <c r="L46" s="20"/>
      <c r="M46" s="20"/>
      <c r="N46" s="20"/>
      <c r="O46" s="20"/>
      <c r="P46" s="20"/>
      <c r="Q46" s="20"/>
      <c r="R46" s="20"/>
      <c r="S46" s="20"/>
      <c r="T46" s="20"/>
    </row>
    <row r="47" spans="1:20" ht="20.100000000000001" customHeight="1" x14ac:dyDescent="0.25">
      <c r="A47" s="16">
        <v>44</v>
      </c>
      <c r="B47" s="20"/>
      <c r="C47" s="20"/>
      <c r="D47" s="20"/>
      <c r="E47" s="20"/>
      <c r="F47" s="20"/>
      <c r="G47" s="20"/>
      <c r="H47" s="20"/>
      <c r="I47" s="20"/>
      <c r="J47" s="20"/>
      <c r="K47" s="20"/>
      <c r="L47" s="20"/>
      <c r="M47" s="20"/>
      <c r="N47" s="20"/>
      <c r="O47" s="20"/>
      <c r="P47" s="20"/>
      <c r="Q47" s="20"/>
      <c r="R47" s="20"/>
      <c r="S47" s="20"/>
      <c r="T47" s="20"/>
    </row>
    <row r="48" spans="1:20" ht="20.100000000000001" customHeight="1" x14ac:dyDescent="0.25">
      <c r="A48" s="107">
        <v>45</v>
      </c>
      <c r="B48" s="20"/>
      <c r="C48" s="20"/>
      <c r="D48" s="20"/>
      <c r="E48" s="20"/>
      <c r="F48" s="20"/>
      <c r="G48" s="20"/>
      <c r="H48" s="20"/>
      <c r="I48" s="20"/>
      <c r="J48" s="20"/>
      <c r="K48" s="20"/>
      <c r="L48" s="20"/>
      <c r="M48" s="20"/>
      <c r="N48" s="20"/>
      <c r="O48" s="20"/>
      <c r="P48" s="20"/>
      <c r="Q48" s="20"/>
      <c r="R48" s="20"/>
      <c r="S48" s="20"/>
      <c r="T48" s="20"/>
    </row>
    <row r="49" spans="1:20" ht="20.100000000000001" customHeight="1" x14ac:dyDescent="0.25">
      <c r="A49" s="16">
        <v>46</v>
      </c>
      <c r="B49" s="20"/>
      <c r="C49" s="20"/>
      <c r="D49" s="20"/>
      <c r="E49" s="20"/>
      <c r="F49" s="20"/>
      <c r="G49" s="20"/>
      <c r="H49" s="20"/>
      <c r="I49" s="20"/>
      <c r="J49" s="20"/>
      <c r="K49" s="20"/>
      <c r="L49" s="20"/>
      <c r="M49" s="20"/>
      <c r="N49" s="20"/>
      <c r="O49" s="20"/>
      <c r="P49" s="20"/>
      <c r="Q49" s="20"/>
      <c r="R49" s="20"/>
      <c r="S49" s="20"/>
      <c r="T49" s="20"/>
    </row>
    <row r="50" spans="1:20" ht="20.100000000000001" customHeight="1" x14ac:dyDescent="0.25">
      <c r="A50" s="107">
        <v>47</v>
      </c>
      <c r="B50" s="20"/>
      <c r="C50" s="20"/>
      <c r="D50" s="20"/>
      <c r="E50" s="20"/>
      <c r="F50" s="20"/>
      <c r="G50" s="20"/>
      <c r="H50" s="20"/>
      <c r="I50" s="20"/>
      <c r="J50" s="20"/>
      <c r="K50" s="20"/>
      <c r="L50" s="20"/>
      <c r="M50" s="20"/>
      <c r="N50" s="20"/>
      <c r="O50" s="20"/>
      <c r="P50" s="20"/>
      <c r="Q50" s="20"/>
      <c r="R50" s="20"/>
      <c r="S50" s="20"/>
      <c r="T50" s="20"/>
    </row>
    <row r="51" spans="1:20" ht="20.100000000000001" customHeight="1" x14ac:dyDescent="0.25">
      <c r="A51" s="16">
        <v>48</v>
      </c>
      <c r="B51" s="20"/>
      <c r="C51" s="20"/>
      <c r="D51" s="20"/>
      <c r="E51" s="20"/>
      <c r="F51" s="20"/>
      <c r="G51" s="20"/>
      <c r="H51" s="20"/>
      <c r="I51" s="20"/>
      <c r="J51" s="20"/>
      <c r="K51" s="20"/>
      <c r="L51" s="20"/>
      <c r="M51" s="20"/>
      <c r="N51" s="20"/>
      <c r="O51" s="20"/>
      <c r="P51" s="20"/>
      <c r="Q51" s="20"/>
      <c r="R51" s="20"/>
      <c r="S51" s="20"/>
      <c r="T51" s="20"/>
    </row>
    <row r="52" spans="1:20" ht="20.100000000000001" customHeight="1" x14ac:dyDescent="0.25">
      <c r="A52" s="107">
        <v>49</v>
      </c>
      <c r="B52" s="20"/>
      <c r="C52" s="20"/>
      <c r="D52" s="20"/>
      <c r="E52" s="20"/>
      <c r="F52" s="20"/>
      <c r="G52" s="20"/>
      <c r="H52" s="20"/>
      <c r="I52" s="20"/>
      <c r="J52" s="20"/>
      <c r="K52" s="20"/>
      <c r="L52" s="20"/>
      <c r="M52" s="20"/>
      <c r="N52" s="20"/>
      <c r="O52" s="20"/>
      <c r="P52" s="20"/>
      <c r="Q52" s="20"/>
      <c r="R52" s="20"/>
      <c r="S52" s="20"/>
      <c r="T52" s="20"/>
    </row>
    <row r="53" spans="1:20" ht="20.100000000000001" customHeight="1" x14ac:dyDescent="0.25">
      <c r="A53" s="16">
        <v>50</v>
      </c>
      <c r="B53" s="20"/>
      <c r="C53" s="20"/>
      <c r="D53" s="20"/>
      <c r="E53" s="20"/>
      <c r="F53" s="20"/>
      <c r="G53" s="20"/>
      <c r="H53" s="20"/>
      <c r="I53" s="20"/>
      <c r="J53" s="20"/>
      <c r="K53" s="20"/>
      <c r="L53" s="20"/>
      <c r="M53" s="20"/>
      <c r="N53" s="20"/>
      <c r="O53" s="20"/>
      <c r="P53" s="20"/>
      <c r="Q53" s="20"/>
      <c r="R53" s="20"/>
      <c r="S53" s="20"/>
      <c r="T53" s="20"/>
    </row>
    <row r="54" spans="1:20" ht="20.100000000000001" customHeight="1" x14ac:dyDescent="0.25">
      <c r="A54" s="107">
        <v>51</v>
      </c>
      <c r="B54" s="20"/>
      <c r="C54" s="20"/>
      <c r="D54" s="20"/>
      <c r="E54" s="20"/>
      <c r="F54" s="20"/>
      <c r="G54" s="20"/>
      <c r="H54" s="20"/>
      <c r="I54" s="20"/>
      <c r="J54" s="20"/>
      <c r="K54" s="20"/>
      <c r="L54" s="20"/>
      <c r="M54" s="20"/>
      <c r="N54" s="20"/>
      <c r="O54" s="20"/>
      <c r="P54" s="20"/>
      <c r="Q54" s="20"/>
      <c r="R54" s="20"/>
      <c r="S54" s="20"/>
      <c r="T54" s="20"/>
    </row>
    <row r="55" spans="1:20" ht="20.100000000000001" customHeight="1" x14ac:dyDescent="0.25">
      <c r="A55" s="16">
        <v>52</v>
      </c>
      <c r="B55" s="20"/>
      <c r="C55" s="20"/>
      <c r="D55" s="20"/>
      <c r="E55" s="20"/>
      <c r="F55" s="20"/>
      <c r="G55" s="20"/>
      <c r="H55" s="20"/>
      <c r="I55" s="20"/>
      <c r="J55" s="20"/>
      <c r="K55" s="20"/>
      <c r="L55" s="20"/>
      <c r="M55" s="20"/>
      <c r="N55" s="20"/>
      <c r="O55" s="20"/>
      <c r="P55" s="15"/>
      <c r="Q55" s="15"/>
      <c r="R55" s="15"/>
      <c r="S55" s="15"/>
      <c r="T55" s="15"/>
    </row>
    <row r="56" spans="1:20" ht="20.100000000000001" customHeight="1" x14ac:dyDescent="0.25">
      <c r="A56" s="107">
        <v>53</v>
      </c>
      <c r="B56" s="20"/>
      <c r="C56" s="20"/>
      <c r="D56" s="20"/>
      <c r="E56" s="20"/>
      <c r="F56" s="20"/>
      <c r="G56" s="20"/>
      <c r="H56" s="20"/>
      <c r="I56" s="20"/>
      <c r="J56" s="20"/>
      <c r="K56" s="20"/>
      <c r="L56" s="20"/>
      <c r="M56" s="20"/>
      <c r="N56" s="20"/>
      <c r="O56" s="20"/>
      <c r="P56" s="15"/>
      <c r="Q56" s="15"/>
      <c r="R56" s="15"/>
      <c r="S56" s="15"/>
      <c r="T56" s="15"/>
    </row>
    <row r="57" spans="1:20" ht="20.100000000000001" customHeight="1" x14ac:dyDescent="0.25">
      <c r="A57" s="16">
        <v>54</v>
      </c>
      <c r="B57" s="20"/>
      <c r="C57" s="20"/>
      <c r="D57" s="20"/>
      <c r="E57" s="20"/>
      <c r="F57" s="20"/>
      <c r="G57" s="20"/>
      <c r="H57" s="20"/>
      <c r="I57" s="20"/>
      <c r="J57" s="20"/>
      <c r="K57" s="20"/>
      <c r="L57" s="20"/>
      <c r="M57" s="20"/>
      <c r="N57" s="20"/>
      <c r="O57" s="20"/>
      <c r="P57" s="15"/>
      <c r="Q57" s="15"/>
      <c r="R57" s="15"/>
      <c r="S57" s="15"/>
      <c r="T57" s="15"/>
    </row>
    <row r="58" spans="1:20" ht="20.100000000000001" customHeight="1" x14ac:dyDescent="0.25">
      <c r="A58" s="107">
        <v>55</v>
      </c>
      <c r="B58" s="20"/>
      <c r="C58" s="20"/>
      <c r="D58" s="20"/>
      <c r="E58" s="20"/>
      <c r="F58" s="20"/>
      <c r="G58" s="20"/>
      <c r="H58" s="20"/>
      <c r="I58" s="20"/>
      <c r="J58" s="20"/>
      <c r="K58" s="20"/>
      <c r="L58" s="20"/>
      <c r="M58" s="20"/>
      <c r="N58" s="20"/>
      <c r="O58" s="20"/>
      <c r="P58" s="15"/>
      <c r="Q58" s="15"/>
      <c r="R58" s="15"/>
      <c r="S58" s="15"/>
      <c r="T58" s="15"/>
    </row>
  </sheetData>
  <mergeCells count="2">
    <mergeCell ref="A1:T1"/>
    <mergeCell ref="A2:T2"/>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58"/>
  <sheetViews>
    <sheetView topLeftCell="A24" workbookViewId="0">
      <selection activeCell="B33" sqref="B4:B33"/>
    </sheetView>
  </sheetViews>
  <sheetFormatPr defaultRowHeight="15" x14ac:dyDescent="0.25"/>
  <cols>
    <col min="1" max="1" width="6.7109375" style="14" customWidth="1"/>
    <col min="2" max="2" width="35.140625" bestFit="1" customWidth="1"/>
    <col min="3" max="3" width="4.7109375" customWidth="1"/>
    <col min="4" max="4" width="4.140625" customWidth="1"/>
    <col min="5" max="5" width="12" style="14" customWidth="1"/>
    <col min="6" max="7" width="10.5703125" style="14" customWidth="1"/>
  </cols>
  <sheetData>
    <row r="1" spans="1:9" ht="20.25" x14ac:dyDescent="0.25">
      <c r="A1" s="288" t="s">
        <v>60</v>
      </c>
      <c r="B1" s="289"/>
      <c r="C1" s="289"/>
      <c r="D1" s="289"/>
      <c r="E1" s="289"/>
      <c r="F1" s="289"/>
      <c r="G1" s="289"/>
      <c r="H1" s="289"/>
      <c r="I1" s="289"/>
    </row>
    <row r="2" spans="1:9" x14ac:dyDescent="0.25">
      <c r="A2" s="290" t="s">
        <v>64</v>
      </c>
      <c r="B2" s="291"/>
      <c r="C2" s="291"/>
      <c r="D2" s="291"/>
      <c r="E2" s="291"/>
      <c r="F2" s="291"/>
      <c r="G2" s="291"/>
      <c r="H2" s="291"/>
    </row>
    <row r="3" spans="1:9" ht="67.5" customHeight="1" thickBot="1" x14ac:dyDescent="0.3">
      <c r="A3" s="21" t="s">
        <v>24</v>
      </c>
      <c r="B3" s="22" t="s">
        <v>1</v>
      </c>
      <c r="C3" s="23" t="s">
        <v>2</v>
      </c>
      <c r="D3" s="22" t="s">
        <v>3</v>
      </c>
      <c r="E3" s="72" t="s">
        <v>26</v>
      </c>
      <c r="F3" s="72" t="s">
        <v>27</v>
      </c>
      <c r="G3" s="72" t="s">
        <v>16</v>
      </c>
      <c r="H3" s="123" t="s">
        <v>17</v>
      </c>
    </row>
    <row r="4" spans="1:9" ht="20.100000000000001" customHeight="1" x14ac:dyDescent="0.25">
      <c r="A4" s="136">
        <v>1</v>
      </c>
      <c r="B4" s="142"/>
      <c r="C4" s="156">
        <v>17</v>
      </c>
      <c r="D4" s="156" t="s">
        <v>20</v>
      </c>
      <c r="E4" s="33">
        <f>'11C (SS)Sem 1'!P4</f>
        <v>66</v>
      </c>
      <c r="F4" s="33">
        <f>'11C (SS)Sem 2'!P4</f>
        <v>71.7</v>
      </c>
      <c r="G4" s="33">
        <f>AVERAGE(E4:F4)</f>
        <v>68.849999999999994</v>
      </c>
      <c r="H4" s="20">
        <f>RANK(G4,$G$4:$G$33)</f>
        <v>25</v>
      </c>
    </row>
    <row r="5" spans="1:9" ht="20.100000000000001" customHeight="1" x14ac:dyDescent="0.25">
      <c r="A5" s="121">
        <v>2</v>
      </c>
      <c r="B5" s="142"/>
      <c r="C5" s="156">
        <v>16</v>
      </c>
      <c r="D5" s="156" t="s">
        <v>23</v>
      </c>
      <c r="E5" s="33">
        <f>'11C (SS)Sem 1'!P5</f>
        <v>81.900000000000006</v>
      </c>
      <c r="F5" s="33">
        <f>'11C (SS)Sem 2'!P5</f>
        <v>83.6</v>
      </c>
      <c r="G5" s="33">
        <f t="shared" ref="G5:G58" si="0">AVERAGE(E5:F5)</f>
        <v>82.75</v>
      </c>
      <c r="H5" s="20">
        <f t="shared" ref="H5:H33" si="1">RANK(G5,$G$4:$G$33)</f>
        <v>9</v>
      </c>
    </row>
    <row r="6" spans="1:9" ht="20.100000000000001" customHeight="1" x14ac:dyDescent="0.25">
      <c r="A6" s="137">
        <v>3</v>
      </c>
      <c r="B6" s="142"/>
      <c r="C6" s="156">
        <v>16</v>
      </c>
      <c r="D6" s="156" t="s">
        <v>20</v>
      </c>
      <c r="E6" s="33">
        <f>'11C (SS)Sem 1'!P6</f>
        <v>65.7</v>
      </c>
      <c r="F6" s="33">
        <f>'11C (SS)Sem 2'!P6</f>
        <v>69.099999999999994</v>
      </c>
      <c r="G6" s="33">
        <f t="shared" si="0"/>
        <v>67.400000000000006</v>
      </c>
      <c r="H6" s="20">
        <f t="shared" si="1"/>
        <v>26</v>
      </c>
    </row>
    <row r="7" spans="1:9" ht="20.100000000000001" customHeight="1" x14ac:dyDescent="0.25">
      <c r="A7" s="121">
        <v>4</v>
      </c>
      <c r="B7" s="142"/>
      <c r="C7" s="156">
        <v>14</v>
      </c>
      <c r="D7" s="156" t="s">
        <v>20</v>
      </c>
      <c r="E7" s="33">
        <f>'11C (SS)Sem 1'!P7</f>
        <v>87.5</v>
      </c>
      <c r="F7" s="33">
        <f>'11C (SS)Sem 2'!P7</f>
        <v>90.4</v>
      </c>
      <c r="G7" s="33">
        <f t="shared" si="0"/>
        <v>88.95</v>
      </c>
      <c r="H7" s="20">
        <f t="shared" si="1"/>
        <v>5</v>
      </c>
    </row>
    <row r="8" spans="1:9" ht="20.100000000000001" customHeight="1" x14ac:dyDescent="0.25">
      <c r="A8" s="121">
        <v>5</v>
      </c>
      <c r="B8" s="142"/>
      <c r="C8" s="156">
        <v>17</v>
      </c>
      <c r="D8" s="156" t="s">
        <v>23</v>
      </c>
      <c r="E8" s="33">
        <f>'11C (SS)Sem 1'!P8</f>
        <v>57.2</v>
      </c>
      <c r="F8" s="33">
        <f>'11C (SS)Sem 2'!P8</f>
        <v>60.6</v>
      </c>
      <c r="G8" s="33">
        <f t="shared" si="0"/>
        <v>58.900000000000006</v>
      </c>
      <c r="H8" s="20">
        <f t="shared" si="1"/>
        <v>30</v>
      </c>
    </row>
    <row r="9" spans="1:9" ht="20.100000000000001" customHeight="1" x14ac:dyDescent="0.25">
      <c r="A9" s="137">
        <v>6</v>
      </c>
      <c r="B9" s="142"/>
      <c r="C9" s="156">
        <v>16</v>
      </c>
      <c r="D9" s="156" t="s">
        <v>23</v>
      </c>
      <c r="E9" s="33">
        <f>'11C (SS)Sem 1'!P9</f>
        <v>74.7</v>
      </c>
      <c r="F9" s="33">
        <f>'11C (SS)Sem 2'!P9</f>
        <v>76.5</v>
      </c>
      <c r="G9" s="33">
        <f t="shared" si="0"/>
        <v>75.599999999999994</v>
      </c>
      <c r="H9" s="20">
        <f t="shared" si="1"/>
        <v>14</v>
      </c>
    </row>
    <row r="10" spans="1:9" ht="20.100000000000001" customHeight="1" x14ac:dyDescent="0.25">
      <c r="A10" s="121">
        <v>7</v>
      </c>
      <c r="B10" s="142"/>
      <c r="C10" s="156">
        <v>16</v>
      </c>
      <c r="D10" s="156" t="s">
        <v>20</v>
      </c>
      <c r="E10" s="33">
        <f>'11C (SS)Sem 1'!P10</f>
        <v>73.8</v>
      </c>
      <c r="F10" s="33">
        <f>'11C (SS)Sem 2'!P10</f>
        <v>76.5</v>
      </c>
      <c r="G10" s="33">
        <f t="shared" si="0"/>
        <v>75.150000000000006</v>
      </c>
      <c r="H10" s="20">
        <f t="shared" si="1"/>
        <v>15</v>
      </c>
    </row>
    <row r="11" spans="1:9" ht="20.100000000000001" customHeight="1" x14ac:dyDescent="0.25">
      <c r="A11" s="121">
        <v>8</v>
      </c>
      <c r="B11" s="142"/>
      <c r="C11" s="156">
        <v>16</v>
      </c>
      <c r="D11" s="156" t="s">
        <v>23</v>
      </c>
      <c r="E11" s="33">
        <f>'11C (SS)Sem 1'!P11</f>
        <v>90.8</v>
      </c>
      <c r="F11" s="33">
        <f>'11C (SS)Sem 2'!P11</f>
        <v>90.9</v>
      </c>
      <c r="G11" s="33">
        <f t="shared" si="0"/>
        <v>90.85</v>
      </c>
      <c r="H11" s="20">
        <f t="shared" si="1"/>
        <v>4</v>
      </c>
    </row>
    <row r="12" spans="1:9" ht="20.100000000000001" customHeight="1" x14ac:dyDescent="0.25">
      <c r="A12" s="137">
        <v>9</v>
      </c>
      <c r="B12" s="142"/>
      <c r="C12" s="156">
        <v>16</v>
      </c>
      <c r="D12" s="156" t="s">
        <v>20</v>
      </c>
      <c r="E12" s="33">
        <f>'11C (SS)Sem 1'!P12</f>
        <v>66.599999999999994</v>
      </c>
      <c r="F12" s="33">
        <f>'11C (SS)Sem 2'!P12</f>
        <v>71.599999999999994</v>
      </c>
      <c r="G12" s="33">
        <f t="shared" si="0"/>
        <v>69.099999999999994</v>
      </c>
      <c r="H12" s="20">
        <f t="shared" si="1"/>
        <v>24</v>
      </c>
    </row>
    <row r="13" spans="1:9" ht="20.100000000000001" customHeight="1" x14ac:dyDescent="0.25">
      <c r="A13" s="121">
        <v>10</v>
      </c>
      <c r="B13" s="142"/>
      <c r="C13" s="156">
        <v>16</v>
      </c>
      <c r="D13" s="156" t="s">
        <v>23</v>
      </c>
      <c r="E13" s="33">
        <f>'11C (SS)Sem 1'!P13</f>
        <v>62</v>
      </c>
      <c r="F13" s="33">
        <f>'11C (SS)Sem 2'!P13</f>
        <v>68.400000000000006</v>
      </c>
      <c r="G13" s="33">
        <f t="shared" si="0"/>
        <v>65.2</v>
      </c>
      <c r="H13" s="20">
        <f t="shared" si="1"/>
        <v>28</v>
      </c>
    </row>
    <row r="14" spans="1:9" ht="20.100000000000001" customHeight="1" x14ac:dyDescent="0.25">
      <c r="A14" s="137">
        <v>11</v>
      </c>
      <c r="B14" s="142"/>
      <c r="C14" s="156">
        <v>14</v>
      </c>
      <c r="D14" s="156" t="s">
        <v>23</v>
      </c>
      <c r="E14" s="33">
        <f>'11C (SS)Sem 1'!P14</f>
        <v>93.5</v>
      </c>
      <c r="F14" s="33">
        <f>'11C (SS)Sem 2'!P14</f>
        <v>95.8</v>
      </c>
      <c r="G14" s="33">
        <f t="shared" si="0"/>
        <v>94.65</v>
      </c>
      <c r="H14" s="20">
        <f t="shared" si="1"/>
        <v>2</v>
      </c>
    </row>
    <row r="15" spans="1:9" ht="20.100000000000001" customHeight="1" x14ac:dyDescent="0.25">
      <c r="A15" s="137">
        <v>12</v>
      </c>
      <c r="B15" s="142"/>
      <c r="C15" s="156">
        <v>16</v>
      </c>
      <c r="D15" s="156" t="s">
        <v>23</v>
      </c>
      <c r="E15" s="33">
        <f>'11C (SS)Sem 1'!P15</f>
        <v>61.6</v>
      </c>
      <c r="F15" s="33">
        <f>'11C (SS)Sem 2'!P15</f>
        <v>72.099999999999994</v>
      </c>
      <c r="G15" s="33">
        <f t="shared" si="0"/>
        <v>66.849999999999994</v>
      </c>
      <c r="H15" s="20">
        <f t="shared" si="1"/>
        <v>27</v>
      </c>
    </row>
    <row r="16" spans="1:9" ht="20.100000000000001" customHeight="1" x14ac:dyDescent="0.25">
      <c r="A16" s="137">
        <v>13</v>
      </c>
      <c r="B16" s="142"/>
      <c r="C16" s="156">
        <v>16</v>
      </c>
      <c r="D16" s="156" t="s">
        <v>20</v>
      </c>
      <c r="E16" s="33">
        <f>'11C (SS)Sem 1'!P16</f>
        <v>91.9</v>
      </c>
      <c r="F16" s="33">
        <f>'11C (SS)Sem 2'!P16</f>
        <v>95.1</v>
      </c>
      <c r="G16" s="33">
        <f t="shared" si="0"/>
        <v>93.5</v>
      </c>
      <c r="H16" s="20">
        <f t="shared" si="1"/>
        <v>3</v>
      </c>
    </row>
    <row r="17" spans="1:8" ht="20.100000000000001" customHeight="1" x14ac:dyDescent="0.25">
      <c r="A17" s="121">
        <v>14</v>
      </c>
      <c r="B17" s="142"/>
      <c r="C17" s="156">
        <v>15</v>
      </c>
      <c r="D17" s="156" t="s">
        <v>23</v>
      </c>
      <c r="E17" s="33">
        <f>'11C (SS)Sem 1'!P17</f>
        <v>67.599999999999994</v>
      </c>
      <c r="F17" s="33">
        <f>'11C (SS)Sem 2'!P17</f>
        <v>81.900000000000006</v>
      </c>
      <c r="G17" s="33">
        <f t="shared" si="0"/>
        <v>74.75</v>
      </c>
      <c r="H17" s="20">
        <f t="shared" si="1"/>
        <v>16</v>
      </c>
    </row>
    <row r="18" spans="1:8" ht="20.100000000000001" customHeight="1" x14ac:dyDescent="0.25">
      <c r="A18" s="137">
        <v>15</v>
      </c>
      <c r="B18" s="142"/>
      <c r="C18" s="156">
        <v>15</v>
      </c>
      <c r="D18" s="156" t="s">
        <v>23</v>
      </c>
      <c r="E18" s="33">
        <f>'11C (SS)Sem 1'!P18</f>
        <v>79</v>
      </c>
      <c r="F18" s="33">
        <f>'11C (SS)Sem 2'!P18</f>
        <v>87.7</v>
      </c>
      <c r="G18" s="33">
        <f t="shared" si="0"/>
        <v>83.35</v>
      </c>
      <c r="H18" s="20">
        <f t="shared" si="1"/>
        <v>8</v>
      </c>
    </row>
    <row r="19" spans="1:8" ht="20.100000000000001" customHeight="1" x14ac:dyDescent="0.25">
      <c r="A19" s="121">
        <v>16</v>
      </c>
      <c r="B19" s="142"/>
      <c r="C19" s="156">
        <v>16</v>
      </c>
      <c r="D19" s="156" t="s">
        <v>23</v>
      </c>
      <c r="E19" s="33">
        <f>'11C (SS)Sem 1'!P19</f>
        <v>66</v>
      </c>
      <c r="F19" s="33">
        <f>'11C (SS)Sem 2'!P19</f>
        <v>63.1</v>
      </c>
      <c r="G19" s="33">
        <f t="shared" si="0"/>
        <v>64.55</v>
      </c>
      <c r="H19" s="20">
        <f t="shared" si="1"/>
        <v>29</v>
      </c>
    </row>
    <row r="20" spans="1:8" ht="20.100000000000001" customHeight="1" x14ac:dyDescent="0.25">
      <c r="A20" s="121">
        <v>17</v>
      </c>
      <c r="B20" s="142"/>
      <c r="C20" s="156">
        <v>17</v>
      </c>
      <c r="D20" s="156" t="s">
        <v>23</v>
      </c>
      <c r="E20" s="33">
        <f>'11C (SS)Sem 1'!P20</f>
        <v>96.3</v>
      </c>
      <c r="F20" s="33">
        <f>'11C (SS)Sem 2'!P20</f>
        <v>97.6</v>
      </c>
      <c r="G20" s="33">
        <f t="shared" si="0"/>
        <v>96.949999999999989</v>
      </c>
      <c r="H20" s="20">
        <f t="shared" si="1"/>
        <v>1</v>
      </c>
    </row>
    <row r="21" spans="1:8" ht="20.100000000000001" customHeight="1" x14ac:dyDescent="0.25">
      <c r="A21" s="121">
        <v>18</v>
      </c>
      <c r="B21" s="142"/>
      <c r="C21" s="156">
        <v>16</v>
      </c>
      <c r="D21" s="156" t="s">
        <v>23</v>
      </c>
      <c r="E21" s="33">
        <f>'11C (SS)Sem 1'!P21</f>
        <v>68.5</v>
      </c>
      <c r="F21" s="33">
        <f>'11C (SS)Sem 2'!P21</f>
        <v>72.3</v>
      </c>
      <c r="G21" s="33">
        <f t="shared" si="0"/>
        <v>70.400000000000006</v>
      </c>
      <c r="H21" s="20">
        <f t="shared" si="1"/>
        <v>23</v>
      </c>
    </row>
    <row r="22" spans="1:8" ht="20.100000000000001" customHeight="1" x14ac:dyDescent="0.25">
      <c r="A22" s="137">
        <v>19</v>
      </c>
      <c r="B22" s="142"/>
      <c r="C22" s="156">
        <v>16</v>
      </c>
      <c r="D22" s="156" t="s">
        <v>20</v>
      </c>
      <c r="E22" s="33">
        <f>'11C (SS)Sem 1'!P22</f>
        <v>78.8</v>
      </c>
      <c r="F22" s="33">
        <f>'11C (SS)Sem 2'!P22</f>
        <v>86.7</v>
      </c>
      <c r="G22" s="33">
        <f t="shared" si="0"/>
        <v>82.75</v>
      </c>
      <c r="H22" s="20">
        <f t="shared" si="1"/>
        <v>9</v>
      </c>
    </row>
    <row r="23" spans="1:8" ht="20.100000000000001" customHeight="1" x14ac:dyDescent="0.25">
      <c r="A23" s="137">
        <v>20</v>
      </c>
      <c r="B23" s="142"/>
      <c r="C23" s="156">
        <v>17</v>
      </c>
      <c r="D23" s="156" t="s">
        <v>23</v>
      </c>
      <c r="E23" s="33">
        <f>'11C (SS)Sem 1'!P23</f>
        <v>71</v>
      </c>
      <c r="F23" s="33">
        <f>'11C (SS)Sem 2'!P23</f>
        <v>74.400000000000006</v>
      </c>
      <c r="G23" s="33">
        <f t="shared" si="0"/>
        <v>72.7</v>
      </c>
      <c r="H23" s="20">
        <f t="shared" si="1"/>
        <v>19</v>
      </c>
    </row>
    <row r="24" spans="1:8" ht="20.100000000000001" customHeight="1" x14ac:dyDescent="0.25">
      <c r="A24" s="137">
        <v>21</v>
      </c>
      <c r="B24" s="142"/>
      <c r="C24" s="156">
        <v>15</v>
      </c>
      <c r="D24" s="156" t="s">
        <v>23</v>
      </c>
      <c r="E24" s="33">
        <f>'11C (SS)Sem 1'!P24</f>
        <v>71.2</v>
      </c>
      <c r="F24" s="33">
        <f>'11C (SS)Sem 2'!P24</f>
        <v>77.099999999999994</v>
      </c>
      <c r="G24" s="33">
        <f t="shared" si="0"/>
        <v>74.150000000000006</v>
      </c>
      <c r="H24" s="20">
        <f t="shared" si="1"/>
        <v>17</v>
      </c>
    </row>
    <row r="25" spans="1:8" ht="20.100000000000001" customHeight="1" x14ac:dyDescent="0.25">
      <c r="A25" s="121">
        <v>22</v>
      </c>
      <c r="B25" s="142"/>
      <c r="C25" s="156">
        <v>16</v>
      </c>
      <c r="D25" s="156" t="s">
        <v>23</v>
      </c>
      <c r="E25" s="33">
        <f>'11C (SS)Sem 1'!P25</f>
        <v>65.8</v>
      </c>
      <c r="F25" s="33">
        <f>'11C (SS)Sem 2'!P25</f>
        <v>78.7</v>
      </c>
      <c r="G25" s="33">
        <f t="shared" si="0"/>
        <v>72.25</v>
      </c>
      <c r="H25" s="20">
        <f t="shared" si="1"/>
        <v>20</v>
      </c>
    </row>
    <row r="26" spans="1:8" ht="20.100000000000001" customHeight="1" x14ac:dyDescent="0.25">
      <c r="A26" s="121">
        <v>23</v>
      </c>
      <c r="B26" s="142"/>
      <c r="C26" s="156">
        <v>16</v>
      </c>
      <c r="D26" s="156" t="s">
        <v>23</v>
      </c>
      <c r="E26" s="33">
        <f>'11C (SS)Sem 1'!P26</f>
        <v>68.099999999999994</v>
      </c>
      <c r="F26" s="33">
        <f>'11C (SS)Sem 2'!P26</f>
        <v>75</v>
      </c>
      <c r="G26" s="33">
        <f t="shared" si="0"/>
        <v>71.55</v>
      </c>
      <c r="H26" s="20">
        <f t="shared" si="1"/>
        <v>22</v>
      </c>
    </row>
    <row r="27" spans="1:8" ht="20.100000000000001" customHeight="1" x14ac:dyDescent="0.25">
      <c r="A27" s="137">
        <v>24</v>
      </c>
      <c r="B27" s="142"/>
      <c r="C27" s="156">
        <v>16</v>
      </c>
      <c r="D27" s="156" t="s">
        <v>23</v>
      </c>
      <c r="E27" s="33">
        <f>'11C (SS)Sem 1'!P27</f>
        <v>84.5</v>
      </c>
      <c r="F27" s="33">
        <f>'11C (SS)Sem 2'!P27</f>
        <v>90.3</v>
      </c>
      <c r="G27" s="33">
        <f t="shared" si="0"/>
        <v>87.4</v>
      </c>
      <c r="H27" s="20">
        <f t="shared" si="1"/>
        <v>6</v>
      </c>
    </row>
    <row r="28" spans="1:8" ht="20.100000000000001" customHeight="1" x14ac:dyDescent="0.25">
      <c r="A28" s="121">
        <v>25</v>
      </c>
      <c r="B28" s="142"/>
      <c r="C28" s="156">
        <v>16</v>
      </c>
      <c r="D28" s="156" t="s">
        <v>23</v>
      </c>
      <c r="E28" s="33">
        <f>'11C (SS)Sem 1'!P28</f>
        <v>77.2</v>
      </c>
      <c r="F28" s="33">
        <f>'11C (SS)Sem 2'!P28</f>
        <v>80.900000000000006</v>
      </c>
      <c r="G28" s="33">
        <f t="shared" si="0"/>
        <v>79.050000000000011</v>
      </c>
      <c r="H28" s="20">
        <f t="shared" si="1"/>
        <v>11</v>
      </c>
    </row>
    <row r="29" spans="1:8" ht="20.100000000000001" customHeight="1" x14ac:dyDescent="0.25">
      <c r="A29" s="137">
        <v>26</v>
      </c>
      <c r="B29" s="142"/>
      <c r="C29" s="156">
        <v>16</v>
      </c>
      <c r="D29" s="156" t="s">
        <v>23</v>
      </c>
      <c r="E29" s="33">
        <f>'11C (SS)Sem 1'!P29</f>
        <v>83.2</v>
      </c>
      <c r="F29" s="33">
        <f>'11C (SS)Sem 2'!P29</f>
        <v>86.3</v>
      </c>
      <c r="G29" s="33">
        <f t="shared" si="0"/>
        <v>84.75</v>
      </c>
      <c r="H29" s="20">
        <f t="shared" si="1"/>
        <v>7</v>
      </c>
    </row>
    <row r="30" spans="1:8" ht="20.100000000000001" customHeight="1" x14ac:dyDescent="0.25">
      <c r="A30" s="137">
        <v>27</v>
      </c>
      <c r="B30" s="142"/>
      <c r="C30" s="156">
        <v>17</v>
      </c>
      <c r="D30" s="156" t="s">
        <v>20</v>
      </c>
      <c r="E30" s="33">
        <f>'11C (SS)Sem 1'!P30</f>
        <v>69.7</v>
      </c>
      <c r="F30" s="33">
        <f>'11C (SS)Sem 2'!P30</f>
        <v>76.8</v>
      </c>
      <c r="G30" s="33">
        <f t="shared" si="0"/>
        <v>73.25</v>
      </c>
      <c r="H30" s="20">
        <f t="shared" si="1"/>
        <v>18</v>
      </c>
    </row>
    <row r="31" spans="1:8" ht="20.100000000000001" customHeight="1" x14ac:dyDescent="0.25">
      <c r="A31" s="137">
        <v>28</v>
      </c>
      <c r="B31" s="142"/>
      <c r="C31" s="156">
        <v>16</v>
      </c>
      <c r="D31" s="156" t="s">
        <v>20</v>
      </c>
      <c r="E31" s="33">
        <f>'11C (SS)Sem 1'!P31</f>
        <v>77.3</v>
      </c>
      <c r="F31" s="33">
        <f>'11C (SS)Sem 2'!P31</f>
        <v>79</v>
      </c>
      <c r="G31" s="33">
        <f t="shared" si="0"/>
        <v>78.150000000000006</v>
      </c>
      <c r="H31" s="20">
        <f t="shared" si="1"/>
        <v>12</v>
      </c>
    </row>
    <row r="32" spans="1:8" ht="20.100000000000001" customHeight="1" x14ac:dyDescent="0.25">
      <c r="A32" s="121">
        <v>29</v>
      </c>
      <c r="B32" s="142"/>
      <c r="C32" s="156">
        <v>16</v>
      </c>
      <c r="D32" s="156" t="s">
        <v>23</v>
      </c>
      <c r="E32" s="33">
        <f>'11C (SS)Sem 1'!P32</f>
        <v>74.5</v>
      </c>
      <c r="F32" s="33">
        <f>'11C (SS)Sem 2'!P32</f>
        <v>77.2</v>
      </c>
      <c r="G32" s="33">
        <f t="shared" si="0"/>
        <v>75.849999999999994</v>
      </c>
      <c r="H32" s="20">
        <f t="shared" si="1"/>
        <v>13</v>
      </c>
    </row>
    <row r="33" spans="1:8" ht="20.100000000000001" customHeight="1" x14ac:dyDescent="0.25">
      <c r="A33" s="137">
        <v>30</v>
      </c>
      <c r="B33" s="142"/>
      <c r="C33" s="156">
        <v>16</v>
      </c>
      <c r="D33" s="156" t="s">
        <v>23</v>
      </c>
      <c r="E33" s="33">
        <f>'11C (SS)Sem 1'!P33</f>
        <v>69.900000000000006</v>
      </c>
      <c r="F33" s="33">
        <f>'11C (SS)Sem 2'!P33</f>
        <v>73.3</v>
      </c>
      <c r="G33" s="33">
        <f t="shared" si="0"/>
        <v>71.599999999999994</v>
      </c>
      <c r="H33" s="20">
        <f t="shared" si="1"/>
        <v>21</v>
      </c>
    </row>
    <row r="34" spans="1:8" ht="20.100000000000001" customHeight="1" x14ac:dyDescent="0.25">
      <c r="A34" s="121">
        <v>31</v>
      </c>
      <c r="B34" s="125"/>
      <c r="C34" s="184"/>
      <c r="D34" s="125"/>
      <c r="E34" s="33">
        <f>'11C (SS)Sem 1'!P34</f>
        <v>0</v>
      </c>
      <c r="F34" s="33">
        <f>'11C (SS)Sem 2'!P34</f>
        <v>0</v>
      </c>
      <c r="G34" s="33">
        <f t="shared" si="0"/>
        <v>0</v>
      </c>
      <c r="H34" s="20"/>
    </row>
    <row r="35" spans="1:8" ht="20.100000000000001" customHeight="1" x14ac:dyDescent="0.25">
      <c r="A35" s="121">
        <v>32</v>
      </c>
      <c r="B35" s="125"/>
      <c r="C35" s="184"/>
      <c r="D35" s="125"/>
      <c r="E35" s="33">
        <f>'11C (SS)Sem 1'!P35</f>
        <v>0</v>
      </c>
      <c r="F35" s="33">
        <f>'11C (SS)Sem 2'!P35</f>
        <v>0</v>
      </c>
      <c r="G35" s="33">
        <f t="shared" si="0"/>
        <v>0</v>
      </c>
      <c r="H35" s="20"/>
    </row>
    <row r="36" spans="1:8" ht="20.100000000000001" customHeight="1" x14ac:dyDescent="0.25">
      <c r="A36" s="121">
        <v>33</v>
      </c>
      <c r="B36" s="125"/>
      <c r="C36" s="184"/>
      <c r="D36" s="125"/>
      <c r="E36" s="33">
        <f>'11C (SS)Sem 1'!P36</f>
        <v>0</v>
      </c>
      <c r="F36" s="33">
        <f>'11C (SS)Sem 2'!P36</f>
        <v>0</v>
      </c>
      <c r="G36" s="33">
        <f t="shared" si="0"/>
        <v>0</v>
      </c>
      <c r="H36" s="20"/>
    </row>
    <row r="37" spans="1:8" ht="20.100000000000001" customHeight="1" x14ac:dyDescent="0.25">
      <c r="A37" s="137">
        <v>34</v>
      </c>
      <c r="B37" s="125"/>
      <c r="C37" s="184"/>
      <c r="D37" s="125"/>
      <c r="E37" s="33">
        <f>'11C (SS)Sem 1'!P37</f>
        <v>0</v>
      </c>
      <c r="F37" s="33">
        <f>'11C (SS)Sem 2'!P37</f>
        <v>0</v>
      </c>
      <c r="G37" s="33">
        <f t="shared" si="0"/>
        <v>0</v>
      </c>
      <c r="H37" s="20"/>
    </row>
    <row r="38" spans="1:8" ht="20.100000000000001" customHeight="1" x14ac:dyDescent="0.25">
      <c r="A38" s="137">
        <v>35</v>
      </c>
      <c r="B38" s="125"/>
      <c r="C38" s="184"/>
      <c r="D38" s="125"/>
      <c r="E38" s="33">
        <f>'11C (SS)Sem 1'!P38</f>
        <v>0</v>
      </c>
      <c r="F38" s="33">
        <f>'11C (SS)Sem 2'!P38</f>
        <v>0</v>
      </c>
      <c r="G38" s="33">
        <f t="shared" si="0"/>
        <v>0</v>
      </c>
      <c r="H38" s="20"/>
    </row>
    <row r="39" spans="1:8" ht="20.100000000000001" customHeight="1" x14ac:dyDescent="0.25">
      <c r="A39" s="137">
        <v>36</v>
      </c>
      <c r="B39" s="125"/>
      <c r="C39" s="184"/>
      <c r="D39" s="125"/>
      <c r="E39" s="33">
        <f>'11C (SS)Sem 1'!P39</f>
        <v>0</v>
      </c>
      <c r="F39" s="33">
        <f>'11C (SS)Sem 2'!P39</f>
        <v>0</v>
      </c>
      <c r="G39" s="33">
        <f t="shared" si="0"/>
        <v>0</v>
      </c>
      <c r="H39" s="20"/>
    </row>
    <row r="40" spans="1:8" ht="20.100000000000001" customHeight="1" x14ac:dyDescent="0.25">
      <c r="A40" s="121">
        <v>37</v>
      </c>
      <c r="B40" s="125"/>
      <c r="C40" s="184"/>
      <c r="D40" s="125"/>
      <c r="E40" s="33">
        <f>'11C (SS)Sem 1'!P40</f>
        <v>0</v>
      </c>
      <c r="F40" s="33">
        <f>'11C (SS)Sem 2'!P40</f>
        <v>0</v>
      </c>
      <c r="G40" s="33">
        <f t="shared" si="0"/>
        <v>0</v>
      </c>
      <c r="H40" s="20"/>
    </row>
    <row r="41" spans="1:8" ht="20.100000000000001" customHeight="1" x14ac:dyDescent="0.25">
      <c r="A41" s="187">
        <v>38</v>
      </c>
      <c r="B41" s="125"/>
      <c r="C41" s="184"/>
      <c r="D41" s="125"/>
      <c r="E41" s="33">
        <f>'11C (SS)Sem 1'!P41</f>
        <v>0</v>
      </c>
      <c r="F41" s="33">
        <f>'11C (SS)Sem 2'!P41</f>
        <v>0</v>
      </c>
      <c r="G41" s="33">
        <f t="shared" si="0"/>
        <v>0</v>
      </c>
      <c r="H41" s="20"/>
    </row>
    <row r="42" spans="1:8" ht="20.100000000000001" customHeight="1" x14ac:dyDescent="0.25">
      <c r="A42" s="121">
        <v>39</v>
      </c>
      <c r="B42" s="20"/>
      <c r="C42" s="20"/>
      <c r="D42" s="20"/>
      <c r="E42" s="33">
        <f>'11C (SS)Sem 1'!P42</f>
        <v>0</v>
      </c>
      <c r="F42" s="15">
        <f>'11C (SS)Sem 2'!P42</f>
        <v>0</v>
      </c>
      <c r="G42" s="33">
        <f t="shared" si="0"/>
        <v>0</v>
      </c>
      <c r="H42" s="15"/>
    </row>
    <row r="43" spans="1:8" ht="20.100000000000001" customHeight="1" x14ac:dyDescent="0.25">
      <c r="A43" s="121">
        <v>40</v>
      </c>
      <c r="B43" s="20"/>
      <c r="C43" s="20"/>
      <c r="D43" s="20"/>
      <c r="E43" s="33">
        <f>'11C (SS)Sem 1'!P43</f>
        <v>0</v>
      </c>
      <c r="F43" s="15">
        <f>'11C (SS)Sem 2'!P43</f>
        <v>0</v>
      </c>
      <c r="G43" s="33">
        <f t="shared" si="0"/>
        <v>0</v>
      </c>
      <c r="H43" s="15"/>
    </row>
    <row r="44" spans="1:8" ht="20.100000000000001" customHeight="1" x14ac:dyDescent="0.25">
      <c r="A44" s="121">
        <v>41</v>
      </c>
      <c r="B44" s="20"/>
      <c r="C44" s="20"/>
      <c r="D44" s="20"/>
      <c r="E44" s="33">
        <f>'11C (SS)Sem 1'!P44</f>
        <v>0</v>
      </c>
      <c r="F44" s="15">
        <f>'11C (SS)Sem 2'!P44</f>
        <v>0</v>
      </c>
      <c r="G44" s="33">
        <f t="shared" si="0"/>
        <v>0</v>
      </c>
      <c r="H44" s="15"/>
    </row>
    <row r="45" spans="1:8" ht="20.100000000000001" customHeight="1" x14ac:dyDescent="0.25">
      <c r="A45" s="121">
        <v>42</v>
      </c>
      <c r="B45" s="20"/>
      <c r="C45" s="20"/>
      <c r="D45" s="20"/>
      <c r="E45" s="33">
        <f>'11C (SS)Sem 1'!P45</f>
        <v>0</v>
      </c>
      <c r="F45" s="15">
        <f>'11C (SS)Sem 2'!P45</f>
        <v>0</v>
      </c>
      <c r="G45" s="33">
        <f t="shared" si="0"/>
        <v>0</v>
      </c>
      <c r="H45" s="15"/>
    </row>
    <row r="46" spans="1:8" ht="20.100000000000001" customHeight="1" x14ac:dyDescent="0.25">
      <c r="A46" s="121">
        <v>43</v>
      </c>
      <c r="B46" s="20"/>
      <c r="C46" s="20"/>
      <c r="D46" s="20"/>
      <c r="E46" s="33">
        <f>'11C (SS)Sem 1'!P46</f>
        <v>0</v>
      </c>
      <c r="F46" s="15">
        <f>'11C (SS)Sem 2'!P46</f>
        <v>0</v>
      </c>
      <c r="G46" s="33">
        <f t="shared" si="0"/>
        <v>0</v>
      </c>
      <c r="H46" s="15"/>
    </row>
    <row r="47" spans="1:8" ht="20.100000000000001" customHeight="1" x14ac:dyDescent="0.25">
      <c r="A47" s="121">
        <v>44</v>
      </c>
      <c r="B47" s="20"/>
      <c r="C47" s="20"/>
      <c r="D47" s="20"/>
      <c r="E47" s="33">
        <f>'11C (SS)Sem 1'!P47</f>
        <v>0</v>
      </c>
      <c r="F47" s="15">
        <f>'11C (SS)Sem 2'!P47</f>
        <v>0</v>
      </c>
      <c r="G47" s="33">
        <f t="shared" si="0"/>
        <v>0</v>
      </c>
      <c r="H47" s="15"/>
    </row>
    <row r="48" spans="1:8" ht="20.100000000000001" customHeight="1" x14ac:dyDescent="0.25">
      <c r="A48" s="121">
        <v>45</v>
      </c>
      <c r="B48" s="20"/>
      <c r="C48" s="20"/>
      <c r="D48" s="20"/>
      <c r="E48" s="33">
        <f>'11C (SS)Sem 1'!P48</f>
        <v>0</v>
      </c>
      <c r="F48" s="15">
        <f>'11C (SS)Sem 2'!P48</f>
        <v>0</v>
      </c>
      <c r="G48" s="33">
        <f t="shared" si="0"/>
        <v>0</v>
      </c>
      <c r="H48" s="15"/>
    </row>
    <row r="49" spans="1:8" ht="20.100000000000001" customHeight="1" x14ac:dyDescent="0.25">
      <c r="A49" s="121">
        <v>46</v>
      </c>
      <c r="B49" s="20"/>
      <c r="C49" s="20"/>
      <c r="D49" s="20"/>
      <c r="E49" s="33">
        <f>'11C (SS)Sem 1'!P49</f>
        <v>0</v>
      </c>
      <c r="F49" s="15">
        <f>'11C (SS)Sem 2'!P49</f>
        <v>0</v>
      </c>
      <c r="G49" s="33">
        <f t="shared" si="0"/>
        <v>0</v>
      </c>
      <c r="H49" s="15"/>
    </row>
    <row r="50" spans="1:8" ht="20.100000000000001" customHeight="1" x14ac:dyDescent="0.25">
      <c r="A50" s="121">
        <v>47</v>
      </c>
      <c r="B50" s="20"/>
      <c r="C50" s="20"/>
      <c r="D50" s="20"/>
      <c r="E50" s="33">
        <f>'11C (SS)Sem 1'!P50</f>
        <v>0</v>
      </c>
      <c r="F50" s="15">
        <f>'11C (SS)Sem 2'!P50</f>
        <v>0</v>
      </c>
      <c r="G50" s="33">
        <f t="shared" si="0"/>
        <v>0</v>
      </c>
      <c r="H50" s="15"/>
    </row>
    <row r="51" spans="1:8" ht="20.100000000000001" customHeight="1" x14ac:dyDescent="0.25">
      <c r="A51" s="121">
        <v>48</v>
      </c>
      <c r="B51" s="20"/>
      <c r="C51" s="20"/>
      <c r="D51" s="20"/>
      <c r="E51" s="33">
        <f>'11C (SS)Sem 1'!P51</f>
        <v>0</v>
      </c>
      <c r="F51" s="15">
        <f>'11C (SS)Sem 2'!P51</f>
        <v>0</v>
      </c>
      <c r="G51" s="33">
        <f t="shared" si="0"/>
        <v>0</v>
      </c>
      <c r="H51" s="15"/>
    </row>
    <row r="52" spans="1:8" ht="20.100000000000001" customHeight="1" x14ac:dyDescent="0.25">
      <c r="A52" s="121">
        <v>49</v>
      </c>
      <c r="B52" s="20"/>
      <c r="C52" s="20"/>
      <c r="D52" s="20"/>
      <c r="E52" s="33">
        <f>'11C (SS)Sem 1'!P52</f>
        <v>0</v>
      </c>
      <c r="F52" s="15">
        <f>'11C (SS)Sem 2'!P52</f>
        <v>0</v>
      </c>
      <c r="G52" s="33">
        <f t="shared" si="0"/>
        <v>0</v>
      </c>
      <c r="H52" s="15"/>
    </row>
    <row r="53" spans="1:8" ht="20.100000000000001" customHeight="1" x14ac:dyDescent="0.25">
      <c r="A53" s="121">
        <v>50</v>
      </c>
      <c r="B53" s="20"/>
      <c r="C53" s="20"/>
      <c r="D53" s="20"/>
      <c r="E53" s="33">
        <f>'11C (SS)Sem 1'!P53</f>
        <v>0</v>
      </c>
      <c r="F53" s="15">
        <f>'11C (SS)Sem 2'!P53</f>
        <v>0</v>
      </c>
      <c r="G53" s="33">
        <f t="shared" si="0"/>
        <v>0</v>
      </c>
      <c r="H53" s="15"/>
    </row>
    <row r="54" spans="1:8" ht="20.100000000000001" customHeight="1" x14ac:dyDescent="0.25">
      <c r="A54" s="121">
        <v>51</v>
      </c>
      <c r="B54" s="20"/>
      <c r="C54" s="20"/>
      <c r="D54" s="20"/>
      <c r="E54" s="33">
        <f>'11C (SS)Sem 1'!P54</f>
        <v>0</v>
      </c>
      <c r="F54" s="15">
        <f>'11C (SS)Sem 2'!P54</f>
        <v>0</v>
      </c>
      <c r="G54" s="33">
        <f t="shared" si="0"/>
        <v>0</v>
      </c>
      <c r="H54" s="15"/>
    </row>
    <row r="55" spans="1:8" ht="20.100000000000001" customHeight="1" x14ac:dyDescent="0.25">
      <c r="A55" s="121">
        <v>52</v>
      </c>
      <c r="B55" s="20"/>
      <c r="C55" s="20"/>
      <c r="D55" s="20"/>
      <c r="E55" s="33">
        <f>'11C (SS)Sem 1'!P55</f>
        <v>0</v>
      </c>
      <c r="F55" s="15">
        <f>'11C (SS)Sem 2'!P55</f>
        <v>0</v>
      </c>
      <c r="G55" s="33">
        <f t="shared" si="0"/>
        <v>0</v>
      </c>
      <c r="H55" s="15"/>
    </row>
    <row r="56" spans="1:8" ht="20.100000000000001" customHeight="1" x14ac:dyDescent="0.25">
      <c r="A56" s="121">
        <v>53</v>
      </c>
      <c r="B56" s="20"/>
      <c r="C56" s="20"/>
      <c r="D56" s="20"/>
      <c r="E56" s="33">
        <f>'11C (SS)Sem 1'!P56</f>
        <v>0</v>
      </c>
      <c r="F56" s="15">
        <f>'11C (SS)Sem 2'!P56</f>
        <v>0</v>
      </c>
      <c r="G56" s="33">
        <f t="shared" si="0"/>
        <v>0</v>
      </c>
      <c r="H56" s="15"/>
    </row>
    <row r="57" spans="1:8" ht="20.100000000000001" customHeight="1" x14ac:dyDescent="0.25">
      <c r="A57" s="121">
        <v>54</v>
      </c>
      <c r="B57" s="20"/>
      <c r="C57" s="20"/>
      <c r="D57" s="20"/>
      <c r="E57" s="33">
        <f>'11C (SS)Sem 1'!P57</f>
        <v>0</v>
      </c>
      <c r="F57" s="15">
        <f>'11C (SS)Sem 2'!P57</f>
        <v>0</v>
      </c>
      <c r="G57" s="33">
        <f t="shared" si="0"/>
        <v>0</v>
      </c>
      <c r="H57" s="15"/>
    </row>
    <row r="58" spans="1:8" ht="20.100000000000001" customHeight="1" x14ac:dyDescent="0.25">
      <c r="A58" s="121">
        <v>55</v>
      </c>
      <c r="B58" s="20"/>
      <c r="C58" s="20"/>
      <c r="D58" s="20"/>
      <c r="E58" s="33">
        <f>'11C (SS)Sem 1'!P58</f>
        <v>0</v>
      </c>
      <c r="F58" s="15">
        <f>'11C (SS)Sem 2'!P58</f>
        <v>0</v>
      </c>
      <c r="G58" s="33">
        <f t="shared" si="0"/>
        <v>0</v>
      </c>
      <c r="H58" s="15"/>
    </row>
  </sheetData>
  <mergeCells count="2">
    <mergeCell ref="A1:I1"/>
    <mergeCell ref="A2:H2"/>
  </mergeCells>
  <pageMargins left="0.7" right="0.7" top="0.75" bottom="0.75" header="0.3" footer="0.3"/>
  <pageSetup paperSize="9" scale="85" fitToHeight="0" orientation="portrait" verticalDpi="0"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244"/>
  <sheetViews>
    <sheetView view="pageBreakPreview" zoomScale="60" zoomScaleNormal="100" workbookViewId="0">
      <selection activeCell="B6" sqref="B6:B140"/>
    </sheetView>
  </sheetViews>
  <sheetFormatPr defaultRowHeight="15" x14ac:dyDescent="0.25"/>
  <cols>
    <col min="1" max="1" width="4" customWidth="1"/>
    <col min="2" max="2" width="35.28515625" customWidth="1"/>
    <col min="3" max="4" width="4.140625" style="10" customWidth="1"/>
    <col min="6" max="6" width="6" customWidth="1"/>
    <col min="7" max="7" width="7" customWidth="1"/>
    <col min="8" max="10" width="6.28515625" customWidth="1"/>
    <col min="11" max="11" width="5.85546875" customWidth="1"/>
    <col min="12" max="12" width="6.5703125" customWidth="1"/>
    <col min="13" max="13" width="5.5703125" customWidth="1"/>
    <col min="14" max="14" width="6.7109375" customWidth="1"/>
    <col min="15" max="15" width="6.140625" customWidth="1"/>
    <col min="16" max="16" width="6.28515625" customWidth="1"/>
    <col min="17" max="17" width="7.7109375" style="204" customWidth="1"/>
    <col min="18" max="18" width="6.140625" customWidth="1"/>
    <col min="19" max="19" width="7.85546875" customWidth="1"/>
    <col min="20" max="21" width="5" style="37" customWidth="1"/>
    <col min="22" max="22" width="4.7109375" customWidth="1"/>
    <col min="23" max="23" width="30.85546875" customWidth="1"/>
    <col min="24" max="24" width="3.85546875" customWidth="1"/>
    <col min="25" max="25" width="3.7109375" customWidth="1"/>
  </cols>
  <sheetData>
    <row r="1" spans="1:24" ht="20.25" x14ac:dyDescent="0.25">
      <c r="A1" s="272" t="s">
        <v>66</v>
      </c>
      <c r="B1" s="273"/>
      <c r="C1" s="273"/>
      <c r="D1" s="273"/>
      <c r="E1" s="273"/>
      <c r="F1" s="273"/>
      <c r="G1" s="273"/>
      <c r="H1" s="273"/>
      <c r="I1" s="273"/>
      <c r="J1" s="273"/>
      <c r="K1" s="273"/>
      <c r="L1" s="273"/>
      <c r="M1" s="273"/>
      <c r="N1" s="273"/>
      <c r="O1" s="273"/>
      <c r="P1" s="273"/>
      <c r="Q1" s="273"/>
      <c r="R1" s="273"/>
      <c r="S1" s="273"/>
      <c r="T1" s="273"/>
      <c r="U1" s="274"/>
    </row>
    <row r="2" spans="1:24" ht="18.75" customHeight="1" x14ac:dyDescent="0.25">
      <c r="A2" s="89"/>
      <c r="B2" s="90"/>
      <c r="C2" s="90"/>
      <c r="D2" s="90"/>
      <c r="E2" s="90"/>
      <c r="F2" s="90"/>
      <c r="G2" s="90"/>
      <c r="H2" s="90"/>
      <c r="I2" s="90"/>
      <c r="J2" s="90"/>
      <c r="K2" s="90"/>
      <c r="L2" s="90"/>
      <c r="M2" s="90"/>
      <c r="N2" s="90"/>
      <c r="O2" s="90"/>
      <c r="P2" s="90"/>
      <c r="Q2" s="199"/>
      <c r="R2" s="90"/>
      <c r="S2" s="90"/>
      <c r="T2" s="35"/>
      <c r="U2" s="36"/>
    </row>
    <row r="3" spans="1:24" x14ac:dyDescent="0.25">
      <c r="A3" s="275" t="s">
        <v>65</v>
      </c>
      <c r="B3" s="275"/>
      <c r="C3" s="275"/>
      <c r="D3" s="275"/>
      <c r="E3" s="275"/>
      <c r="F3" s="275"/>
      <c r="G3" s="275"/>
      <c r="H3" s="275"/>
      <c r="I3" s="275"/>
      <c r="J3" s="275"/>
      <c r="K3" s="275"/>
      <c r="L3" s="275"/>
      <c r="M3" s="275"/>
      <c r="N3" s="275"/>
      <c r="O3" s="275"/>
      <c r="P3" s="275"/>
      <c r="Q3" s="275"/>
      <c r="R3" s="275"/>
      <c r="S3" s="275"/>
      <c r="T3" s="275"/>
      <c r="U3" s="275"/>
      <c r="V3" s="3"/>
      <c r="W3" s="3"/>
      <c r="X3" s="3"/>
    </row>
    <row r="4" spans="1:24" ht="15.75" thickBot="1" x14ac:dyDescent="0.3">
      <c r="A4" s="4"/>
      <c r="B4" s="4"/>
      <c r="C4" s="4"/>
      <c r="D4" s="4"/>
      <c r="E4" s="4"/>
      <c r="F4" s="4"/>
      <c r="G4" s="4"/>
      <c r="H4" s="4"/>
      <c r="I4" s="4"/>
      <c r="J4" s="4"/>
      <c r="K4" s="4"/>
      <c r="L4" s="4"/>
      <c r="M4" s="4"/>
      <c r="N4" s="4"/>
      <c r="O4" s="4"/>
      <c r="P4" s="4"/>
      <c r="Q4" s="200"/>
      <c r="R4" s="4"/>
      <c r="S4" s="4"/>
      <c r="T4" s="4"/>
      <c r="U4" s="4"/>
      <c r="V4" s="3"/>
      <c r="W4" s="3"/>
      <c r="X4" s="3"/>
    </row>
    <row r="5" spans="1:24" ht="46.5" customHeight="1" thickBot="1" x14ac:dyDescent="0.3">
      <c r="A5" s="76" t="s">
        <v>28</v>
      </c>
      <c r="B5" s="76" t="s">
        <v>1</v>
      </c>
      <c r="C5" s="80" t="s">
        <v>2</v>
      </c>
      <c r="D5" s="80" t="s">
        <v>3</v>
      </c>
      <c r="E5" s="25" t="s">
        <v>25</v>
      </c>
      <c r="F5" s="25" t="s">
        <v>4</v>
      </c>
      <c r="G5" s="25" t="s">
        <v>5</v>
      </c>
      <c r="H5" s="25" t="s">
        <v>6</v>
      </c>
      <c r="I5" s="25" t="s">
        <v>7</v>
      </c>
      <c r="J5" s="25" t="s">
        <v>8</v>
      </c>
      <c r="K5" s="25" t="s">
        <v>9</v>
      </c>
      <c r="L5" s="25" t="s">
        <v>12</v>
      </c>
      <c r="M5" s="27" t="s">
        <v>31</v>
      </c>
      <c r="N5" s="27" t="s">
        <v>13</v>
      </c>
      <c r="O5" s="25" t="s">
        <v>14</v>
      </c>
      <c r="P5" s="27" t="s">
        <v>15</v>
      </c>
      <c r="Q5" s="201" t="s">
        <v>16</v>
      </c>
      <c r="R5" s="25" t="s">
        <v>17</v>
      </c>
      <c r="S5" s="25" t="s">
        <v>18</v>
      </c>
      <c r="T5" s="82" t="s">
        <v>19</v>
      </c>
      <c r="U5"/>
    </row>
    <row r="6" spans="1:24" ht="17.25" customHeight="1" thickBot="1" x14ac:dyDescent="0.3">
      <c r="A6" s="276">
        <v>1</v>
      </c>
      <c r="B6" s="247"/>
      <c r="C6" s="253">
        <v>17</v>
      </c>
      <c r="D6" s="254" t="s">
        <v>20</v>
      </c>
      <c r="E6" s="29" t="s">
        <v>21</v>
      </c>
      <c r="F6" s="30">
        <f>'12A Sem 1'!E4</f>
        <v>67</v>
      </c>
      <c r="G6" s="30">
        <f>'12A Sem 1'!F4</f>
        <v>88</v>
      </c>
      <c r="H6" s="30">
        <f>'12A Sem 1'!G4</f>
        <v>51</v>
      </c>
      <c r="I6" s="30">
        <f>'12A Sem 1'!H4</f>
        <v>62</v>
      </c>
      <c r="J6" s="30">
        <f>'12A Sem 1'!I4</f>
        <v>59</v>
      </c>
      <c r="K6" s="30">
        <f>'12A Sem 1'!J4</f>
        <v>75</v>
      </c>
      <c r="L6" s="30">
        <f>'12A Sem 1'!K4</f>
        <v>71</v>
      </c>
      <c r="M6" s="30">
        <f>'12A Sem 1'!L4</f>
        <v>86</v>
      </c>
      <c r="N6" s="30">
        <f>'12A Sem 1'!M4</f>
        <v>82</v>
      </c>
      <c r="O6" s="30">
        <f>'12A Sem 1'!N4</f>
        <v>94</v>
      </c>
      <c r="P6" s="30">
        <f>'12A Sem 1'!O4</f>
        <v>735</v>
      </c>
      <c r="Q6" s="198">
        <f>'12A Sem 1'!P4</f>
        <v>73.5</v>
      </c>
      <c r="R6" s="30">
        <f>'12A Sem 1'!Q4</f>
        <v>37</v>
      </c>
      <c r="S6" s="42">
        <f>'9A Sem 1'!S4</f>
        <v>0</v>
      </c>
      <c r="T6" s="43">
        <f>'9A Sem 1'!T4</f>
        <v>0</v>
      </c>
      <c r="U6"/>
    </row>
    <row r="7" spans="1:24" ht="17.25" customHeight="1" thickBot="1" x14ac:dyDescent="0.3">
      <c r="A7" s="276"/>
      <c r="B7" s="247"/>
      <c r="C7" s="253">
        <v>17</v>
      </c>
      <c r="D7" s="254" t="s">
        <v>20</v>
      </c>
      <c r="E7" s="29" t="s">
        <v>22</v>
      </c>
      <c r="F7" s="38">
        <f>'12A (NS)Sem 2'!E4</f>
        <v>75</v>
      </c>
      <c r="G7" s="38">
        <f>'12A (NS)Sem 2'!F4</f>
        <v>89</v>
      </c>
      <c r="H7" s="38">
        <f>'12A (NS)Sem 2'!G4</f>
        <v>73</v>
      </c>
      <c r="I7" s="38">
        <f>'12A (NS)Sem 2'!H4</f>
        <v>79</v>
      </c>
      <c r="J7" s="38">
        <f>'12A (NS)Sem 2'!I4</f>
        <v>70</v>
      </c>
      <c r="K7" s="38">
        <f>'12A (NS)Sem 2'!J4</f>
        <v>69</v>
      </c>
      <c r="L7" s="38">
        <f>'12A (NS)Sem 2'!K4</f>
        <v>72</v>
      </c>
      <c r="M7" s="38">
        <f>'12A (NS)Sem 2'!L4</f>
        <v>86</v>
      </c>
      <c r="N7" s="38">
        <f>'12A (NS)Sem 2'!M4</f>
        <v>95</v>
      </c>
      <c r="O7" s="38">
        <f>'12A (NS)Sem 2'!N4</f>
        <v>96</v>
      </c>
      <c r="P7" s="30">
        <f>'12A (NS)Sem 2'!O4</f>
        <v>804</v>
      </c>
      <c r="Q7" s="198">
        <f>'12A (NS)Sem 2'!P4</f>
        <v>80.400000000000006</v>
      </c>
      <c r="R7" s="30">
        <f>'12A (NS)Sem 2'!Q4</f>
        <v>33</v>
      </c>
      <c r="S7" s="41">
        <f>'9A Sem 2'!S4</f>
        <v>0</v>
      </c>
      <c r="T7" s="44">
        <f>'9A Sem 2'!T4</f>
        <v>0</v>
      </c>
      <c r="U7"/>
    </row>
    <row r="8" spans="1:24" ht="17.25" customHeight="1" thickBot="1" x14ac:dyDescent="0.3">
      <c r="A8" s="276"/>
      <c r="B8" s="247"/>
      <c r="C8" s="253">
        <v>17</v>
      </c>
      <c r="D8" s="254" t="s">
        <v>20</v>
      </c>
      <c r="E8" s="29" t="s">
        <v>16</v>
      </c>
      <c r="F8" s="30">
        <f>AVERAGE(F6:F7)</f>
        <v>71</v>
      </c>
      <c r="G8" s="30">
        <f t="shared" ref="G8:Q8" si="0">AVERAGE(G6:G7)</f>
        <v>88.5</v>
      </c>
      <c r="H8" s="30">
        <f t="shared" si="0"/>
        <v>62</v>
      </c>
      <c r="I8" s="30">
        <f t="shared" si="0"/>
        <v>70.5</v>
      </c>
      <c r="J8" s="30">
        <f t="shared" si="0"/>
        <v>64.5</v>
      </c>
      <c r="K8" s="30">
        <f t="shared" si="0"/>
        <v>72</v>
      </c>
      <c r="L8" s="30">
        <f t="shared" si="0"/>
        <v>71.5</v>
      </c>
      <c r="M8" s="30">
        <f t="shared" si="0"/>
        <v>86</v>
      </c>
      <c r="N8" s="30">
        <f t="shared" si="0"/>
        <v>88.5</v>
      </c>
      <c r="O8" s="30">
        <f t="shared" si="0"/>
        <v>95</v>
      </c>
      <c r="P8" s="30">
        <f t="shared" si="0"/>
        <v>769.5</v>
      </c>
      <c r="Q8" s="198">
        <f t="shared" si="0"/>
        <v>76.95</v>
      </c>
      <c r="R8" s="30">
        <f>'12A Sem avr (NS)'!$H$4</f>
        <v>35</v>
      </c>
      <c r="S8" s="45">
        <f>AVERAGE(S6:S7)</f>
        <v>0</v>
      </c>
      <c r="T8" s="45">
        <f>AVERAGE(T6:T7)</f>
        <v>0</v>
      </c>
      <c r="U8"/>
    </row>
    <row r="9" spans="1:24" ht="17.25" customHeight="1" thickBot="1" x14ac:dyDescent="0.3">
      <c r="A9" s="252">
        <v>2</v>
      </c>
      <c r="B9" s="247"/>
      <c r="C9" s="247">
        <v>17</v>
      </c>
      <c r="D9" s="248" t="s">
        <v>23</v>
      </c>
      <c r="E9" s="29" t="s">
        <v>21</v>
      </c>
      <c r="F9" s="30">
        <f>'12A Sem 1'!E5</f>
        <v>76</v>
      </c>
      <c r="G9" s="30">
        <f>'12A Sem 1'!F5</f>
        <v>95</v>
      </c>
      <c r="H9" s="30">
        <f>'12A Sem 1'!G5</f>
        <v>78</v>
      </c>
      <c r="I9" s="30">
        <f>'12A Sem 1'!H5</f>
        <v>88</v>
      </c>
      <c r="J9" s="30">
        <f>'12A Sem 1'!I5</f>
        <v>81</v>
      </c>
      <c r="K9" s="30">
        <f>'12A Sem 1'!J5</f>
        <v>97</v>
      </c>
      <c r="L9" s="30">
        <f>'12A Sem 1'!K5</f>
        <v>83</v>
      </c>
      <c r="M9" s="30">
        <f>'12A Sem 1'!L5</f>
        <v>91</v>
      </c>
      <c r="N9" s="30">
        <f>'12A Sem 1'!M5</f>
        <v>91</v>
      </c>
      <c r="O9" s="30">
        <f>'12A Sem 1'!N5</f>
        <v>99</v>
      </c>
      <c r="P9" s="30">
        <f>'12A Sem 1'!O5</f>
        <v>879</v>
      </c>
      <c r="Q9" s="198">
        <f>'12A Sem 1'!P5</f>
        <v>87.9</v>
      </c>
      <c r="R9" s="30">
        <f>'12A Sem 1'!Q5</f>
        <v>10</v>
      </c>
      <c r="S9" s="45">
        <f>'9A Sem 1'!S5</f>
        <v>0</v>
      </c>
      <c r="T9" s="45">
        <f>'9A Sem 1'!T5</f>
        <v>0</v>
      </c>
      <c r="U9"/>
    </row>
    <row r="10" spans="1:24" ht="17.25" customHeight="1" thickBot="1" x14ac:dyDescent="0.3">
      <c r="A10" s="252"/>
      <c r="B10" s="247"/>
      <c r="C10" s="247">
        <v>17</v>
      </c>
      <c r="D10" s="248" t="s">
        <v>23</v>
      </c>
      <c r="E10" s="29" t="s">
        <v>22</v>
      </c>
      <c r="F10" s="30">
        <f>'12A (NS)Sem 2'!E5</f>
        <v>85</v>
      </c>
      <c r="G10" s="30">
        <f>'12A (NS)Sem 2'!F5</f>
        <v>93</v>
      </c>
      <c r="H10" s="30">
        <f>'12A (NS)Sem 2'!G5</f>
        <v>83</v>
      </c>
      <c r="I10" s="30">
        <f>'12A (NS)Sem 2'!H5</f>
        <v>86</v>
      </c>
      <c r="J10" s="30">
        <f>'12A (NS)Sem 2'!I5</f>
        <v>86</v>
      </c>
      <c r="K10" s="30">
        <f>'12A (NS)Sem 2'!J5</f>
        <v>89</v>
      </c>
      <c r="L10" s="30">
        <f>'12A (NS)Sem 2'!K5</f>
        <v>84</v>
      </c>
      <c r="M10" s="30">
        <f>'12A (NS)Sem 2'!L5</f>
        <v>91</v>
      </c>
      <c r="N10" s="30">
        <f>'12A (NS)Sem 2'!M5</f>
        <v>95</v>
      </c>
      <c r="O10" s="30">
        <f>'12A (NS)Sem 2'!N5</f>
        <v>100</v>
      </c>
      <c r="P10" s="30">
        <f>'12A (NS)Sem 2'!O5</f>
        <v>892</v>
      </c>
      <c r="Q10" s="198">
        <f>'12A (NS)Sem 2'!P5</f>
        <v>89.2</v>
      </c>
      <c r="R10" s="30">
        <f>'12A (NS)Sem 2'!Q5</f>
        <v>10</v>
      </c>
      <c r="S10" s="45">
        <f>'9A Sem 2'!S5</f>
        <v>0</v>
      </c>
      <c r="T10" s="45">
        <f>'9A Sem 2'!T5</f>
        <v>0</v>
      </c>
      <c r="U10"/>
    </row>
    <row r="11" spans="1:24" ht="17.25" customHeight="1" thickBot="1" x14ac:dyDescent="0.3">
      <c r="A11" s="252"/>
      <c r="B11" s="247"/>
      <c r="C11" s="247">
        <v>17</v>
      </c>
      <c r="D11" s="248" t="s">
        <v>23</v>
      </c>
      <c r="E11" s="29" t="s">
        <v>16</v>
      </c>
      <c r="F11" s="30">
        <f>AVERAGE(F9:F10)</f>
        <v>80.5</v>
      </c>
      <c r="G11" s="30">
        <f t="shared" ref="G11:Q11" si="1">AVERAGE(G9:G10)</f>
        <v>94</v>
      </c>
      <c r="H11" s="30">
        <f t="shared" si="1"/>
        <v>80.5</v>
      </c>
      <c r="I11" s="30">
        <f t="shared" si="1"/>
        <v>87</v>
      </c>
      <c r="J11" s="30">
        <f t="shared" si="1"/>
        <v>83.5</v>
      </c>
      <c r="K11" s="30">
        <f t="shared" si="1"/>
        <v>93</v>
      </c>
      <c r="L11" s="30">
        <f t="shared" si="1"/>
        <v>83.5</v>
      </c>
      <c r="M11" s="30">
        <f t="shared" si="1"/>
        <v>91</v>
      </c>
      <c r="N11" s="30">
        <f t="shared" si="1"/>
        <v>93</v>
      </c>
      <c r="O11" s="30">
        <f t="shared" si="1"/>
        <v>99.5</v>
      </c>
      <c r="P11" s="30">
        <f t="shared" si="1"/>
        <v>885.5</v>
      </c>
      <c r="Q11" s="198">
        <f t="shared" si="1"/>
        <v>88.550000000000011</v>
      </c>
      <c r="R11" s="30">
        <f>'12A Sem avr (NS)'!$H$5</f>
        <v>9</v>
      </c>
      <c r="S11" s="45">
        <f>AVERAGE(S9:S10)</f>
        <v>0</v>
      </c>
      <c r="T11" s="45">
        <f>AVERAGE(T9:T10)</f>
        <v>0</v>
      </c>
      <c r="U11"/>
    </row>
    <row r="12" spans="1:24" ht="17.25" customHeight="1" thickBot="1" x14ac:dyDescent="0.3">
      <c r="A12" s="246">
        <v>3</v>
      </c>
      <c r="B12" s="247"/>
      <c r="C12" s="253">
        <v>18</v>
      </c>
      <c r="D12" s="254" t="s">
        <v>23</v>
      </c>
      <c r="E12" s="29" t="s">
        <v>21</v>
      </c>
      <c r="F12" s="30">
        <f>'12A Sem 1'!E6</f>
        <v>85</v>
      </c>
      <c r="G12" s="30">
        <f>'12A Sem 1'!F6</f>
        <v>86</v>
      </c>
      <c r="H12" s="30">
        <f>'12A Sem 1'!G6</f>
        <v>90</v>
      </c>
      <c r="I12" s="30">
        <f>'12A Sem 1'!H6</f>
        <v>94</v>
      </c>
      <c r="J12" s="30">
        <f>'12A Sem 1'!I6</f>
        <v>89</v>
      </c>
      <c r="K12" s="30">
        <f>'12A Sem 1'!J6</f>
        <v>96</v>
      </c>
      <c r="L12" s="30">
        <f>'12A Sem 1'!K6</f>
        <v>75</v>
      </c>
      <c r="M12" s="30">
        <f>'12A Sem 1'!L6</f>
        <v>91</v>
      </c>
      <c r="N12" s="30">
        <f>'12A Sem 1'!M6</f>
        <v>100</v>
      </c>
      <c r="O12" s="30">
        <f>'12A Sem 1'!N6</f>
        <v>99</v>
      </c>
      <c r="P12" s="30">
        <f>'12A Sem 1'!O6</f>
        <v>905</v>
      </c>
      <c r="Q12" s="198">
        <f>'12A Sem 1'!P6</f>
        <v>90.5</v>
      </c>
      <c r="R12" s="30">
        <f>'12A Sem 1'!Q6</f>
        <v>8</v>
      </c>
      <c r="S12" s="45">
        <f>'9A Sem 1'!S6</f>
        <v>0</v>
      </c>
      <c r="T12" s="45">
        <f>'9A Sem 1'!T6</f>
        <v>0</v>
      </c>
      <c r="U12"/>
    </row>
    <row r="13" spans="1:24" ht="17.25" customHeight="1" thickBot="1" x14ac:dyDescent="0.3">
      <c r="A13" s="246"/>
      <c r="B13" s="247"/>
      <c r="C13" s="253">
        <v>18</v>
      </c>
      <c r="D13" s="254" t="s">
        <v>23</v>
      </c>
      <c r="E13" s="29" t="s">
        <v>22</v>
      </c>
      <c r="F13" s="30">
        <f>'12A (NS)Sem 2'!E6</f>
        <v>90</v>
      </c>
      <c r="G13" s="30">
        <f>'12A (NS)Sem 2'!F6</f>
        <v>87</v>
      </c>
      <c r="H13" s="30">
        <f>'12A (NS)Sem 2'!G6</f>
        <v>96</v>
      </c>
      <c r="I13" s="30">
        <f>'12A (NS)Sem 2'!H6</f>
        <v>93</v>
      </c>
      <c r="J13" s="30">
        <f>'12A (NS)Sem 2'!I6</f>
        <v>85</v>
      </c>
      <c r="K13" s="30">
        <f>'12A (NS)Sem 2'!J6</f>
        <v>85</v>
      </c>
      <c r="L13" s="30">
        <f>'12A (NS)Sem 2'!K6</f>
        <v>87</v>
      </c>
      <c r="M13" s="30">
        <f>'12A (NS)Sem 2'!L6</f>
        <v>91</v>
      </c>
      <c r="N13" s="30">
        <f>'12A (NS)Sem 2'!M6</f>
        <v>100</v>
      </c>
      <c r="O13" s="30">
        <f>'12A (NS)Sem 2'!N6</f>
        <v>100</v>
      </c>
      <c r="P13" s="30">
        <f>'12A (NS)Sem 2'!O6</f>
        <v>914</v>
      </c>
      <c r="Q13" s="198">
        <f>'12A (NS)Sem 2'!P6</f>
        <v>91.4</v>
      </c>
      <c r="R13" s="30">
        <f>'12A (NS)Sem 2'!Q6</f>
        <v>8</v>
      </c>
      <c r="S13" s="45">
        <f>'9A Sem 2'!S6</f>
        <v>0</v>
      </c>
      <c r="T13" s="45">
        <f>'9A Sem 2'!T6</f>
        <v>0</v>
      </c>
      <c r="U13"/>
    </row>
    <row r="14" spans="1:24" ht="17.25" customHeight="1" thickBot="1" x14ac:dyDescent="0.3">
      <c r="A14" s="246"/>
      <c r="B14" s="247"/>
      <c r="C14" s="253">
        <v>18</v>
      </c>
      <c r="D14" s="254" t="s">
        <v>23</v>
      </c>
      <c r="E14" s="29" t="s">
        <v>16</v>
      </c>
      <c r="F14" s="30">
        <f>AVERAGE(F12:F13)</f>
        <v>87.5</v>
      </c>
      <c r="G14" s="30">
        <f t="shared" ref="G14:Q14" si="2">AVERAGE(G12:G13)</f>
        <v>86.5</v>
      </c>
      <c r="H14" s="30">
        <f t="shared" si="2"/>
        <v>93</v>
      </c>
      <c r="I14" s="30">
        <f t="shared" si="2"/>
        <v>93.5</v>
      </c>
      <c r="J14" s="30">
        <f t="shared" si="2"/>
        <v>87</v>
      </c>
      <c r="K14" s="30">
        <f t="shared" si="2"/>
        <v>90.5</v>
      </c>
      <c r="L14" s="30">
        <f t="shared" si="2"/>
        <v>81</v>
      </c>
      <c r="M14" s="30">
        <f t="shared" si="2"/>
        <v>91</v>
      </c>
      <c r="N14" s="30">
        <f t="shared" si="2"/>
        <v>100</v>
      </c>
      <c r="O14" s="30">
        <f t="shared" si="2"/>
        <v>99.5</v>
      </c>
      <c r="P14" s="30">
        <f t="shared" si="2"/>
        <v>909.5</v>
      </c>
      <c r="Q14" s="198">
        <f t="shared" si="2"/>
        <v>90.95</v>
      </c>
      <c r="R14" s="30">
        <f>'12A Sem avr (NS)'!$H$6</f>
        <v>8</v>
      </c>
      <c r="S14" s="45">
        <f>AVERAGE(S12:S13)</f>
        <v>0</v>
      </c>
      <c r="T14" s="45">
        <f>AVERAGE(T12:T13)</f>
        <v>0</v>
      </c>
      <c r="U14"/>
    </row>
    <row r="15" spans="1:24" ht="17.25" customHeight="1" thickBot="1" x14ac:dyDescent="0.3">
      <c r="A15" s="252">
        <v>4</v>
      </c>
      <c r="B15" s="352"/>
      <c r="C15" s="252">
        <v>17</v>
      </c>
      <c r="D15" s="353" t="s">
        <v>23</v>
      </c>
      <c r="E15" s="29" t="s">
        <v>21</v>
      </c>
      <c r="F15" s="30">
        <f>'12A Sem 1'!E7</f>
        <v>76</v>
      </c>
      <c r="G15" s="30">
        <f>'12A Sem 1'!F7</f>
        <v>75</v>
      </c>
      <c r="H15" s="30">
        <f>'12A Sem 1'!G7</f>
        <v>50</v>
      </c>
      <c r="I15" s="30">
        <f>'12A Sem 1'!H7</f>
        <v>60</v>
      </c>
      <c r="J15" s="30">
        <f>'12A Sem 1'!I7</f>
        <v>62</v>
      </c>
      <c r="K15" s="30">
        <f>'12A Sem 1'!J7</f>
        <v>75</v>
      </c>
      <c r="L15" s="30">
        <f>'12A Sem 1'!K7</f>
        <v>59</v>
      </c>
      <c r="M15" s="30">
        <f>'12A Sem 1'!L7</f>
        <v>75</v>
      </c>
      <c r="N15" s="30">
        <f>'12A Sem 1'!M7</f>
        <v>89</v>
      </c>
      <c r="O15" s="30">
        <f>'12A Sem 1'!N7</f>
        <v>89</v>
      </c>
      <c r="P15" s="30">
        <f>'12A Sem 1'!O7</f>
        <v>710</v>
      </c>
      <c r="Q15" s="198">
        <f>'12A Sem 1'!P7</f>
        <v>71</v>
      </c>
      <c r="R15" s="30">
        <f>'12A Sem 1'!Q7</f>
        <v>44</v>
      </c>
      <c r="S15" s="45">
        <f>'9A Sem 1'!S7</f>
        <v>0</v>
      </c>
      <c r="T15" s="45">
        <f>'9A Sem 1'!T7</f>
        <v>0</v>
      </c>
      <c r="U15"/>
    </row>
    <row r="16" spans="1:24" ht="17.25" customHeight="1" thickBot="1" x14ac:dyDescent="0.3">
      <c r="A16" s="252"/>
      <c r="B16" s="352"/>
      <c r="C16" s="252">
        <v>17</v>
      </c>
      <c r="D16" s="353" t="s">
        <v>23</v>
      </c>
      <c r="E16" s="29" t="s">
        <v>22</v>
      </c>
      <c r="F16" s="30">
        <f>'12A (NS)Sem 2'!E7</f>
        <v>80</v>
      </c>
      <c r="G16" s="30">
        <f>'12A (NS)Sem 2'!F7</f>
        <v>82</v>
      </c>
      <c r="H16" s="30">
        <f>'12A (NS)Sem 2'!G7</f>
        <v>65</v>
      </c>
      <c r="I16" s="30">
        <f>'12A (NS)Sem 2'!H7</f>
        <v>83</v>
      </c>
      <c r="J16" s="30">
        <f>'12A (NS)Sem 2'!I7</f>
        <v>66</v>
      </c>
      <c r="K16" s="30">
        <f>'12A (NS)Sem 2'!J7</f>
        <v>79</v>
      </c>
      <c r="L16" s="30">
        <f>'12A (NS)Sem 2'!K7</f>
        <v>68</v>
      </c>
      <c r="M16" s="30">
        <f>'12A (NS)Sem 2'!L7</f>
        <v>75</v>
      </c>
      <c r="N16" s="30">
        <f>'12A (NS)Sem 2'!M7</f>
        <v>95</v>
      </c>
      <c r="O16" s="30">
        <f>'12A (NS)Sem 2'!N7</f>
        <v>92</v>
      </c>
      <c r="P16" s="30">
        <f>'12A (NS)Sem 2'!O7</f>
        <v>785</v>
      </c>
      <c r="Q16" s="198">
        <f>'12A (NS)Sem 2'!P7</f>
        <v>78.5</v>
      </c>
      <c r="R16" s="30">
        <f>'12A (NS)Sem 2'!Q7</f>
        <v>40</v>
      </c>
      <c r="S16" s="45">
        <f>'9A Sem 2'!S7</f>
        <v>0</v>
      </c>
      <c r="T16" s="45">
        <f>'9A Sem 2'!T7</f>
        <v>0</v>
      </c>
      <c r="U16"/>
    </row>
    <row r="17" spans="1:21" ht="17.25" customHeight="1" thickBot="1" x14ac:dyDescent="0.3">
      <c r="A17" s="252"/>
      <c r="B17" s="352"/>
      <c r="C17" s="252">
        <v>17</v>
      </c>
      <c r="D17" s="353" t="s">
        <v>23</v>
      </c>
      <c r="E17" s="29" t="s">
        <v>16</v>
      </c>
      <c r="F17" s="30">
        <f>AVERAGE(F15:F16)</f>
        <v>78</v>
      </c>
      <c r="G17" s="30">
        <f t="shared" ref="G17:Q17" si="3">AVERAGE(G15:G16)</f>
        <v>78.5</v>
      </c>
      <c r="H17" s="30">
        <f t="shared" si="3"/>
        <v>57.5</v>
      </c>
      <c r="I17" s="30">
        <f t="shared" si="3"/>
        <v>71.5</v>
      </c>
      <c r="J17" s="30">
        <f t="shared" si="3"/>
        <v>64</v>
      </c>
      <c r="K17" s="30">
        <f t="shared" si="3"/>
        <v>77</v>
      </c>
      <c r="L17" s="30">
        <f t="shared" si="3"/>
        <v>63.5</v>
      </c>
      <c r="M17" s="30">
        <f t="shared" si="3"/>
        <v>75</v>
      </c>
      <c r="N17" s="30">
        <f t="shared" si="3"/>
        <v>92</v>
      </c>
      <c r="O17" s="30">
        <f t="shared" si="3"/>
        <v>90.5</v>
      </c>
      <c r="P17" s="30">
        <f t="shared" si="3"/>
        <v>747.5</v>
      </c>
      <c r="Q17" s="198">
        <f t="shared" si="3"/>
        <v>74.75</v>
      </c>
      <c r="R17" s="30">
        <f>'12A Sem avr (NS)'!$H$7</f>
        <v>44</v>
      </c>
      <c r="S17" s="45">
        <f>AVERAGE(S15:S16)</f>
        <v>0</v>
      </c>
      <c r="T17" s="45">
        <f>AVERAGE(T15:T16)</f>
        <v>0</v>
      </c>
      <c r="U17"/>
    </row>
    <row r="18" spans="1:21" ht="17.25" customHeight="1" thickBot="1" x14ac:dyDescent="0.3">
      <c r="A18" s="252">
        <v>5</v>
      </c>
      <c r="B18" s="247"/>
      <c r="C18" s="247">
        <v>16</v>
      </c>
      <c r="D18" s="248" t="s">
        <v>20</v>
      </c>
      <c r="E18" s="29" t="s">
        <v>21</v>
      </c>
      <c r="F18" s="30">
        <f>'12A Sem 1'!E8</f>
        <v>78</v>
      </c>
      <c r="G18" s="30">
        <f>'12A Sem 1'!F8</f>
        <v>70</v>
      </c>
      <c r="H18" s="30">
        <f>'12A Sem 1'!G8</f>
        <v>65</v>
      </c>
      <c r="I18" s="30">
        <f>'12A Sem 1'!H8</f>
        <v>80</v>
      </c>
      <c r="J18" s="30">
        <f>'12A Sem 1'!I8</f>
        <v>69</v>
      </c>
      <c r="K18" s="30">
        <f>'12A Sem 1'!J8</f>
        <v>89</v>
      </c>
      <c r="L18" s="30">
        <f>'12A Sem 1'!K8</f>
        <v>82</v>
      </c>
      <c r="M18" s="30">
        <f>'12A Sem 1'!L8</f>
        <v>96</v>
      </c>
      <c r="N18" s="30">
        <f>'12A Sem 1'!M8</f>
        <v>95</v>
      </c>
      <c r="O18" s="30">
        <f>'12A Sem 1'!N8</f>
        <v>96</v>
      </c>
      <c r="P18" s="30">
        <f>'12A Sem 1'!O8</f>
        <v>820</v>
      </c>
      <c r="Q18" s="198">
        <f>'12A Sem 1'!P8</f>
        <v>82</v>
      </c>
      <c r="R18" s="30">
        <f>'12A Sem 1'!Q8</f>
        <v>18</v>
      </c>
      <c r="S18" s="45">
        <f>'9A Sem 1'!S8</f>
        <v>0</v>
      </c>
      <c r="T18" s="45">
        <f>'9A Sem 1'!T8</f>
        <v>0</v>
      </c>
      <c r="U18"/>
    </row>
    <row r="19" spans="1:21" ht="17.25" customHeight="1" thickBot="1" x14ac:dyDescent="0.3">
      <c r="A19" s="252"/>
      <c r="B19" s="247"/>
      <c r="C19" s="247">
        <v>16</v>
      </c>
      <c r="D19" s="248" t="s">
        <v>20</v>
      </c>
      <c r="E19" s="29" t="s">
        <v>22</v>
      </c>
      <c r="F19" s="30">
        <f>'12A (NS)Sem 2'!E8</f>
        <v>84</v>
      </c>
      <c r="G19" s="30">
        <f>'12A (NS)Sem 2'!F8</f>
        <v>80</v>
      </c>
      <c r="H19" s="30">
        <f>'12A (NS)Sem 2'!G8</f>
        <v>85</v>
      </c>
      <c r="I19" s="30">
        <f>'12A (NS)Sem 2'!H8</f>
        <v>81</v>
      </c>
      <c r="J19" s="30">
        <f>'12A (NS)Sem 2'!I8</f>
        <v>78</v>
      </c>
      <c r="K19" s="30">
        <f>'12A (NS)Sem 2'!J8</f>
        <v>81</v>
      </c>
      <c r="L19" s="30">
        <f>'12A (NS)Sem 2'!K8</f>
        <v>83</v>
      </c>
      <c r="M19" s="30">
        <f>'12A (NS)Sem 2'!L8</f>
        <v>96</v>
      </c>
      <c r="N19" s="30">
        <f>'12A (NS)Sem 2'!M8</f>
        <v>90</v>
      </c>
      <c r="O19" s="30">
        <f>'12A (NS)Sem 2'!N8</f>
        <v>100</v>
      </c>
      <c r="P19" s="30">
        <f>'12A (NS)Sem 2'!O8</f>
        <v>858</v>
      </c>
      <c r="Q19" s="198">
        <f>'12A (NS)Sem 2'!P8</f>
        <v>85.8</v>
      </c>
      <c r="R19" s="30">
        <f>'12A (NS)Sem 2'!Q8</f>
        <v>16</v>
      </c>
      <c r="S19" s="45">
        <f>'9A Sem 2'!S8</f>
        <v>0</v>
      </c>
      <c r="T19" s="45">
        <f>'9A Sem 2'!T8</f>
        <v>0</v>
      </c>
      <c r="U19"/>
    </row>
    <row r="20" spans="1:21" ht="17.25" customHeight="1" thickBot="1" x14ac:dyDescent="0.3">
      <c r="A20" s="252"/>
      <c r="B20" s="247"/>
      <c r="C20" s="247">
        <v>16</v>
      </c>
      <c r="D20" s="248" t="s">
        <v>20</v>
      </c>
      <c r="E20" s="29" t="s">
        <v>16</v>
      </c>
      <c r="F20" s="30">
        <f>AVERAGE(F18:F19)</f>
        <v>81</v>
      </c>
      <c r="G20" s="30">
        <f t="shared" ref="G20:Q20" si="4">AVERAGE(G18:G19)</f>
        <v>75</v>
      </c>
      <c r="H20" s="30">
        <f t="shared" si="4"/>
        <v>75</v>
      </c>
      <c r="I20" s="30">
        <f t="shared" si="4"/>
        <v>80.5</v>
      </c>
      <c r="J20" s="30">
        <f t="shared" si="4"/>
        <v>73.5</v>
      </c>
      <c r="K20" s="30">
        <f t="shared" si="4"/>
        <v>85</v>
      </c>
      <c r="L20" s="30">
        <f t="shared" si="4"/>
        <v>82.5</v>
      </c>
      <c r="M20" s="30">
        <f t="shared" si="4"/>
        <v>96</v>
      </c>
      <c r="N20" s="30">
        <f t="shared" si="4"/>
        <v>92.5</v>
      </c>
      <c r="O20" s="30">
        <f t="shared" si="4"/>
        <v>98</v>
      </c>
      <c r="P20" s="30">
        <f t="shared" si="4"/>
        <v>839</v>
      </c>
      <c r="Q20" s="198">
        <f t="shared" si="4"/>
        <v>83.9</v>
      </c>
      <c r="R20" s="30">
        <f>'12A Sem avr (NS)'!$H$8</f>
        <v>16</v>
      </c>
      <c r="S20" s="45">
        <f>AVERAGE(S18:S19)</f>
        <v>0</v>
      </c>
      <c r="T20" s="45">
        <f>AVERAGE(T18:T19)</f>
        <v>0</v>
      </c>
      <c r="U20"/>
    </row>
    <row r="21" spans="1:21" ht="17.25" customHeight="1" thickBot="1" x14ac:dyDescent="0.3">
      <c r="A21" s="246">
        <v>6</v>
      </c>
      <c r="B21" s="247"/>
      <c r="C21" s="247">
        <v>16</v>
      </c>
      <c r="D21" s="248" t="s">
        <v>20</v>
      </c>
      <c r="E21" s="29" t="s">
        <v>21</v>
      </c>
      <c r="F21" s="30">
        <f>'12A Sem 1'!E9</f>
        <v>57</v>
      </c>
      <c r="G21" s="30">
        <f>'12A Sem 1'!F9</f>
        <v>72</v>
      </c>
      <c r="H21" s="30">
        <f>'12A Sem 1'!G9</f>
        <v>50</v>
      </c>
      <c r="I21" s="30">
        <f>'12A Sem 1'!H9</f>
        <v>54</v>
      </c>
      <c r="J21" s="30">
        <f>'12A Sem 1'!I9</f>
        <v>51</v>
      </c>
      <c r="K21" s="30">
        <f>'12A Sem 1'!J9</f>
        <v>62</v>
      </c>
      <c r="L21" s="30">
        <f>'12A Sem 1'!K9</f>
        <v>58</v>
      </c>
      <c r="M21" s="30">
        <f>'12A Sem 1'!L9</f>
        <v>85</v>
      </c>
      <c r="N21" s="30">
        <f>'12A Sem 1'!M9</f>
        <v>83</v>
      </c>
      <c r="O21" s="30">
        <f>'12A Sem 1'!N9</f>
        <v>87</v>
      </c>
      <c r="P21" s="30">
        <f>'12A Sem 1'!O9</f>
        <v>659</v>
      </c>
      <c r="Q21" s="198">
        <f>'12A Sem 1'!P9</f>
        <v>65.900000000000006</v>
      </c>
      <c r="R21" s="30">
        <f>'12A Sem 1'!Q9</f>
        <v>45</v>
      </c>
      <c r="S21" s="45">
        <f>'9A Sem 1'!S9</f>
        <v>0</v>
      </c>
      <c r="T21" s="45">
        <f>'9A Sem 1'!T9</f>
        <v>0</v>
      </c>
      <c r="U21"/>
    </row>
    <row r="22" spans="1:21" ht="17.25" customHeight="1" thickBot="1" x14ac:dyDescent="0.3">
      <c r="A22" s="246"/>
      <c r="B22" s="247"/>
      <c r="C22" s="247">
        <v>16</v>
      </c>
      <c r="D22" s="248" t="s">
        <v>20</v>
      </c>
      <c r="E22" s="29" t="s">
        <v>22</v>
      </c>
      <c r="F22" s="30">
        <f>'12A (NS)Sem 2'!E9</f>
        <v>70</v>
      </c>
      <c r="G22" s="30">
        <f>'12A (NS)Sem 2'!F9</f>
        <v>76</v>
      </c>
      <c r="H22" s="30">
        <f>'12A (NS)Sem 2'!G9</f>
        <v>60</v>
      </c>
      <c r="I22" s="30">
        <f>'12A (NS)Sem 2'!H9</f>
        <v>73</v>
      </c>
      <c r="J22" s="30">
        <f>'12A (NS)Sem 2'!I9</f>
        <v>60</v>
      </c>
      <c r="K22" s="30">
        <f>'12A (NS)Sem 2'!J9</f>
        <v>66</v>
      </c>
      <c r="L22" s="30">
        <f>'12A (NS)Sem 2'!K9</f>
        <v>73</v>
      </c>
      <c r="M22" s="30">
        <f>'12A (NS)Sem 2'!L9</f>
        <v>85</v>
      </c>
      <c r="N22" s="30">
        <f>'12A (NS)Sem 2'!M9</f>
        <v>93</v>
      </c>
      <c r="O22" s="30">
        <f>'12A (NS)Sem 2'!N9</f>
        <v>92</v>
      </c>
      <c r="P22" s="30">
        <f>'12A (NS)Sem 2'!O9</f>
        <v>748</v>
      </c>
      <c r="Q22" s="198">
        <f>'12A (NS)Sem 2'!P9</f>
        <v>74.8</v>
      </c>
      <c r="R22" s="30">
        <f>'12A (NS)Sem 2'!Q9</f>
        <v>45</v>
      </c>
      <c r="S22" s="45">
        <f>'9A Sem 2'!S9</f>
        <v>0</v>
      </c>
      <c r="T22" s="45">
        <f>'9A Sem 2'!T9</f>
        <v>0</v>
      </c>
      <c r="U22"/>
    </row>
    <row r="23" spans="1:21" ht="17.25" customHeight="1" thickBot="1" x14ac:dyDescent="0.3">
      <c r="A23" s="246"/>
      <c r="B23" s="247"/>
      <c r="C23" s="247">
        <v>16</v>
      </c>
      <c r="D23" s="248" t="s">
        <v>20</v>
      </c>
      <c r="E23" s="29" t="s">
        <v>16</v>
      </c>
      <c r="F23" s="30">
        <f>AVERAGE(F21:F22)</f>
        <v>63.5</v>
      </c>
      <c r="G23" s="30">
        <f t="shared" ref="G23:Q23" si="5">AVERAGE(G21:G22)</f>
        <v>74</v>
      </c>
      <c r="H23" s="30">
        <f t="shared" si="5"/>
        <v>55</v>
      </c>
      <c r="I23" s="30">
        <f t="shared" si="5"/>
        <v>63.5</v>
      </c>
      <c r="J23" s="30">
        <f t="shared" si="5"/>
        <v>55.5</v>
      </c>
      <c r="K23" s="30">
        <f t="shared" si="5"/>
        <v>64</v>
      </c>
      <c r="L23" s="30">
        <f t="shared" si="5"/>
        <v>65.5</v>
      </c>
      <c r="M23" s="30">
        <f t="shared" si="5"/>
        <v>85</v>
      </c>
      <c r="N23" s="30">
        <f t="shared" si="5"/>
        <v>88</v>
      </c>
      <c r="O23" s="30">
        <f t="shared" si="5"/>
        <v>89.5</v>
      </c>
      <c r="P23" s="30">
        <f t="shared" si="5"/>
        <v>703.5</v>
      </c>
      <c r="Q23" s="198">
        <f t="shared" si="5"/>
        <v>70.349999999999994</v>
      </c>
      <c r="R23" s="30">
        <f>'12A Sem avr (NS)'!$H$9</f>
        <v>45</v>
      </c>
      <c r="S23" s="45">
        <f>AVERAGE(S21:S22)</f>
        <v>0</v>
      </c>
      <c r="T23" s="45">
        <f>AVERAGE(T21:T22)</f>
        <v>0</v>
      </c>
      <c r="U23"/>
    </row>
    <row r="24" spans="1:21" ht="17.25" customHeight="1" thickBot="1" x14ac:dyDescent="0.3">
      <c r="A24" s="252">
        <v>7</v>
      </c>
      <c r="B24" s="247"/>
      <c r="C24" s="253">
        <v>17</v>
      </c>
      <c r="D24" s="254" t="s">
        <v>20</v>
      </c>
      <c r="E24" s="29" t="s">
        <v>21</v>
      </c>
      <c r="F24" s="30">
        <f>'12A Sem 1'!E10</f>
        <v>85</v>
      </c>
      <c r="G24" s="30">
        <f>'12A Sem 1'!F10</f>
        <v>84</v>
      </c>
      <c r="H24" s="30">
        <f>'12A Sem 1'!G10</f>
        <v>62</v>
      </c>
      <c r="I24" s="30">
        <f>'12A Sem 1'!H10</f>
        <v>77</v>
      </c>
      <c r="J24" s="30">
        <f>'12A Sem 1'!I10</f>
        <v>76</v>
      </c>
      <c r="K24" s="30">
        <f>'12A Sem 1'!J10</f>
        <v>93</v>
      </c>
      <c r="L24" s="30">
        <f>'12A Sem 1'!K10</f>
        <v>85</v>
      </c>
      <c r="M24" s="30">
        <f>'12A Sem 1'!L10</f>
        <v>95</v>
      </c>
      <c r="N24" s="30">
        <f>'12A Sem 1'!M10</f>
        <v>88</v>
      </c>
      <c r="O24" s="30">
        <f>'12A Sem 1'!N10</f>
        <v>88</v>
      </c>
      <c r="P24" s="30">
        <f>'12A Sem 1'!O10</f>
        <v>833</v>
      </c>
      <c r="Q24" s="198">
        <f>'12A Sem 1'!P10</f>
        <v>83.3</v>
      </c>
      <c r="R24" s="30">
        <f>'12A Sem 1'!Q10</f>
        <v>15</v>
      </c>
      <c r="S24" s="45">
        <f>'9A Sem 1'!S10</f>
        <v>0</v>
      </c>
      <c r="T24" s="45">
        <f>'9A Sem 1'!T10</f>
        <v>0</v>
      </c>
      <c r="U24"/>
    </row>
    <row r="25" spans="1:21" ht="17.25" customHeight="1" thickBot="1" x14ac:dyDescent="0.3">
      <c r="A25" s="252"/>
      <c r="B25" s="247"/>
      <c r="C25" s="253">
        <v>17</v>
      </c>
      <c r="D25" s="254" t="s">
        <v>20</v>
      </c>
      <c r="E25" s="29" t="s">
        <v>22</v>
      </c>
      <c r="F25" s="30">
        <f>'12A (NS)Sem 2'!E10</f>
        <v>90</v>
      </c>
      <c r="G25" s="30">
        <f>'12A (NS)Sem 2'!F10</f>
        <v>87</v>
      </c>
      <c r="H25" s="30">
        <f>'12A (NS)Sem 2'!G10</f>
        <v>60</v>
      </c>
      <c r="I25" s="30">
        <f>'12A (NS)Sem 2'!H10</f>
        <v>85</v>
      </c>
      <c r="J25" s="30">
        <f>'12A (NS)Sem 2'!I10</f>
        <v>69</v>
      </c>
      <c r="K25" s="30">
        <f>'12A (NS)Sem 2'!J10</f>
        <v>83</v>
      </c>
      <c r="L25" s="30">
        <f>'12A (NS)Sem 2'!K10</f>
        <v>85</v>
      </c>
      <c r="M25" s="30">
        <f>'12A (NS)Sem 2'!L10</f>
        <v>95</v>
      </c>
      <c r="N25" s="30">
        <f>'12A (NS)Sem 2'!M10</f>
        <v>94</v>
      </c>
      <c r="O25" s="30">
        <f>'12A (NS)Sem 2'!N10</f>
        <v>93</v>
      </c>
      <c r="P25" s="30">
        <f>'12A (NS)Sem 2'!O10</f>
        <v>841</v>
      </c>
      <c r="Q25" s="198">
        <f>'12A (NS)Sem 2'!P10</f>
        <v>84.1</v>
      </c>
      <c r="R25" s="30">
        <f>'12A (NS)Sem 2'!Q10</f>
        <v>20</v>
      </c>
      <c r="S25" s="45">
        <f>'9A Sem 2'!S10</f>
        <v>0</v>
      </c>
      <c r="T25" s="45">
        <f>'9A Sem 2'!T10</f>
        <v>0</v>
      </c>
      <c r="U25"/>
    </row>
    <row r="26" spans="1:21" ht="17.25" customHeight="1" thickBot="1" x14ac:dyDescent="0.3">
      <c r="A26" s="252"/>
      <c r="B26" s="247"/>
      <c r="C26" s="253">
        <v>17</v>
      </c>
      <c r="D26" s="254" t="s">
        <v>20</v>
      </c>
      <c r="E26" s="29" t="s">
        <v>16</v>
      </c>
      <c r="F26" s="30">
        <f>AVERAGE(F24:F25)</f>
        <v>87.5</v>
      </c>
      <c r="G26" s="30">
        <f t="shared" ref="G26:Q26" si="6">AVERAGE(G24:G25)</f>
        <v>85.5</v>
      </c>
      <c r="H26" s="30">
        <f t="shared" si="6"/>
        <v>61</v>
      </c>
      <c r="I26" s="30">
        <f t="shared" si="6"/>
        <v>81</v>
      </c>
      <c r="J26" s="30">
        <f t="shared" si="6"/>
        <v>72.5</v>
      </c>
      <c r="K26" s="30">
        <f t="shared" si="6"/>
        <v>88</v>
      </c>
      <c r="L26" s="30">
        <f t="shared" si="6"/>
        <v>85</v>
      </c>
      <c r="M26" s="30">
        <f t="shared" si="6"/>
        <v>95</v>
      </c>
      <c r="N26" s="30">
        <f t="shared" si="6"/>
        <v>91</v>
      </c>
      <c r="O26" s="30">
        <f t="shared" si="6"/>
        <v>90.5</v>
      </c>
      <c r="P26" s="30">
        <f t="shared" si="6"/>
        <v>837</v>
      </c>
      <c r="Q26" s="198">
        <f t="shared" si="6"/>
        <v>83.699999999999989</v>
      </c>
      <c r="R26" s="30">
        <f>'12A Sem avr (NS)'!$H$10</f>
        <v>17</v>
      </c>
      <c r="S26" s="45">
        <f>AVERAGE(S24:S25)</f>
        <v>0</v>
      </c>
      <c r="T26" s="45">
        <f>AVERAGE(T24:T25)</f>
        <v>0</v>
      </c>
      <c r="U26"/>
    </row>
    <row r="27" spans="1:21" ht="17.25" customHeight="1" thickBot="1" x14ac:dyDescent="0.3">
      <c r="A27" s="252">
        <v>8</v>
      </c>
      <c r="B27" s="247"/>
      <c r="C27" s="253">
        <v>18</v>
      </c>
      <c r="D27" s="254" t="s">
        <v>23</v>
      </c>
      <c r="E27" s="29" t="s">
        <v>21</v>
      </c>
      <c r="F27" s="30">
        <f>'12A Sem 1'!E11</f>
        <v>86</v>
      </c>
      <c r="G27" s="30">
        <f>'12A Sem 1'!F11</f>
        <v>86</v>
      </c>
      <c r="H27" s="30">
        <f>'12A Sem 1'!G11</f>
        <v>67</v>
      </c>
      <c r="I27" s="30">
        <f>'12A Sem 1'!H11</f>
        <v>76</v>
      </c>
      <c r="J27" s="30">
        <f>'12A Sem 1'!I11</f>
        <v>91</v>
      </c>
      <c r="K27" s="30">
        <f>'12A Sem 1'!J11</f>
        <v>84</v>
      </c>
      <c r="L27" s="30">
        <f>'12A Sem 1'!K11</f>
        <v>90</v>
      </c>
      <c r="M27" s="30">
        <f>'12A Sem 1'!L11</f>
        <v>99</v>
      </c>
      <c r="N27" s="30">
        <f>'12A Sem 1'!M11</f>
        <v>92</v>
      </c>
      <c r="O27" s="30">
        <f>'12A Sem 1'!N11</f>
        <v>97</v>
      </c>
      <c r="P27" s="30">
        <f>'12A Sem 1'!O11</f>
        <v>868</v>
      </c>
      <c r="Q27" s="198">
        <f>'12A Sem 1'!P11</f>
        <v>86.8</v>
      </c>
      <c r="R27" s="30">
        <f>'12A Sem 1'!Q11</f>
        <v>11</v>
      </c>
      <c r="S27" s="45">
        <f>'9A Sem 1'!S11</f>
        <v>0</v>
      </c>
      <c r="T27" s="45">
        <f>'9A Sem 1'!T11</f>
        <v>0</v>
      </c>
      <c r="U27"/>
    </row>
    <row r="28" spans="1:21" ht="17.25" customHeight="1" thickBot="1" x14ac:dyDescent="0.3">
      <c r="A28" s="252"/>
      <c r="B28" s="247"/>
      <c r="C28" s="253">
        <v>18</v>
      </c>
      <c r="D28" s="254" t="s">
        <v>23</v>
      </c>
      <c r="E28" s="29" t="s">
        <v>22</v>
      </c>
      <c r="F28" s="30">
        <f>'12A (NS)Sem 2'!E11</f>
        <v>90</v>
      </c>
      <c r="G28" s="30">
        <f>'12A (NS)Sem 2'!F11</f>
        <v>89</v>
      </c>
      <c r="H28" s="30">
        <f>'12A (NS)Sem 2'!G11</f>
        <v>88</v>
      </c>
      <c r="I28" s="30">
        <f>'12A (NS)Sem 2'!H11</f>
        <v>82</v>
      </c>
      <c r="J28" s="30">
        <f>'12A (NS)Sem 2'!I11</f>
        <v>75</v>
      </c>
      <c r="K28" s="30">
        <f>'12A (NS)Sem 2'!J11</f>
        <v>81</v>
      </c>
      <c r="L28" s="30">
        <f>'12A (NS)Sem 2'!K11</f>
        <v>85</v>
      </c>
      <c r="M28" s="30">
        <f>'12A (NS)Sem 2'!L11</f>
        <v>99</v>
      </c>
      <c r="N28" s="30">
        <f>'12A (NS)Sem 2'!M11</f>
        <v>92</v>
      </c>
      <c r="O28" s="30">
        <f>'12A (NS)Sem 2'!N11</f>
        <v>100</v>
      </c>
      <c r="P28" s="30">
        <f>'12A (NS)Sem 2'!O11</f>
        <v>881</v>
      </c>
      <c r="Q28" s="198">
        <f>'12A (NS)Sem 2'!P11</f>
        <v>88.1</v>
      </c>
      <c r="R28" s="30">
        <f>'12A (NS)Sem 2'!Q11</f>
        <v>13</v>
      </c>
      <c r="S28" s="45">
        <f>'9A Sem 2'!S11</f>
        <v>0</v>
      </c>
      <c r="T28" s="45">
        <f>'9A Sem 2'!T11</f>
        <v>0</v>
      </c>
      <c r="U28"/>
    </row>
    <row r="29" spans="1:21" ht="17.25" customHeight="1" thickBot="1" x14ac:dyDescent="0.3">
      <c r="A29" s="252"/>
      <c r="B29" s="247"/>
      <c r="C29" s="253">
        <v>18</v>
      </c>
      <c r="D29" s="254" t="s">
        <v>23</v>
      </c>
      <c r="E29" s="29" t="s">
        <v>16</v>
      </c>
      <c r="F29" s="30">
        <f>AVERAGE(F27:F28)</f>
        <v>88</v>
      </c>
      <c r="G29" s="30">
        <f t="shared" ref="G29:Q29" si="7">AVERAGE(G27:G28)</f>
        <v>87.5</v>
      </c>
      <c r="H29" s="30">
        <f t="shared" si="7"/>
        <v>77.5</v>
      </c>
      <c r="I29" s="30">
        <f t="shared" si="7"/>
        <v>79</v>
      </c>
      <c r="J29" s="30">
        <f t="shared" si="7"/>
        <v>83</v>
      </c>
      <c r="K29" s="30">
        <f t="shared" si="7"/>
        <v>82.5</v>
      </c>
      <c r="L29" s="30">
        <f t="shared" si="7"/>
        <v>87.5</v>
      </c>
      <c r="M29" s="30">
        <f t="shared" si="7"/>
        <v>99</v>
      </c>
      <c r="N29" s="30">
        <f t="shared" si="7"/>
        <v>92</v>
      </c>
      <c r="O29" s="30">
        <f t="shared" si="7"/>
        <v>98.5</v>
      </c>
      <c r="P29" s="30">
        <f t="shared" si="7"/>
        <v>874.5</v>
      </c>
      <c r="Q29" s="198">
        <f t="shared" si="7"/>
        <v>87.449999999999989</v>
      </c>
      <c r="R29" s="30">
        <f>'12A Sem avr (NS)'!$H$11</f>
        <v>12</v>
      </c>
      <c r="S29" s="45">
        <f>AVERAGE(S27:S28)</f>
        <v>0</v>
      </c>
      <c r="T29" s="45">
        <f>AVERAGE(T27:T28)</f>
        <v>0</v>
      </c>
      <c r="U29"/>
    </row>
    <row r="30" spans="1:21" ht="17.25" customHeight="1" thickBot="1" x14ac:dyDescent="0.3">
      <c r="A30" s="246">
        <v>9</v>
      </c>
      <c r="B30" s="247"/>
      <c r="C30" s="253">
        <v>18</v>
      </c>
      <c r="D30" s="254" t="s">
        <v>23</v>
      </c>
      <c r="E30" s="29" t="s">
        <v>21</v>
      </c>
      <c r="F30" s="30">
        <f>'12A Sem 1'!E12</f>
        <v>86</v>
      </c>
      <c r="G30" s="30">
        <f>'12A Sem 1'!F12</f>
        <v>74</v>
      </c>
      <c r="H30" s="30">
        <f>'12A Sem 1'!G12</f>
        <v>54</v>
      </c>
      <c r="I30" s="30">
        <f>'12A Sem 1'!H12</f>
        <v>72</v>
      </c>
      <c r="J30" s="30">
        <f>'12A Sem 1'!I12</f>
        <v>64</v>
      </c>
      <c r="K30" s="30">
        <f>'12A Sem 1'!J12</f>
        <v>82</v>
      </c>
      <c r="L30" s="30">
        <f>'12A Sem 1'!K12</f>
        <v>69</v>
      </c>
      <c r="M30" s="30">
        <f>'12A Sem 1'!L12</f>
        <v>81</v>
      </c>
      <c r="N30" s="30">
        <f>'12A Sem 1'!M12</f>
        <v>91</v>
      </c>
      <c r="O30" s="30">
        <f>'12A Sem 1'!N12</f>
        <v>91</v>
      </c>
      <c r="P30" s="30">
        <f>'12A Sem 1'!O12</f>
        <v>764</v>
      </c>
      <c r="Q30" s="198">
        <f>'12A Sem 1'!P12</f>
        <v>76.400000000000006</v>
      </c>
      <c r="R30" s="30">
        <f>'12A Sem 1'!Q12</f>
        <v>30</v>
      </c>
      <c r="S30" s="45">
        <f>'9A Sem 1'!S12</f>
        <v>0</v>
      </c>
      <c r="T30" s="45">
        <f>'9A Sem 1'!T12</f>
        <v>0</v>
      </c>
      <c r="U30"/>
    </row>
    <row r="31" spans="1:21" ht="17.25" customHeight="1" thickBot="1" x14ac:dyDescent="0.3">
      <c r="A31" s="246"/>
      <c r="B31" s="247"/>
      <c r="C31" s="253">
        <v>18</v>
      </c>
      <c r="D31" s="254" t="s">
        <v>23</v>
      </c>
      <c r="E31" s="29" t="s">
        <v>22</v>
      </c>
      <c r="F31" s="30">
        <f>'12A (NS)Sem 2'!E12</f>
        <v>90</v>
      </c>
      <c r="G31" s="30">
        <f>'12A (NS)Sem 2'!F12</f>
        <v>80</v>
      </c>
      <c r="H31" s="30">
        <f>'12A (NS)Sem 2'!G12</f>
        <v>75</v>
      </c>
      <c r="I31" s="30">
        <f>'12A (NS)Sem 2'!H12</f>
        <v>77</v>
      </c>
      <c r="J31" s="30">
        <f>'12A (NS)Sem 2'!I12</f>
        <v>71</v>
      </c>
      <c r="K31" s="30">
        <f>'12A (NS)Sem 2'!J12</f>
        <v>71</v>
      </c>
      <c r="L31" s="30">
        <f>'12A (NS)Sem 2'!K12</f>
        <v>73</v>
      </c>
      <c r="M31" s="30">
        <f>'12A (NS)Sem 2'!L12</f>
        <v>81</v>
      </c>
      <c r="N31" s="30">
        <f>'12A (NS)Sem 2'!M12</f>
        <v>95</v>
      </c>
      <c r="O31" s="30">
        <f>'12A (NS)Sem 2'!N12</f>
        <v>100</v>
      </c>
      <c r="P31" s="30">
        <f>'12A (NS)Sem 2'!O12</f>
        <v>813</v>
      </c>
      <c r="Q31" s="198">
        <f>'12A (NS)Sem 2'!P12</f>
        <v>81.3</v>
      </c>
      <c r="R31" s="30">
        <f>'12A (NS)Sem 2'!Q12</f>
        <v>29</v>
      </c>
      <c r="S31" s="45">
        <f>'9A Sem 2'!S12</f>
        <v>0</v>
      </c>
      <c r="T31" s="45">
        <f>'9A Sem 2'!T12</f>
        <v>0</v>
      </c>
      <c r="U31"/>
    </row>
    <row r="32" spans="1:21" ht="17.25" customHeight="1" thickBot="1" x14ac:dyDescent="0.3">
      <c r="A32" s="246"/>
      <c r="B32" s="247"/>
      <c r="C32" s="253">
        <v>18</v>
      </c>
      <c r="D32" s="254" t="s">
        <v>23</v>
      </c>
      <c r="E32" s="29" t="s">
        <v>16</v>
      </c>
      <c r="F32" s="30">
        <f>AVERAGE(F30:F31)</f>
        <v>88</v>
      </c>
      <c r="G32" s="30">
        <f t="shared" ref="G32:Q32" si="8">AVERAGE(G30:G31)</f>
        <v>77</v>
      </c>
      <c r="H32" s="30">
        <f t="shared" si="8"/>
        <v>64.5</v>
      </c>
      <c r="I32" s="30">
        <f t="shared" si="8"/>
        <v>74.5</v>
      </c>
      <c r="J32" s="30">
        <f t="shared" si="8"/>
        <v>67.5</v>
      </c>
      <c r="K32" s="30">
        <f t="shared" si="8"/>
        <v>76.5</v>
      </c>
      <c r="L32" s="30">
        <f t="shared" si="8"/>
        <v>71</v>
      </c>
      <c r="M32" s="30">
        <f t="shared" si="8"/>
        <v>81</v>
      </c>
      <c r="N32" s="30">
        <f t="shared" si="8"/>
        <v>93</v>
      </c>
      <c r="O32" s="30">
        <f t="shared" si="8"/>
        <v>95.5</v>
      </c>
      <c r="P32" s="30">
        <f t="shared" si="8"/>
        <v>788.5</v>
      </c>
      <c r="Q32" s="198">
        <f t="shared" si="8"/>
        <v>78.849999999999994</v>
      </c>
      <c r="R32" s="30">
        <f>'12A Sem avr (NS)'!$H$12</f>
        <v>30</v>
      </c>
      <c r="S32" s="45">
        <f>AVERAGE(S30:S31)</f>
        <v>0</v>
      </c>
      <c r="T32" s="45">
        <f>AVERAGE(T30:T31)</f>
        <v>0</v>
      </c>
      <c r="U32"/>
    </row>
    <row r="33" spans="1:21" ht="17.25" customHeight="1" thickBot="1" x14ac:dyDescent="0.3">
      <c r="A33" s="252">
        <v>10</v>
      </c>
      <c r="B33" s="247"/>
      <c r="C33" s="247">
        <v>18</v>
      </c>
      <c r="D33" s="248" t="s">
        <v>23</v>
      </c>
      <c r="E33" s="29" t="s">
        <v>21</v>
      </c>
      <c r="F33" s="30">
        <f>'12A Sem 1'!E13</f>
        <v>86</v>
      </c>
      <c r="G33" s="30">
        <f>'12A Sem 1'!F13</f>
        <v>79</v>
      </c>
      <c r="H33" s="30">
        <f>'12A Sem 1'!G13</f>
        <v>52</v>
      </c>
      <c r="I33" s="30">
        <f>'12A Sem 1'!H13</f>
        <v>68</v>
      </c>
      <c r="J33" s="30">
        <f>'12A Sem 1'!I13</f>
        <v>53</v>
      </c>
      <c r="K33" s="30">
        <f>'12A Sem 1'!J13</f>
        <v>71</v>
      </c>
      <c r="L33" s="30">
        <f>'12A Sem 1'!K13</f>
        <v>62</v>
      </c>
      <c r="M33" s="30">
        <f>'12A Sem 1'!L13</f>
        <v>90</v>
      </c>
      <c r="N33" s="30">
        <f>'12A Sem 1'!M13</f>
        <v>89</v>
      </c>
      <c r="O33" s="30">
        <f>'12A Sem 1'!N13</f>
        <v>90</v>
      </c>
      <c r="P33" s="30">
        <f>'12A Sem 1'!O13</f>
        <v>740</v>
      </c>
      <c r="Q33" s="198">
        <f>'12A Sem 1'!P13</f>
        <v>74</v>
      </c>
      <c r="R33" s="30">
        <f>'12A Sem 1'!Q13</f>
        <v>36</v>
      </c>
      <c r="S33" s="45">
        <f>'9A Sem 1'!S13</f>
        <v>0</v>
      </c>
      <c r="T33" s="45">
        <f>'9A Sem 1'!T13</f>
        <v>0</v>
      </c>
      <c r="U33"/>
    </row>
    <row r="34" spans="1:21" ht="17.25" customHeight="1" thickBot="1" x14ac:dyDescent="0.3">
      <c r="A34" s="252"/>
      <c r="B34" s="247"/>
      <c r="C34" s="247">
        <v>18</v>
      </c>
      <c r="D34" s="248" t="s">
        <v>23</v>
      </c>
      <c r="E34" s="29" t="s">
        <v>22</v>
      </c>
      <c r="F34" s="30">
        <f>'12A (NS)Sem 2'!E13</f>
        <v>89</v>
      </c>
      <c r="G34" s="30">
        <f>'12A (NS)Sem 2'!F13</f>
        <v>82</v>
      </c>
      <c r="H34" s="30">
        <f>'12A (NS)Sem 2'!G13</f>
        <v>65</v>
      </c>
      <c r="I34" s="30">
        <f>'12A (NS)Sem 2'!H13</f>
        <v>74</v>
      </c>
      <c r="J34" s="30">
        <f>'12A (NS)Sem 2'!I13</f>
        <v>66</v>
      </c>
      <c r="K34" s="30">
        <f>'12A (NS)Sem 2'!J13</f>
        <v>63</v>
      </c>
      <c r="L34" s="30">
        <f>'12A (NS)Sem 2'!K13</f>
        <v>57</v>
      </c>
      <c r="M34" s="30">
        <f>'12A (NS)Sem 2'!L13</f>
        <v>90</v>
      </c>
      <c r="N34" s="30">
        <f>'12A (NS)Sem 2'!M13</f>
        <v>93</v>
      </c>
      <c r="O34" s="30">
        <f>'12A (NS)Sem 2'!N13</f>
        <v>94</v>
      </c>
      <c r="P34" s="30">
        <f>'12A (NS)Sem 2'!O13</f>
        <v>773</v>
      </c>
      <c r="Q34" s="198">
        <f>'12A (NS)Sem 2'!P13</f>
        <v>77.3</v>
      </c>
      <c r="R34" s="30">
        <f>'12A (NS)Sem 2'!Q13</f>
        <v>43</v>
      </c>
      <c r="S34" s="45">
        <f>'9A Sem 2'!S13</f>
        <v>0</v>
      </c>
      <c r="T34" s="45">
        <f>'9A Sem 2'!T13</f>
        <v>0</v>
      </c>
      <c r="U34"/>
    </row>
    <row r="35" spans="1:21" ht="17.25" customHeight="1" thickBot="1" x14ac:dyDescent="0.3">
      <c r="A35" s="252"/>
      <c r="B35" s="247"/>
      <c r="C35" s="247">
        <v>18</v>
      </c>
      <c r="D35" s="248" t="s">
        <v>23</v>
      </c>
      <c r="E35" s="29" t="s">
        <v>16</v>
      </c>
      <c r="F35" s="30">
        <f>AVERAGE(F33:F34)</f>
        <v>87.5</v>
      </c>
      <c r="G35" s="30">
        <f t="shared" ref="G35:Q35" si="9">AVERAGE(G33:G34)</f>
        <v>80.5</v>
      </c>
      <c r="H35" s="30">
        <f t="shared" si="9"/>
        <v>58.5</v>
      </c>
      <c r="I35" s="30">
        <f t="shared" si="9"/>
        <v>71</v>
      </c>
      <c r="J35" s="30">
        <f t="shared" si="9"/>
        <v>59.5</v>
      </c>
      <c r="K35" s="30">
        <f t="shared" si="9"/>
        <v>67</v>
      </c>
      <c r="L35" s="30">
        <f t="shared" si="9"/>
        <v>59.5</v>
      </c>
      <c r="M35" s="30">
        <f t="shared" si="9"/>
        <v>90</v>
      </c>
      <c r="N35" s="30">
        <f t="shared" si="9"/>
        <v>91</v>
      </c>
      <c r="O35" s="30">
        <f t="shared" si="9"/>
        <v>92</v>
      </c>
      <c r="P35" s="30">
        <f t="shared" si="9"/>
        <v>756.5</v>
      </c>
      <c r="Q35" s="198">
        <f t="shared" si="9"/>
        <v>75.650000000000006</v>
      </c>
      <c r="R35" s="30">
        <f>'12A Sem avr (NS)'!$H$13</f>
        <v>40</v>
      </c>
      <c r="S35" s="45">
        <f>AVERAGE(S33:S34)</f>
        <v>0</v>
      </c>
      <c r="T35" s="45">
        <f>AVERAGE(T33:T34)</f>
        <v>0</v>
      </c>
      <c r="U35"/>
    </row>
    <row r="36" spans="1:21" ht="17.25" customHeight="1" thickBot="1" x14ac:dyDescent="0.3">
      <c r="A36" s="246">
        <v>11</v>
      </c>
      <c r="B36" s="247"/>
      <c r="C36" s="247">
        <v>18</v>
      </c>
      <c r="D36" s="248" t="s">
        <v>23</v>
      </c>
      <c r="E36" s="29" t="s">
        <v>21</v>
      </c>
      <c r="F36" s="30">
        <f>'12A Sem 1'!E14</f>
        <v>86</v>
      </c>
      <c r="G36" s="30">
        <f>'12A Sem 1'!F14</f>
        <v>91</v>
      </c>
      <c r="H36" s="30">
        <f>'12A Sem 1'!G14</f>
        <v>53</v>
      </c>
      <c r="I36" s="30">
        <f>'12A Sem 1'!H14</f>
        <v>69</v>
      </c>
      <c r="J36" s="30">
        <f>'12A Sem 1'!I14</f>
        <v>62</v>
      </c>
      <c r="K36" s="30">
        <f>'12A Sem 1'!J14</f>
        <v>85</v>
      </c>
      <c r="L36" s="30">
        <f>'12A Sem 1'!K14</f>
        <v>82</v>
      </c>
      <c r="M36" s="30">
        <f>'12A Sem 1'!L14</f>
        <v>97</v>
      </c>
      <c r="N36" s="30">
        <f>'12A Sem 1'!M14</f>
        <v>98</v>
      </c>
      <c r="O36" s="30">
        <f>'12A Sem 1'!N14</f>
        <v>99</v>
      </c>
      <c r="P36" s="30">
        <f>'12A Sem 1'!O14</f>
        <v>822</v>
      </c>
      <c r="Q36" s="198">
        <f>'12A Sem 1'!P14</f>
        <v>82.2</v>
      </c>
      <c r="R36" s="30">
        <f>'12A Sem 1'!Q14</f>
        <v>17</v>
      </c>
      <c r="S36" s="45">
        <f>'9A Sem 1'!S14</f>
        <v>0</v>
      </c>
      <c r="T36" s="45">
        <f>'9A Sem 1'!T14</f>
        <v>0</v>
      </c>
      <c r="U36"/>
    </row>
    <row r="37" spans="1:21" ht="17.25" customHeight="1" thickBot="1" x14ac:dyDescent="0.3">
      <c r="A37" s="246"/>
      <c r="B37" s="247"/>
      <c r="C37" s="247">
        <v>18</v>
      </c>
      <c r="D37" s="248" t="s">
        <v>23</v>
      </c>
      <c r="E37" s="29" t="s">
        <v>22</v>
      </c>
      <c r="F37" s="30">
        <f>'12A (NS)Sem 2'!E14</f>
        <v>88</v>
      </c>
      <c r="G37" s="30">
        <f>'12A (NS)Sem 2'!F14</f>
        <v>88</v>
      </c>
      <c r="H37" s="30">
        <f>'12A (NS)Sem 2'!G14</f>
        <v>65</v>
      </c>
      <c r="I37" s="30">
        <f>'12A (NS)Sem 2'!H14</f>
        <v>77</v>
      </c>
      <c r="J37" s="30">
        <f>'12A (NS)Sem 2'!I14</f>
        <v>67</v>
      </c>
      <c r="K37" s="30">
        <f>'12A (NS)Sem 2'!J14</f>
        <v>76</v>
      </c>
      <c r="L37" s="30">
        <f>'12A (NS)Sem 2'!K14</f>
        <v>86</v>
      </c>
      <c r="M37" s="30">
        <f>'12A (NS)Sem 2'!L14</f>
        <v>97</v>
      </c>
      <c r="N37" s="30">
        <f>'12A (NS)Sem 2'!M14</f>
        <v>98</v>
      </c>
      <c r="O37" s="30">
        <f>'12A (NS)Sem 2'!N14</f>
        <v>100</v>
      </c>
      <c r="P37" s="30">
        <f>'12A (NS)Sem 2'!O14</f>
        <v>842</v>
      </c>
      <c r="Q37" s="198">
        <f>'12A (NS)Sem 2'!P14</f>
        <v>84.2</v>
      </c>
      <c r="R37" s="30">
        <f>'12A (NS)Sem 2'!Q14</f>
        <v>19</v>
      </c>
      <c r="S37" s="45">
        <f>'9A Sem 2'!S14</f>
        <v>0</v>
      </c>
      <c r="T37" s="45">
        <f>'9A Sem 2'!T14</f>
        <v>0</v>
      </c>
      <c r="U37"/>
    </row>
    <row r="38" spans="1:21" ht="17.25" customHeight="1" thickBot="1" x14ac:dyDescent="0.3">
      <c r="A38" s="246"/>
      <c r="B38" s="247"/>
      <c r="C38" s="247">
        <v>18</v>
      </c>
      <c r="D38" s="248" t="s">
        <v>23</v>
      </c>
      <c r="E38" s="29" t="s">
        <v>16</v>
      </c>
      <c r="F38" s="30">
        <f>AVERAGE(F36:F37)</f>
        <v>87</v>
      </c>
      <c r="G38" s="30">
        <f t="shared" ref="G38:Q38" si="10">AVERAGE(G36:G37)</f>
        <v>89.5</v>
      </c>
      <c r="H38" s="30">
        <f t="shared" si="10"/>
        <v>59</v>
      </c>
      <c r="I38" s="30">
        <f t="shared" si="10"/>
        <v>73</v>
      </c>
      <c r="J38" s="30">
        <f t="shared" si="10"/>
        <v>64.5</v>
      </c>
      <c r="K38" s="30">
        <f t="shared" si="10"/>
        <v>80.5</v>
      </c>
      <c r="L38" s="30">
        <f t="shared" si="10"/>
        <v>84</v>
      </c>
      <c r="M38" s="30">
        <f t="shared" si="10"/>
        <v>97</v>
      </c>
      <c r="N38" s="30">
        <f t="shared" si="10"/>
        <v>98</v>
      </c>
      <c r="O38" s="30">
        <f t="shared" si="10"/>
        <v>99.5</v>
      </c>
      <c r="P38" s="30">
        <f t="shared" si="10"/>
        <v>832</v>
      </c>
      <c r="Q38" s="198">
        <f t="shared" si="10"/>
        <v>83.2</v>
      </c>
      <c r="R38" s="30">
        <f>'12A Sem avr (NS)'!$H$14</f>
        <v>19</v>
      </c>
      <c r="S38" s="45">
        <f>AVERAGE(S36:S37)</f>
        <v>0</v>
      </c>
      <c r="T38" s="45">
        <f>AVERAGE(T36:T37)</f>
        <v>0</v>
      </c>
      <c r="U38"/>
    </row>
    <row r="39" spans="1:21" ht="17.25" customHeight="1" thickBot="1" x14ac:dyDescent="0.3">
      <c r="A39" s="246">
        <v>12</v>
      </c>
      <c r="B39" s="247"/>
      <c r="C39" s="253">
        <v>16</v>
      </c>
      <c r="D39" s="254" t="s">
        <v>20</v>
      </c>
      <c r="E39" s="29" t="s">
        <v>21</v>
      </c>
      <c r="F39" s="30">
        <f>'12A Sem 1'!E15</f>
        <v>77</v>
      </c>
      <c r="G39" s="30">
        <f>'12A Sem 1'!F15</f>
        <v>82</v>
      </c>
      <c r="H39" s="30">
        <f>'12A Sem 1'!G15</f>
        <v>53</v>
      </c>
      <c r="I39" s="30">
        <f>'12A Sem 1'!H15</f>
        <v>74</v>
      </c>
      <c r="J39" s="30">
        <f>'12A Sem 1'!I15</f>
        <v>79</v>
      </c>
      <c r="K39" s="30">
        <f>'12A Sem 1'!J15</f>
        <v>90</v>
      </c>
      <c r="L39" s="30">
        <f>'12A Sem 1'!K15</f>
        <v>81</v>
      </c>
      <c r="M39" s="30">
        <f>'12A Sem 1'!L15</f>
        <v>94</v>
      </c>
      <c r="N39" s="30">
        <f>'12A Sem 1'!M15</f>
        <v>89</v>
      </c>
      <c r="O39" s="30">
        <f>'12A Sem 1'!N15</f>
        <v>97</v>
      </c>
      <c r="P39" s="30">
        <f>'12A Sem 1'!O15</f>
        <v>816</v>
      </c>
      <c r="Q39" s="198">
        <f>'12A Sem 1'!P15</f>
        <v>81.599999999999994</v>
      </c>
      <c r="R39" s="30">
        <f>'12A Sem 1'!Q15</f>
        <v>19</v>
      </c>
      <c r="S39" s="45">
        <f>'9A Sem 1'!S15</f>
        <v>0</v>
      </c>
      <c r="T39" s="45">
        <f>'9A Sem 1'!T15</f>
        <v>0</v>
      </c>
      <c r="U39"/>
    </row>
    <row r="40" spans="1:21" ht="17.25" customHeight="1" thickBot="1" x14ac:dyDescent="0.3">
      <c r="A40" s="246"/>
      <c r="B40" s="247"/>
      <c r="C40" s="253">
        <v>16</v>
      </c>
      <c r="D40" s="254" t="s">
        <v>20</v>
      </c>
      <c r="E40" s="29" t="s">
        <v>22</v>
      </c>
      <c r="F40" s="30">
        <f>'12A (NS)Sem 2'!E15</f>
        <v>80</v>
      </c>
      <c r="G40" s="30">
        <f>'12A (NS)Sem 2'!F15</f>
        <v>85</v>
      </c>
      <c r="H40" s="30">
        <f>'12A (NS)Sem 2'!G15</f>
        <v>65</v>
      </c>
      <c r="I40" s="30">
        <f>'12A (NS)Sem 2'!H15</f>
        <v>87</v>
      </c>
      <c r="J40" s="30">
        <f>'12A (NS)Sem 2'!I15</f>
        <v>75</v>
      </c>
      <c r="K40" s="30">
        <f>'12A (NS)Sem 2'!J15</f>
        <v>83</v>
      </c>
      <c r="L40" s="30">
        <f>'12A (NS)Sem 2'!K15</f>
        <v>79</v>
      </c>
      <c r="M40" s="30">
        <f>'12A (NS)Sem 2'!L15</f>
        <v>94</v>
      </c>
      <c r="N40" s="30">
        <f>'12A (NS)Sem 2'!M15</f>
        <v>90</v>
      </c>
      <c r="O40" s="30">
        <f>'12A (NS)Sem 2'!N15</f>
        <v>100</v>
      </c>
      <c r="P40" s="30">
        <f>'12A (NS)Sem 2'!O15</f>
        <v>838</v>
      </c>
      <c r="Q40" s="198">
        <f>'12A (NS)Sem 2'!P15</f>
        <v>83.8</v>
      </c>
      <c r="R40" s="30">
        <f>'12A (NS)Sem 2'!Q15</f>
        <v>21</v>
      </c>
      <c r="S40" s="45">
        <f>'9A Sem 2'!S15</f>
        <v>0</v>
      </c>
      <c r="T40" s="45">
        <f>'9A Sem 2'!T15</f>
        <v>0</v>
      </c>
      <c r="U40"/>
    </row>
    <row r="41" spans="1:21" ht="17.25" customHeight="1" thickBot="1" x14ac:dyDescent="0.3">
      <c r="A41" s="246"/>
      <c r="B41" s="247"/>
      <c r="C41" s="253">
        <v>16</v>
      </c>
      <c r="D41" s="254" t="s">
        <v>20</v>
      </c>
      <c r="E41" s="29" t="s">
        <v>16</v>
      </c>
      <c r="F41" s="30">
        <f>AVERAGE(F39:F40)</f>
        <v>78.5</v>
      </c>
      <c r="G41" s="30">
        <f t="shared" ref="G41:Q41" si="11">AVERAGE(G39:G40)</f>
        <v>83.5</v>
      </c>
      <c r="H41" s="30">
        <f t="shared" si="11"/>
        <v>59</v>
      </c>
      <c r="I41" s="30">
        <f t="shared" si="11"/>
        <v>80.5</v>
      </c>
      <c r="J41" s="30">
        <f t="shared" si="11"/>
        <v>77</v>
      </c>
      <c r="K41" s="30">
        <f t="shared" si="11"/>
        <v>86.5</v>
      </c>
      <c r="L41" s="30">
        <f t="shared" si="11"/>
        <v>80</v>
      </c>
      <c r="M41" s="30">
        <f t="shared" si="11"/>
        <v>94</v>
      </c>
      <c r="N41" s="30">
        <f t="shared" si="11"/>
        <v>89.5</v>
      </c>
      <c r="O41" s="30">
        <f t="shared" si="11"/>
        <v>98.5</v>
      </c>
      <c r="P41" s="30">
        <f t="shared" si="11"/>
        <v>827</v>
      </c>
      <c r="Q41" s="198">
        <f t="shared" si="11"/>
        <v>82.699999999999989</v>
      </c>
      <c r="R41" s="30">
        <f>'12A Sem avr (NS)'!$H$15</f>
        <v>21</v>
      </c>
      <c r="S41" s="45">
        <f>AVERAGE(S39:S40)</f>
        <v>0</v>
      </c>
      <c r="T41" s="45">
        <f>AVERAGE(T39:T40)</f>
        <v>0</v>
      </c>
      <c r="U41"/>
    </row>
    <row r="42" spans="1:21" ht="17.25" customHeight="1" thickBot="1" x14ac:dyDescent="0.3">
      <c r="A42" s="246">
        <v>13</v>
      </c>
      <c r="B42" s="247"/>
      <c r="C42" s="247">
        <v>17</v>
      </c>
      <c r="D42" s="248" t="s">
        <v>23</v>
      </c>
      <c r="E42" s="29" t="s">
        <v>21</v>
      </c>
      <c r="F42" s="30">
        <f>'12A Sem 1'!E16</f>
        <v>77</v>
      </c>
      <c r="G42" s="30">
        <f>'12A Sem 1'!F16</f>
        <v>83</v>
      </c>
      <c r="H42" s="30">
        <f>'12A Sem 1'!G16</f>
        <v>53</v>
      </c>
      <c r="I42" s="30">
        <f>'12A Sem 1'!H16</f>
        <v>66</v>
      </c>
      <c r="J42" s="30">
        <f>'12A Sem 1'!I16</f>
        <v>72</v>
      </c>
      <c r="K42" s="30">
        <f>'12A Sem 1'!J16</f>
        <v>86</v>
      </c>
      <c r="L42" s="30">
        <f>'12A Sem 1'!K16</f>
        <v>72</v>
      </c>
      <c r="M42" s="30">
        <f>'12A Sem 1'!L16</f>
        <v>99</v>
      </c>
      <c r="N42" s="30">
        <f>'12A Sem 1'!M16</f>
        <v>98</v>
      </c>
      <c r="O42" s="30">
        <f>'12A Sem 1'!N16</f>
        <v>95</v>
      </c>
      <c r="P42" s="30">
        <f>'12A Sem 1'!O16</f>
        <v>801</v>
      </c>
      <c r="Q42" s="198">
        <f>'12A Sem 1'!P16</f>
        <v>80.099999999999994</v>
      </c>
      <c r="R42" s="30">
        <f>'12A Sem 1'!Q16</f>
        <v>25</v>
      </c>
      <c r="S42" s="45">
        <f>'9A Sem 1'!S16</f>
        <v>0</v>
      </c>
      <c r="T42" s="45">
        <f>'9A Sem 1'!T16</f>
        <v>0</v>
      </c>
      <c r="U42"/>
    </row>
    <row r="43" spans="1:21" ht="17.25" customHeight="1" thickBot="1" x14ac:dyDescent="0.3">
      <c r="A43" s="246"/>
      <c r="B43" s="247"/>
      <c r="C43" s="247">
        <v>17</v>
      </c>
      <c r="D43" s="248" t="s">
        <v>23</v>
      </c>
      <c r="E43" s="29" t="s">
        <v>22</v>
      </c>
      <c r="F43" s="30">
        <f>'12A (NS)Sem 2'!E16</f>
        <v>82</v>
      </c>
      <c r="G43" s="30">
        <f>'12A (NS)Sem 2'!F16</f>
        <v>85</v>
      </c>
      <c r="H43" s="30">
        <f>'12A (NS)Sem 2'!G16</f>
        <v>63</v>
      </c>
      <c r="I43" s="30">
        <f>'12A (NS)Sem 2'!H16</f>
        <v>73</v>
      </c>
      <c r="J43" s="30">
        <f>'12A (NS)Sem 2'!I16</f>
        <v>64</v>
      </c>
      <c r="K43" s="30">
        <f>'12A (NS)Sem 2'!J16</f>
        <v>79</v>
      </c>
      <c r="L43" s="30">
        <f>'12A (NS)Sem 2'!K16</f>
        <v>78</v>
      </c>
      <c r="M43" s="30">
        <f>'12A (NS)Sem 2'!L16</f>
        <v>99</v>
      </c>
      <c r="N43" s="30">
        <f>'12A (NS)Sem 2'!M16</f>
        <v>93</v>
      </c>
      <c r="O43" s="30">
        <f>'12A (NS)Sem 2'!N16</f>
        <v>99</v>
      </c>
      <c r="P43" s="30">
        <f>'12A (NS)Sem 2'!O16</f>
        <v>815</v>
      </c>
      <c r="Q43" s="198">
        <f>'12A (NS)Sem 2'!P16</f>
        <v>81.5</v>
      </c>
      <c r="R43" s="30">
        <f>'12A (NS)Sem 2'!Q16</f>
        <v>28</v>
      </c>
      <c r="S43" s="45">
        <f>'9A Sem 2'!S16</f>
        <v>0</v>
      </c>
      <c r="T43" s="45">
        <f>'9A Sem 2'!T16</f>
        <v>0</v>
      </c>
      <c r="U43"/>
    </row>
    <row r="44" spans="1:21" ht="17.25" customHeight="1" thickBot="1" x14ac:dyDescent="0.3">
      <c r="A44" s="246"/>
      <c r="B44" s="247"/>
      <c r="C44" s="247">
        <v>17</v>
      </c>
      <c r="D44" s="248" t="s">
        <v>23</v>
      </c>
      <c r="E44" s="29" t="s">
        <v>16</v>
      </c>
      <c r="F44" s="30">
        <f>AVERAGE(F42:F43)</f>
        <v>79.5</v>
      </c>
      <c r="G44" s="30">
        <f t="shared" ref="G44:Q44" si="12">AVERAGE(G42:G43)</f>
        <v>84</v>
      </c>
      <c r="H44" s="30">
        <f t="shared" si="12"/>
        <v>58</v>
      </c>
      <c r="I44" s="30">
        <f t="shared" si="12"/>
        <v>69.5</v>
      </c>
      <c r="J44" s="30">
        <f t="shared" si="12"/>
        <v>68</v>
      </c>
      <c r="K44" s="30">
        <f t="shared" si="12"/>
        <v>82.5</v>
      </c>
      <c r="L44" s="30">
        <f t="shared" si="12"/>
        <v>75</v>
      </c>
      <c r="M44" s="30">
        <f t="shared" si="12"/>
        <v>99</v>
      </c>
      <c r="N44" s="30">
        <f t="shared" si="12"/>
        <v>95.5</v>
      </c>
      <c r="O44" s="30">
        <f t="shared" si="12"/>
        <v>97</v>
      </c>
      <c r="P44" s="30">
        <f t="shared" si="12"/>
        <v>808</v>
      </c>
      <c r="Q44" s="198">
        <f t="shared" si="12"/>
        <v>80.8</v>
      </c>
      <c r="R44" s="30">
        <f>'12A Sem avr (NS)'!$H$16</f>
        <v>24</v>
      </c>
      <c r="S44" s="45">
        <f>AVERAGE(S42:S43)</f>
        <v>0</v>
      </c>
      <c r="T44" s="45">
        <f>AVERAGE(T42:T43)</f>
        <v>0</v>
      </c>
      <c r="U44"/>
    </row>
    <row r="45" spans="1:21" ht="17.25" customHeight="1" thickBot="1" x14ac:dyDescent="0.3">
      <c r="A45" s="252">
        <v>14</v>
      </c>
      <c r="B45" s="247"/>
      <c r="C45" s="253">
        <v>17</v>
      </c>
      <c r="D45" s="254" t="s">
        <v>23</v>
      </c>
      <c r="E45" s="29" t="s">
        <v>21</v>
      </c>
      <c r="F45" s="30">
        <f>'12A Sem 1'!E17</f>
        <v>73</v>
      </c>
      <c r="G45" s="30">
        <f>'12A Sem 1'!F17</f>
        <v>72</v>
      </c>
      <c r="H45" s="30">
        <f>'12A Sem 1'!G17</f>
        <v>51</v>
      </c>
      <c r="I45" s="30">
        <f>'12A Sem 1'!H17</f>
        <v>70</v>
      </c>
      <c r="J45" s="30">
        <f>'12A Sem 1'!I17</f>
        <v>73</v>
      </c>
      <c r="K45" s="30">
        <f>'12A Sem 1'!J17</f>
        <v>89</v>
      </c>
      <c r="L45" s="30">
        <f>'12A Sem 1'!K17</f>
        <v>70</v>
      </c>
      <c r="M45" s="30">
        <f>'12A Sem 1'!L17</f>
        <v>81</v>
      </c>
      <c r="N45" s="30">
        <f>'12A Sem 1'!M17</f>
        <v>94</v>
      </c>
      <c r="O45" s="30">
        <f>'12A Sem 1'!N17</f>
        <v>92</v>
      </c>
      <c r="P45" s="30">
        <f>'12A Sem 1'!O17</f>
        <v>765</v>
      </c>
      <c r="Q45" s="198">
        <f>'12A Sem 1'!P17</f>
        <v>76.5</v>
      </c>
      <c r="R45" s="30">
        <f>'12A Sem 1'!Q17</f>
        <v>29</v>
      </c>
      <c r="S45" s="45">
        <f>'9A Sem 1'!S17</f>
        <v>0</v>
      </c>
      <c r="T45" s="45">
        <f>'9A Sem 1'!T17</f>
        <v>0</v>
      </c>
      <c r="U45"/>
    </row>
    <row r="46" spans="1:21" ht="17.25" customHeight="1" thickBot="1" x14ac:dyDescent="0.3">
      <c r="A46" s="252"/>
      <c r="B46" s="247"/>
      <c r="C46" s="253">
        <v>17</v>
      </c>
      <c r="D46" s="254" t="s">
        <v>23</v>
      </c>
      <c r="E46" s="29" t="s">
        <v>22</v>
      </c>
      <c r="F46" s="30">
        <f>'12A (NS)Sem 2'!E17</f>
        <v>81</v>
      </c>
      <c r="G46" s="30">
        <f>'12A (NS)Sem 2'!F17</f>
        <v>77</v>
      </c>
      <c r="H46" s="30">
        <f>'12A (NS)Sem 2'!G17</f>
        <v>65</v>
      </c>
      <c r="I46" s="30">
        <f>'12A (NS)Sem 2'!H17</f>
        <v>72</v>
      </c>
      <c r="J46" s="30">
        <f>'12A (NS)Sem 2'!I17</f>
        <v>79</v>
      </c>
      <c r="K46" s="30">
        <f>'12A (NS)Sem 2'!J17</f>
        <v>82</v>
      </c>
      <c r="L46" s="30">
        <f>'12A (NS)Sem 2'!K17</f>
        <v>0</v>
      </c>
      <c r="M46" s="30">
        <f>'12A (NS)Sem 2'!L17</f>
        <v>81</v>
      </c>
      <c r="N46" s="30">
        <f>'12A (NS)Sem 2'!M17</f>
        <v>91</v>
      </c>
      <c r="O46" s="30">
        <f>'12A (NS)Sem 2'!N17</f>
        <v>96</v>
      </c>
      <c r="P46" s="30">
        <f>'12A (NS)Sem 2'!O17</f>
        <v>724</v>
      </c>
      <c r="Q46" s="198">
        <f>'12A (NS)Sem 2'!P17</f>
        <v>80.444444444444443</v>
      </c>
      <c r="R46" s="30">
        <f>'12A (NS)Sem 2'!Q17</f>
        <v>32</v>
      </c>
      <c r="S46" s="45">
        <f>'9A Sem 2'!S17</f>
        <v>0</v>
      </c>
      <c r="T46" s="45">
        <f>'9A Sem 2'!T17</f>
        <v>0</v>
      </c>
      <c r="U46"/>
    </row>
    <row r="47" spans="1:21" ht="17.25" customHeight="1" thickBot="1" x14ac:dyDescent="0.3">
      <c r="A47" s="252"/>
      <c r="B47" s="247"/>
      <c r="C47" s="253">
        <v>17</v>
      </c>
      <c r="D47" s="254" t="s">
        <v>23</v>
      </c>
      <c r="E47" s="29" t="s">
        <v>16</v>
      </c>
      <c r="F47" s="30">
        <f>AVERAGE(F45:F46)</f>
        <v>77</v>
      </c>
      <c r="G47" s="30">
        <f t="shared" ref="G47:Q47" si="13">AVERAGE(G45:G46)</f>
        <v>74.5</v>
      </c>
      <c r="H47" s="30">
        <f t="shared" si="13"/>
        <v>58</v>
      </c>
      <c r="I47" s="30">
        <f t="shared" si="13"/>
        <v>71</v>
      </c>
      <c r="J47" s="30">
        <f t="shared" si="13"/>
        <v>76</v>
      </c>
      <c r="K47" s="30">
        <f t="shared" si="13"/>
        <v>85.5</v>
      </c>
      <c r="L47" s="30">
        <f t="shared" si="13"/>
        <v>35</v>
      </c>
      <c r="M47" s="30">
        <f t="shared" si="13"/>
        <v>81</v>
      </c>
      <c r="N47" s="30">
        <f t="shared" si="13"/>
        <v>92.5</v>
      </c>
      <c r="O47" s="30">
        <f t="shared" si="13"/>
        <v>94</v>
      </c>
      <c r="P47" s="30">
        <f t="shared" si="13"/>
        <v>744.5</v>
      </c>
      <c r="Q47" s="198">
        <f t="shared" si="13"/>
        <v>78.472222222222229</v>
      </c>
      <c r="R47" s="30">
        <f>'12A Sem avr (NS)'!$H$17</f>
        <v>33</v>
      </c>
      <c r="S47" s="45">
        <f>AVERAGE(S45:S46)</f>
        <v>0</v>
      </c>
      <c r="T47" s="45">
        <f>AVERAGE(T45:T46)</f>
        <v>0</v>
      </c>
      <c r="U47"/>
    </row>
    <row r="48" spans="1:21" ht="17.25" customHeight="1" thickBot="1" x14ac:dyDescent="0.3">
      <c r="A48" s="246">
        <v>15</v>
      </c>
      <c r="B48" s="247"/>
      <c r="C48" s="253">
        <v>17</v>
      </c>
      <c r="D48" s="254" t="s">
        <v>23</v>
      </c>
      <c r="E48" s="29" t="s">
        <v>21</v>
      </c>
      <c r="F48" s="30">
        <f>'12A Sem 1'!E18</f>
        <v>87</v>
      </c>
      <c r="G48" s="30">
        <f>'12A Sem 1'!F18</f>
        <v>85</v>
      </c>
      <c r="H48" s="31">
        <f>'12A Sem 1'!G18</f>
        <v>84</v>
      </c>
      <c r="I48" s="30">
        <f>'12A Sem 1'!H18</f>
        <v>89</v>
      </c>
      <c r="J48" s="30">
        <f>'12A Sem 1'!I18</f>
        <v>78</v>
      </c>
      <c r="K48" s="30">
        <f>'12A Sem 1'!J18</f>
        <v>96</v>
      </c>
      <c r="L48" s="30">
        <f>'12A Sem 1'!K18</f>
        <v>77</v>
      </c>
      <c r="M48" s="30">
        <f>'12A Sem 1'!L18</f>
        <v>95</v>
      </c>
      <c r="N48" s="30">
        <f>'12A Sem 1'!M18</f>
        <v>97</v>
      </c>
      <c r="O48" s="30">
        <f>'12A Sem 1'!N18</f>
        <v>93</v>
      </c>
      <c r="P48" s="30">
        <f>'12A Sem 1'!O18</f>
        <v>881</v>
      </c>
      <c r="Q48" s="198">
        <f>'12A Sem 1'!P18</f>
        <v>88.1</v>
      </c>
      <c r="R48" s="30">
        <f>'12A Sem 1'!Q18</f>
        <v>9</v>
      </c>
      <c r="S48" s="45">
        <f>'9A Sem 1'!S18</f>
        <v>0</v>
      </c>
      <c r="T48" s="45">
        <f>'9A Sem 1'!T18</f>
        <v>0</v>
      </c>
      <c r="U48"/>
    </row>
    <row r="49" spans="1:25" ht="17.25" customHeight="1" thickBot="1" x14ac:dyDescent="0.3">
      <c r="A49" s="246"/>
      <c r="B49" s="247"/>
      <c r="C49" s="253">
        <v>17</v>
      </c>
      <c r="D49" s="254" t="s">
        <v>23</v>
      </c>
      <c r="E49" s="29" t="s">
        <v>22</v>
      </c>
      <c r="F49" s="30">
        <f>'12A (NS)Sem 2'!E18</f>
        <v>87</v>
      </c>
      <c r="G49" s="30">
        <f>'12A (NS)Sem 2'!F18</f>
        <v>86</v>
      </c>
      <c r="H49" s="31">
        <f>'12A (NS)Sem 2'!G18</f>
        <v>93</v>
      </c>
      <c r="I49" s="30">
        <f>'12A (NS)Sem 2'!H18</f>
        <v>85</v>
      </c>
      <c r="J49" s="30">
        <f>'12A (NS)Sem 2'!I18</f>
        <v>79</v>
      </c>
      <c r="K49" s="30">
        <f>'12A (NS)Sem 2'!J18</f>
        <v>84</v>
      </c>
      <c r="L49" s="30">
        <f>'12A (NS)Sem 2'!K18</f>
        <v>78</v>
      </c>
      <c r="M49" s="30">
        <f>'12A (NS)Sem 2'!L18</f>
        <v>95</v>
      </c>
      <c r="N49" s="30">
        <f>'12A (NS)Sem 2'!M18</f>
        <v>100</v>
      </c>
      <c r="O49" s="30">
        <f>'12A (NS)Sem 2'!N18</f>
        <v>97</v>
      </c>
      <c r="P49" s="30">
        <f>'12A (NS)Sem 2'!O18</f>
        <v>884</v>
      </c>
      <c r="Q49" s="198">
        <f>'12A (NS)Sem 2'!P18</f>
        <v>88.4</v>
      </c>
      <c r="R49" s="30">
        <f>'12A (NS)Sem 2'!Q18</f>
        <v>11</v>
      </c>
      <c r="S49" s="45">
        <f>'9A Sem 2'!S18</f>
        <v>0</v>
      </c>
      <c r="T49" s="45">
        <f>'9A Sem 2'!T18</f>
        <v>0</v>
      </c>
      <c r="U49" s="6"/>
      <c r="V49" s="6"/>
      <c r="W49" s="6"/>
      <c r="X49" s="6"/>
      <c r="Y49" s="6"/>
    </row>
    <row r="50" spans="1:25" ht="17.25" customHeight="1" thickBot="1" x14ac:dyDescent="0.3">
      <c r="A50" s="246"/>
      <c r="B50" s="247"/>
      <c r="C50" s="253">
        <v>17</v>
      </c>
      <c r="D50" s="254" t="s">
        <v>23</v>
      </c>
      <c r="E50" s="29" t="s">
        <v>16</v>
      </c>
      <c r="F50" s="30">
        <f>AVERAGE(F48:F49)</f>
        <v>87</v>
      </c>
      <c r="G50" s="30">
        <f t="shared" ref="G50:Q50" si="14">AVERAGE(G48:G49)</f>
        <v>85.5</v>
      </c>
      <c r="H50" s="30">
        <f t="shared" si="14"/>
        <v>88.5</v>
      </c>
      <c r="I50" s="30">
        <f t="shared" si="14"/>
        <v>87</v>
      </c>
      <c r="J50" s="30">
        <f t="shared" si="14"/>
        <v>78.5</v>
      </c>
      <c r="K50" s="30">
        <f t="shared" si="14"/>
        <v>90</v>
      </c>
      <c r="L50" s="30">
        <f t="shared" si="14"/>
        <v>77.5</v>
      </c>
      <c r="M50" s="30">
        <f t="shared" si="14"/>
        <v>95</v>
      </c>
      <c r="N50" s="30">
        <f t="shared" si="14"/>
        <v>98.5</v>
      </c>
      <c r="O50" s="30">
        <f t="shared" si="14"/>
        <v>95</v>
      </c>
      <c r="P50" s="30">
        <f t="shared" si="14"/>
        <v>882.5</v>
      </c>
      <c r="Q50" s="198">
        <f t="shared" si="14"/>
        <v>88.25</v>
      </c>
      <c r="R50" s="30">
        <f>'12A Sem avr (NS)'!$H$18</f>
        <v>11</v>
      </c>
      <c r="S50" s="45">
        <f>AVERAGE(S48:S49)</f>
        <v>0</v>
      </c>
      <c r="T50" s="45">
        <f>AVERAGE(T48:T49)</f>
        <v>0</v>
      </c>
      <c r="U50" s="6"/>
      <c r="V50" s="6"/>
      <c r="W50" s="6"/>
      <c r="X50" s="6"/>
      <c r="Y50" s="6"/>
    </row>
    <row r="51" spans="1:25" ht="17.25" customHeight="1" thickBot="1" x14ac:dyDescent="0.3">
      <c r="A51" s="252">
        <v>16</v>
      </c>
      <c r="B51" s="247"/>
      <c r="C51" s="247">
        <v>17</v>
      </c>
      <c r="D51" s="248" t="s">
        <v>23</v>
      </c>
      <c r="E51" s="29" t="s">
        <v>21</v>
      </c>
      <c r="F51" s="30">
        <f>'12A Sem 1'!E19</f>
        <v>82</v>
      </c>
      <c r="G51" s="30">
        <f>'12A Sem 1'!F19</f>
        <v>86</v>
      </c>
      <c r="H51" s="30">
        <f>'12A Sem 1'!G19</f>
        <v>52</v>
      </c>
      <c r="I51" s="30">
        <f>'12A Sem 1'!H19</f>
        <v>76</v>
      </c>
      <c r="J51" s="30">
        <f>'12A Sem 1'!I19</f>
        <v>68</v>
      </c>
      <c r="K51" s="30">
        <f>'12A Sem 1'!J19</f>
        <v>84</v>
      </c>
      <c r="L51" s="30">
        <f>'12A Sem 1'!K19</f>
        <v>78</v>
      </c>
      <c r="M51" s="30">
        <f>'12A Sem 1'!L19</f>
        <v>99</v>
      </c>
      <c r="N51" s="30">
        <f>'12A Sem 1'!M19</f>
        <v>95</v>
      </c>
      <c r="O51" s="30">
        <f>'12A Sem 1'!N19</f>
        <v>96</v>
      </c>
      <c r="P51" s="30">
        <f>'12A Sem 1'!O19</f>
        <v>816</v>
      </c>
      <c r="Q51" s="198">
        <f>'12A Sem 1'!P19</f>
        <v>81.599999999999994</v>
      </c>
      <c r="R51" s="30">
        <f>'12A Sem 1'!Q19</f>
        <v>19</v>
      </c>
      <c r="S51" s="45">
        <f>'9A Sem 1'!S19</f>
        <v>0</v>
      </c>
      <c r="T51" s="45">
        <f>'9A Sem 1'!T19</f>
        <v>0</v>
      </c>
      <c r="U51" s="6"/>
      <c r="V51" s="6"/>
      <c r="W51" s="6"/>
      <c r="X51" s="6"/>
      <c r="Y51" s="6"/>
    </row>
    <row r="52" spans="1:25" ht="17.25" customHeight="1" thickBot="1" x14ac:dyDescent="0.3">
      <c r="A52" s="252"/>
      <c r="B52" s="247"/>
      <c r="C52" s="247">
        <v>17</v>
      </c>
      <c r="D52" s="248" t="s">
        <v>23</v>
      </c>
      <c r="E52" s="29" t="s">
        <v>22</v>
      </c>
      <c r="F52" s="30">
        <f>'12A (NS)Sem 2'!E19</f>
        <v>85</v>
      </c>
      <c r="G52" s="30">
        <f>'12A (NS)Sem 2'!F19</f>
        <v>88</v>
      </c>
      <c r="H52" s="30">
        <f>'12A (NS)Sem 2'!G19</f>
        <v>70</v>
      </c>
      <c r="I52" s="30">
        <f>'12A (NS)Sem 2'!H19</f>
        <v>82</v>
      </c>
      <c r="J52" s="30">
        <f>'12A (NS)Sem 2'!I19</f>
        <v>68</v>
      </c>
      <c r="K52" s="30">
        <f>'12A (NS)Sem 2'!J19</f>
        <v>74</v>
      </c>
      <c r="L52" s="30">
        <f>'12A (NS)Sem 2'!K19</f>
        <v>79</v>
      </c>
      <c r="M52" s="30">
        <f>'12A (NS)Sem 2'!L19</f>
        <v>99</v>
      </c>
      <c r="N52" s="30">
        <f>'12A (NS)Sem 2'!M19</f>
        <v>93</v>
      </c>
      <c r="O52" s="30">
        <f>'12A (NS)Sem 2'!N19</f>
        <v>100</v>
      </c>
      <c r="P52" s="30">
        <f>'12A (NS)Sem 2'!O19</f>
        <v>838</v>
      </c>
      <c r="Q52" s="198">
        <f>'12A (NS)Sem 2'!P19</f>
        <v>83.8</v>
      </c>
      <c r="R52" s="30">
        <f>'12A (NS)Sem 2'!Q19</f>
        <v>21</v>
      </c>
      <c r="S52" s="45">
        <f>'9A Sem 2'!S19</f>
        <v>0</v>
      </c>
      <c r="T52" s="45">
        <f>'9A Sem 2'!T19</f>
        <v>0</v>
      </c>
      <c r="U52" s="6"/>
      <c r="V52" s="6"/>
      <c r="W52" s="6"/>
      <c r="X52" s="6"/>
      <c r="Y52" s="6"/>
    </row>
    <row r="53" spans="1:25" ht="17.25" customHeight="1" thickBot="1" x14ac:dyDescent="0.3">
      <c r="A53" s="252"/>
      <c r="B53" s="247"/>
      <c r="C53" s="247">
        <v>17</v>
      </c>
      <c r="D53" s="248" t="s">
        <v>23</v>
      </c>
      <c r="E53" s="29" t="s">
        <v>16</v>
      </c>
      <c r="F53" s="30">
        <f>AVERAGE(F51:F52)</f>
        <v>83.5</v>
      </c>
      <c r="G53" s="30">
        <f t="shared" ref="G53:Q53" si="15">AVERAGE(G51:G52)</f>
        <v>87</v>
      </c>
      <c r="H53" s="30">
        <f t="shared" si="15"/>
        <v>61</v>
      </c>
      <c r="I53" s="30">
        <f t="shared" si="15"/>
        <v>79</v>
      </c>
      <c r="J53" s="30">
        <f t="shared" si="15"/>
        <v>68</v>
      </c>
      <c r="K53" s="30">
        <f t="shared" si="15"/>
        <v>79</v>
      </c>
      <c r="L53" s="30">
        <f t="shared" si="15"/>
        <v>78.5</v>
      </c>
      <c r="M53" s="30">
        <f t="shared" si="15"/>
        <v>99</v>
      </c>
      <c r="N53" s="30">
        <f t="shared" si="15"/>
        <v>94</v>
      </c>
      <c r="O53" s="30">
        <f t="shared" si="15"/>
        <v>98</v>
      </c>
      <c r="P53" s="30">
        <f t="shared" si="15"/>
        <v>827</v>
      </c>
      <c r="Q53" s="198">
        <f t="shared" si="15"/>
        <v>82.699999999999989</v>
      </c>
      <c r="R53" s="30">
        <f>'12A Sem avr (NS)'!$H$19</f>
        <v>21</v>
      </c>
      <c r="S53" s="45">
        <f>AVERAGE(S51:S52)</f>
        <v>0</v>
      </c>
      <c r="T53" s="45">
        <f>AVERAGE(T51:T52)</f>
        <v>0</v>
      </c>
      <c r="U53" s="6"/>
      <c r="V53" s="6"/>
      <c r="W53" s="6"/>
      <c r="X53" s="6"/>
      <c r="Y53" s="6"/>
    </row>
    <row r="54" spans="1:25" ht="17.25" customHeight="1" thickBot="1" x14ac:dyDescent="0.3">
      <c r="A54" s="252">
        <v>17</v>
      </c>
      <c r="B54" s="247"/>
      <c r="C54" s="253">
        <v>18</v>
      </c>
      <c r="D54" s="254" t="s">
        <v>23</v>
      </c>
      <c r="E54" s="29" t="s">
        <v>21</v>
      </c>
      <c r="F54" s="30">
        <f>'12A Sem 1'!E20</f>
        <v>83</v>
      </c>
      <c r="G54" s="30">
        <f>'12A Sem 1'!F20</f>
        <v>69</v>
      </c>
      <c r="H54" s="30">
        <f>'12A Sem 1'!G20</f>
        <v>50</v>
      </c>
      <c r="I54" s="30">
        <f>'12A Sem 1'!H20</f>
        <v>62</v>
      </c>
      <c r="J54" s="30">
        <f>'12A Sem 1'!I20</f>
        <v>62</v>
      </c>
      <c r="K54" s="30">
        <f>'12A Sem 1'!J20</f>
        <v>67</v>
      </c>
      <c r="L54" s="30">
        <f>'12A Sem 1'!K20</f>
        <v>54</v>
      </c>
      <c r="M54" s="30">
        <f>'12A Sem 1'!L20</f>
        <v>99</v>
      </c>
      <c r="N54" s="30">
        <f>'12A Sem 1'!M20</f>
        <v>84</v>
      </c>
      <c r="O54" s="30">
        <f>'12A Sem 1'!N20</f>
        <v>89</v>
      </c>
      <c r="P54" s="30">
        <f>'12A Sem 1'!O20</f>
        <v>719</v>
      </c>
      <c r="Q54" s="198">
        <f>'12A Sem 1'!P20</f>
        <v>71.900000000000006</v>
      </c>
      <c r="R54" s="30">
        <f>'12A Sem 1'!Q20</f>
        <v>42</v>
      </c>
      <c r="S54" s="45">
        <f>'9A Sem 1'!S20</f>
        <v>0</v>
      </c>
      <c r="T54" s="45">
        <f>'9A Sem 1'!T20</f>
        <v>0</v>
      </c>
      <c r="U54" s="6"/>
      <c r="V54" s="6"/>
      <c r="W54" s="6"/>
      <c r="X54" s="6"/>
      <c r="Y54" s="6"/>
    </row>
    <row r="55" spans="1:25" ht="17.25" customHeight="1" thickBot="1" x14ac:dyDescent="0.3">
      <c r="A55" s="252"/>
      <c r="B55" s="247"/>
      <c r="C55" s="253">
        <v>18</v>
      </c>
      <c r="D55" s="254" t="s">
        <v>23</v>
      </c>
      <c r="E55" s="29" t="s">
        <v>22</v>
      </c>
      <c r="F55" s="30">
        <f>'12A (NS)Sem 2'!E20</f>
        <v>83</v>
      </c>
      <c r="G55" s="30">
        <f>'12A (NS)Sem 2'!F20</f>
        <v>74</v>
      </c>
      <c r="H55" s="30">
        <f>'12A (NS)Sem 2'!G20</f>
        <v>70</v>
      </c>
      <c r="I55" s="30">
        <f>'12A (NS)Sem 2'!H20</f>
        <v>73</v>
      </c>
      <c r="J55" s="30">
        <f>'12A (NS)Sem 2'!I20</f>
        <v>66</v>
      </c>
      <c r="K55" s="30">
        <f>'12A (NS)Sem 2'!J20</f>
        <v>61</v>
      </c>
      <c r="L55" s="30">
        <f>'12A (NS)Sem 2'!K20</f>
        <v>65</v>
      </c>
      <c r="M55" s="30">
        <f>'12A (NS)Sem 2'!L20</f>
        <v>99</v>
      </c>
      <c r="N55" s="30">
        <f>'12A (NS)Sem 2'!M20</f>
        <v>92</v>
      </c>
      <c r="O55" s="30">
        <f>'12A (NS)Sem 2'!N20</f>
        <v>94</v>
      </c>
      <c r="P55" s="30">
        <f>'12A (NS)Sem 2'!O20</f>
        <v>777</v>
      </c>
      <c r="Q55" s="198">
        <f>'12A (NS)Sem 2'!P20</f>
        <v>77.7</v>
      </c>
      <c r="R55" s="30">
        <f>'12A (NS)Sem 2'!Q20</f>
        <v>41</v>
      </c>
      <c r="S55" s="45">
        <f>'9A Sem 2'!S20</f>
        <v>0</v>
      </c>
      <c r="T55" s="45">
        <f>'9A Sem 2'!T20</f>
        <v>0</v>
      </c>
      <c r="U55" s="6"/>
      <c r="V55" s="6"/>
      <c r="W55" s="6"/>
      <c r="X55" s="6"/>
      <c r="Y55" s="6"/>
    </row>
    <row r="56" spans="1:25" ht="17.25" customHeight="1" thickBot="1" x14ac:dyDescent="0.3">
      <c r="A56" s="252"/>
      <c r="B56" s="247"/>
      <c r="C56" s="253">
        <v>18</v>
      </c>
      <c r="D56" s="254" t="s">
        <v>23</v>
      </c>
      <c r="E56" s="29" t="s">
        <v>16</v>
      </c>
      <c r="F56" s="30">
        <f>AVERAGE(F54:F55)</f>
        <v>83</v>
      </c>
      <c r="G56" s="30">
        <f t="shared" ref="G56:Q56" si="16">AVERAGE(G54:G55)</f>
        <v>71.5</v>
      </c>
      <c r="H56" s="30">
        <f t="shared" si="16"/>
        <v>60</v>
      </c>
      <c r="I56" s="30">
        <f t="shared" si="16"/>
        <v>67.5</v>
      </c>
      <c r="J56" s="30">
        <f t="shared" si="16"/>
        <v>64</v>
      </c>
      <c r="K56" s="30">
        <f t="shared" si="16"/>
        <v>64</v>
      </c>
      <c r="L56" s="30">
        <f t="shared" si="16"/>
        <v>59.5</v>
      </c>
      <c r="M56" s="30">
        <f t="shared" si="16"/>
        <v>99</v>
      </c>
      <c r="N56" s="30">
        <f t="shared" si="16"/>
        <v>88</v>
      </c>
      <c r="O56" s="30">
        <f t="shared" si="16"/>
        <v>91.5</v>
      </c>
      <c r="P56" s="30">
        <f t="shared" si="16"/>
        <v>748</v>
      </c>
      <c r="Q56" s="198">
        <f t="shared" si="16"/>
        <v>74.800000000000011</v>
      </c>
      <c r="R56" s="30">
        <f>'12A Sem avr (NS)'!$H$20</f>
        <v>43</v>
      </c>
      <c r="S56" s="45">
        <f>AVERAGE(S54:S55)</f>
        <v>0</v>
      </c>
      <c r="T56" s="45">
        <f>AVERAGE(T54:T55)</f>
        <v>0</v>
      </c>
      <c r="U56" s="6"/>
      <c r="V56" s="6"/>
      <c r="W56" s="6"/>
      <c r="X56" s="6"/>
      <c r="Y56" s="6"/>
    </row>
    <row r="57" spans="1:25" ht="17.25" customHeight="1" thickBot="1" x14ac:dyDescent="0.3">
      <c r="A57" s="252">
        <v>18</v>
      </c>
      <c r="B57" s="247"/>
      <c r="C57" s="247">
        <v>17</v>
      </c>
      <c r="D57" s="255" t="s">
        <v>23</v>
      </c>
      <c r="E57" s="29" t="s">
        <v>21</v>
      </c>
      <c r="F57" s="30">
        <f>'12A Sem 1'!E21</f>
        <v>77</v>
      </c>
      <c r="G57" s="30">
        <f>'12A Sem 1'!F21</f>
        <v>85</v>
      </c>
      <c r="H57" s="31">
        <f>'12A Sem 1'!G21</f>
        <v>63</v>
      </c>
      <c r="I57" s="30">
        <f>'12A Sem 1'!H21</f>
        <v>84</v>
      </c>
      <c r="J57" s="30">
        <f>'12A Sem 1'!I21</f>
        <v>73</v>
      </c>
      <c r="K57" s="30">
        <f>'12A Sem 1'!J21</f>
        <v>90</v>
      </c>
      <c r="L57" s="30">
        <f>'12A Sem 1'!K21</f>
        <v>76</v>
      </c>
      <c r="M57" s="30">
        <f>'12A Sem 1'!L21</f>
        <v>97</v>
      </c>
      <c r="N57" s="30">
        <f>'12A Sem 1'!M21</f>
        <v>79</v>
      </c>
      <c r="O57" s="30">
        <f>'12A Sem 1'!N21</f>
        <v>89</v>
      </c>
      <c r="P57" s="30">
        <f>'12A Sem 1'!O21</f>
        <v>813</v>
      </c>
      <c r="Q57" s="198">
        <f>'12A Sem 1'!P21</f>
        <v>81.3</v>
      </c>
      <c r="R57" s="30">
        <f>'12A Sem 1'!Q21</f>
        <v>22</v>
      </c>
      <c r="S57" s="45">
        <f>'9A Sem 1'!S21</f>
        <v>0</v>
      </c>
      <c r="T57" s="45">
        <f>'9A Sem 1'!T21</f>
        <v>0</v>
      </c>
      <c r="U57" s="6"/>
      <c r="V57" s="6"/>
      <c r="W57" s="6"/>
      <c r="X57" s="6"/>
      <c r="Y57" s="6"/>
    </row>
    <row r="58" spans="1:25" ht="18.75" customHeight="1" thickBot="1" x14ac:dyDescent="0.3">
      <c r="A58" s="252"/>
      <c r="B58" s="247"/>
      <c r="C58" s="247">
        <v>17</v>
      </c>
      <c r="D58" s="256" t="s">
        <v>23</v>
      </c>
      <c r="E58" s="29" t="s">
        <v>22</v>
      </c>
      <c r="F58" s="30">
        <f>'12A (NS)Sem 2'!E21</f>
        <v>82</v>
      </c>
      <c r="G58" s="30">
        <f>'12A (NS)Sem 2'!F21</f>
        <v>88</v>
      </c>
      <c r="H58" s="31">
        <f>'12A (NS)Sem 2'!G21</f>
        <v>80</v>
      </c>
      <c r="I58" s="30">
        <f>'12A (NS)Sem 2'!H21</f>
        <v>79</v>
      </c>
      <c r="J58" s="30">
        <f>'12A (NS)Sem 2'!I21</f>
        <v>76</v>
      </c>
      <c r="K58" s="30">
        <f>'12A (NS)Sem 2'!J21</f>
        <v>80</v>
      </c>
      <c r="L58" s="30">
        <f>'12A (NS)Sem 2'!K21</f>
        <v>82</v>
      </c>
      <c r="M58" s="30">
        <f>'12A (NS)Sem 2'!L21</f>
        <v>97</v>
      </c>
      <c r="N58" s="30">
        <f>'12A (NS)Sem 2'!M21</f>
        <v>92</v>
      </c>
      <c r="O58" s="30">
        <f>'12A (NS)Sem 2'!N21</f>
        <v>94</v>
      </c>
      <c r="P58" s="30">
        <f>'12A (NS)Sem 2'!O21</f>
        <v>850</v>
      </c>
      <c r="Q58" s="198">
        <f>'12A (NS)Sem 2'!P21</f>
        <v>85</v>
      </c>
      <c r="R58" s="30">
        <f>'12A (NS)Sem 2'!Q21</f>
        <v>18</v>
      </c>
      <c r="S58" s="45">
        <f>'9A Sem 2'!S21</f>
        <v>0</v>
      </c>
      <c r="T58" s="45">
        <f>'9A Sem 2'!T21</f>
        <v>0</v>
      </c>
      <c r="U58" s="6"/>
      <c r="V58" s="6"/>
      <c r="W58" s="6"/>
      <c r="X58" s="6"/>
      <c r="Y58" s="6"/>
    </row>
    <row r="59" spans="1:25" ht="18.75" customHeight="1" thickBot="1" x14ac:dyDescent="0.3">
      <c r="A59" s="252"/>
      <c r="B59" s="247"/>
      <c r="C59" s="247">
        <v>17</v>
      </c>
      <c r="D59" s="257" t="s">
        <v>23</v>
      </c>
      <c r="E59" s="29" t="s">
        <v>16</v>
      </c>
      <c r="F59" s="30">
        <f>AVERAGE(F57:F58)</f>
        <v>79.5</v>
      </c>
      <c r="G59" s="30">
        <f t="shared" ref="G59:Q59" si="17">AVERAGE(G57:G58)</f>
        <v>86.5</v>
      </c>
      <c r="H59" s="30">
        <f t="shared" si="17"/>
        <v>71.5</v>
      </c>
      <c r="I59" s="30">
        <f t="shared" si="17"/>
        <v>81.5</v>
      </c>
      <c r="J59" s="30">
        <f t="shared" si="17"/>
        <v>74.5</v>
      </c>
      <c r="K59" s="30">
        <f t="shared" si="17"/>
        <v>85</v>
      </c>
      <c r="L59" s="30">
        <f t="shared" si="17"/>
        <v>79</v>
      </c>
      <c r="M59" s="30">
        <f t="shared" si="17"/>
        <v>97</v>
      </c>
      <c r="N59" s="30">
        <f t="shared" si="17"/>
        <v>85.5</v>
      </c>
      <c r="O59" s="30">
        <f t="shared" si="17"/>
        <v>91.5</v>
      </c>
      <c r="P59" s="30">
        <f t="shared" si="17"/>
        <v>831.5</v>
      </c>
      <c r="Q59" s="198">
        <f t="shared" si="17"/>
        <v>83.15</v>
      </c>
      <c r="R59" s="30">
        <f>'12A Sem avr (NS)'!$H$21</f>
        <v>20</v>
      </c>
      <c r="S59" s="45">
        <f>AVERAGE(S57:S58)</f>
        <v>0</v>
      </c>
      <c r="T59" s="45">
        <f>AVERAGE(T57:T58)</f>
        <v>0</v>
      </c>
      <c r="U59" s="6"/>
      <c r="V59" s="6"/>
      <c r="W59" s="6"/>
      <c r="X59" s="6"/>
      <c r="Y59" s="6"/>
    </row>
    <row r="60" spans="1:25" ht="18.75" customHeight="1" thickBot="1" x14ac:dyDescent="0.3">
      <c r="A60" s="246">
        <v>19</v>
      </c>
      <c r="B60" s="247"/>
      <c r="C60" s="247">
        <v>17</v>
      </c>
      <c r="D60" s="248" t="s">
        <v>20</v>
      </c>
      <c r="E60" s="29" t="s">
        <v>21</v>
      </c>
      <c r="F60" s="30">
        <f>'12A Sem 1'!E22</f>
        <v>67</v>
      </c>
      <c r="G60" s="30">
        <f>'12A Sem 1'!F22</f>
        <v>76</v>
      </c>
      <c r="H60" s="30">
        <f>'12A Sem 1'!G22</f>
        <v>51</v>
      </c>
      <c r="I60" s="30">
        <f>'12A Sem 1'!H22</f>
        <v>71</v>
      </c>
      <c r="J60" s="30">
        <f>'12A Sem 1'!I22</f>
        <v>53</v>
      </c>
      <c r="K60" s="30">
        <f>'12A Sem 1'!J22</f>
        <v>66</v>
      </c>
      <c r="L60" s="30">
        <f>'12A Sem 1'!K22</f>
        <v>69</v>
      </c>
      <c r="M60" s="30">
        <f>'12A Sem 1'!L22</f>
        <v>100</v>
      </c>
      <c r="N60" s="30">
        <f>'12A Sem 1'!M22</f>
        <v>93</v>
      </c>
      <c r="O60" s="30">
        <f>'12A Sem 1'!N22</f>
        <v>89</v>
      </c>
      <c r="P60" s="30">
        <f>'12A Sem 1'!O22</f>
        <v>735</v>
      </c>
      <c r="Q60" s="198">
        <f>'12A Sem 1'!P22</f>
        <v>73.5</v>
      </c>
      <c r="R60" s="30">
        <f>'12A Sem 1'!Q22</f>
        <v>37</v>
      </c>
      <c r="S60" s="45">
        <f>'9A Sem 1'!S22</f>
        <v>0</v>
      </c>
      <c r="T60" s="45">
        <f>'9A Sem 1'!T22</f>
        <v>0</v>
      </c>
      <c r="U60" s="6"/>
      <c r="V60" s="6"/>
      <c r="W60" s="6"/>
      <c r="X60" s="6"/>
      <c r="Y60" s="6"/>
    </row>
    <row r="61" spans="1:25" ht="18.75" customHeight="1" thickBot="1" x14ac:dyDescent="0.3">
      <c r="A61" s="246"/>
      <c r="B61" s="247"/>
      <c r="C61" s="247">
        <v>17</v>
      </c>
      <c r="D61" s="248" t="s">
        <v>20</v>
      </c>
      <c r="E61" s="29" t="s">
        <v>22</v>
      </c>
      <c r="F61" s="30">
        <f>'12A (NS)Sem 2'!E22</f>
        <v>82</v>
      </c>
      <c r="G61" s="30">
        <f>'12A (NS)Sem 2'!F22</f>
        <v>80</v>
      </c>
      <c r="H61" s="30">
        <f>'12A (NS)Sem 2'!G22</f>
        <v>69</v>
      </c>
      <c r="I61" s="30">
        <f>'12A (NS)Sem 2'!H22</f>
        <v>68</v>
      </c>
      <c r="J61" s="30">
        <f>'12A (NS)Sem 2'!I22</f>
        <v>65</v>
      </c>
      <c r="K61" s="30">
        <f>'12A (NS)Sem 2'!J22</f>
        <v>62</v>
      </c>
      <c r="L61" s="30">
        <f>'12A (NS)Sem 2'!K22</f>
        <v>77</v>
      </c>
      <c r="M61" s="30">
        <f>'12A (NS)Sem 2'!L22</f>
        <v>100</v>
      </c>
      <c r="N61" s="30">
        <f>'12A (NS)Sem 2'!M22</f>
        <v>92</v>
      </c>
      <c r="O61" s="30">
        <f>'12A (NS)Sem 2'!N22</f>
        <v>94</v>
      </c>
      <c r="P61" s="30">
        <f>'12A (NS)Sem 2'!O22</f>
        <v>789</v>
      </c>
      <c r="Q61" s="198">
        <f>'12A (NS)Sem 2'!P22</f>
        <v>78.900000000000006</v>
      </c>
      <c r="R61" s="30">
        <f>'12A (NS)Sem 2'!Q22</f>
        <v>38</v>
      </c>
      <c r="S61" s="45">
        <f>'9A Sem 2'!S22</f>
        <v>0</v>
      </c>
      <c r="T61" s="45">
        <f>'9A Sem 2'!T22</f>
        <v>0</v>
      </c>
      <c r="U61" s="6"/>
      <c r="V61" s="6"/>
      <c r="W61" s="6"/>
      <c r="X61" s="6"/>
      <c r="Y61" s="6"/>
    </row>
    <row r="62" spans="1:25" ht="18.75" customHeight="1" thickBot="1" x14ac:dyDescent="0.3">
      <c r="A62" s="246"/>
      <c r="B62" s="247"/>
      <c r="C62" s="247">
        <v>17</v>
      </c>
      <c r="D62" s="248" t="s">
        <v>20</v>
      </c>
      <c r="E62" s="29" t="s">
        <v>16</v>
      </c>
      <c r="F62" s="30">
        <f>AVERAGE(F60:F61)</f>
        <v>74.5</v>
      </c>
      <c r="G62" s="30">
        <f t="shared" ref="G62:Q62" si="18">AVERAGE(G60:G61)</f>
        <v>78</v>
      </c>
      <c r="H62" s="30">
        <f t="shared" si="18"/>
        <v>60</v>
      </c>
      <c r="I62" s="30">
        <f t="shared" si="18"/>
        <v>69.5</v>
      </c>
      <c r="J62" s="30">
        <f t="shared" si="18"/>
        <v>59</v>
      </c>
      <c r="K62" s="30">
        <f t="shared" si="18"/>
        <v>64</v>
      </c>
      <c r="L62" s="30">
        <f t="shared" si="18"/>
        <v>73</v>
      </c>
      <c r="M62" s="30">
        <f t="shared" si="18"/>
        <v>100</v>
      </c>
      <c r="N62" s="30">
        <f t="shared" si="18"/>
        <v>92.5</v>
      </c>
      <c r="O62" s="30">
        <f t="shared" si="18"/>
        <v>91.5</v>
      </c>
      <c r="P62" s="30">
        <f t="shared" si="18"/>
        <v>762</v>
      </c>
      <c r="Q62" s="198">
        <f t="shared" si="18"/>
        <v>76.2</v>
      </c>
      <c r="R62" s="30">
        <f>'12A Sem avr (NS)'!$H$22</f>
        <v>36</v>
      </c>
      <c r="S62" s="45">
        <f>AVERAGE(S60:S61)</f>
        <v>0</v>
      </c>
      <c r="T62" s="45">
        <f>AVERAGE(T60:T61)</f>
        <v>0</v>
      </c>
      <c r="U62" s="6"/>
      <c r="V62" s="6"/>
      <c r="W62" s="6"/>
      <c r="X62" s="6"/>
      <c r="Y62" s="6"/>
    </row>
    <row r="63" spans="1:25" ht="18.75" customHeight="1" thickBot="1" x14ac:dyDescent="0.3">
      <c r="A63" s="246">
        <v>20</v>
      </c>
      <c r="B63" s="247"/>
      <c r="C63" s="253">
        <v>17</v>
      </c>
      <c r="D63" s="254" t="s">
        <v>23</v>
      </c>
      <c r="E63" s="29" t="s">
        <v>21</v>
      </c>
      <c r="F63" s="30">
        <f>'12A Sem 1'!E23</f>
        <v>87</v>
      </c>
      <c r="G63" s="30">
        <f>'12A Sem 1'!F23</f>
        <v>96</v>
      </c>
      <c r="H63" s="30">
        <f>'12A Sem 1'!G23</f>
        <v>56</v>
      </c>
      <c r="I63" s="30">
        <f>'12A Sem 1'!H23</f>
        <v>82</v>
      </c>
      <c r="J63" s="30">
        <f>'12A Sem 1'!I23</f>
        <v>73</v>
      </c>
      <c r="K63" s="30">
        <f>'12A Sem 1'!J23</f>
        <v>83</v>
      </c>
      <c r="L63" s="30">
        <f>'12A Sem 1'!K23</f>
        <v>85</v>
      </c>
      <c r="M63" s="30">
        <f>'12A Sem 1'!L23</f>
        <v>99</v>
      </c>
      <c r="N63" s="30">
        <f>'12A Sem 1'!M23</f>
        <v>97</v>
      </c>
      <c r="O63" s="30">
        <f>'12A Sem 1'!N23</f>
        <v>96</v>
      </c>
      <c r="P63" s="30">
        <f>'12A Sem 1'!O23</f>
        <v>854</v>
      </c>
      <c r="Q63" s="198">
        <f>'12A Sem 1'!P23</f>
        <v>85.4</v>
      </c>
      <c r="R63" s="30">
        <f>'12A Sem 1'!Q23</f>
        <v>13</v>
      </c>
      <c r="S63" s="45">
        <f>'9A Sem 1'!S23</f>
        <v>0</v>
      </c>
      <c r="T63" s="45">
        <f>'9A Sem 1'!T23</f>
        <v>0</v>
      </c>
      <c r="U63" s="6"/>
      <c r="V63" s="6"/>
      <c r="W63" s="6"/>
      <c r="X63" s="6"/>
      <c r="Y63" s="6"/>
    </row>
    <row r="64" spans="1:25" ht="18.75" customHeight="1" thickBot="1" x14ac:dyDescent="0.3">
      <c r="A64" s="246"/>
      <c r="B64" s="247"/>
      <c r="C64" s="253">
        <v>17</v>
      </c>
      <c r="D64" s="254" t="s">
        <v>23</v>
      </c>
      <c r="E64" s="29" t="s">
        <v>22</v>
      </c>
      <c r="F64" s="30">
        <f>'12A (NS)Sem 2'!E23</f>
        <v>87</v>
      </c>
      <c r="G64" s="30">
        <f>'12A (NS)Sem 2'!F23</f>
        <v>95</v>
      </c>
      <c r="H64" s="30">
        <f>'12A (NS)Sem 2'!G23</f>
        <v>68</v>
      </c>
      <c r="I64" s="30">
        <f>'12A (NS)Sem 2'!H23</f>
        <v>78</v>
      </c>
      <c r="J64" s="30">
        <f>'12A (NS)Sem 2'!I23</f>
        <v>70</v>
      </c>
      <c r="K64" s="30">
        <f>'12A (NS)Sem 2'!J23</f>
        <v>73</v>
      </c>
      <c r="L64" s="30">
        <f>'12A (NS)Sem 2'!K23</f>
        <v>89</v>
      </c>
      <c r="M64" s="30">
        <f>'12A (NS)Sem 2'!L23</f>
        <v>99</v>
      </c>
      <c r="N64" s="30">
        <f>'12A (NS)Sem 2'!M23</f>
        <v>93</v>
      </c>
      <c r="O64" s="30">
        <f>'12A (NS)Sem 2'!N23</f>
        <v>99</v>
      </c>
      <c r="P64" s="30">
        <f>'12A (NS)Sem 2'!O23</f>
        <v>851</v>
      </c>
      <c r="Q64" s="198">
        <f>'12A (NS)Sem 2'!P23</f>
        <v>85.1</v>
      </c>
      <c r="R64" s="30">
        <f>'12A (NS)Sem 2'!Q23</f>
        <v>17</v>
      </c>
      <c r="S64" s="45">
        <f>'9A Sem 2'!S23</f>
        <v>0</v>
      </c>
      <c r="T64" s="45">
        <f>'9A Sem 2'!T23</f>
        <v>0</v>
      </c>
      <c r="U64" s="6"/>
      <c r="V64" s="6"/>
      <c r="W64" s="6"/>
      <c r="X64" s="6"/>
      <c r="Y64" s="6"/>
    </row>
    <row r="65" spans="1:25" ht="18.75" customHeight="1" thickBot="1" x14ac:dyDescent="0.3">
      <c r="A65" s="246"/>
      <c r="B65" s="247"/>
      <c r="C65" s="253">
        <v>17</v>
      </c>
      <c r="D65" s="254" t="s">
        <v>23</v>
      </c>
      <c r="E65" s="29" t="s">
        <v>16</v>
      </c>
      <c r="F65" s="30">
        <f>AVERAGE(F63:F64)</f>
        <v>87</v>
      </c>
      <c r="G65" s="30">
        <f t="shared" ref="G65:Q65" si="19">AVERAGE(G63:G64)</f>
        <v>95.5</v>
      </c>
      <c r="H65" s="30">
        <f t="shared" si="19"/>
        <v>62</v>
      </c>
      <c r="I65" s="30">
        <f t="shared" si="19"/>
        <v>80</v>
      </c>
      <c r="J65" s="30">
        <f t="shared" si="19"/>
        <v>71.5</v>
      </c>
      <c r="K65" s="30">
        <f t="shared" si="19"/>
        <v>78</v>
      </c>
      <c r="L65" s="30">
        <f t="shared" si="19"/>
        <v>87</v>
      </c>
      <c r="M65" s="30">
        <f t="shared" si="19"/>
        <v>99</v>
      </c>
      <c r="N65" s="30">
        <f t="shared" si="19"/>
        <v>95</v>
      </c>
      <c r="O65" s="30">
        <f t="shared" si="19"/>
        <v>97.5</v>
      </c>
      <c r="P65" s="30">
        <f t="shared" si="19"/>
        <v>852.5</v>
      </c>
      <c r="Q65" s="198">
        <f t="shared" si="19"/>
        <v>85.25</v>
      </c>
      <c r="R65" s="30">
        <f>'12A Sem avr (NS)'!$H$23</f>
        <v>14</v>
      </c>
      <c r="S65" s="45">
        <f>AVERAGE(S63:S64)</f>
        <v>0</v>
      </c>
      <c r="T65" s="45">
        <f>AVERAGE(T63:T64)</f>
        <v>0</v>
      </c>
      <c r="U65" s="6"/>
      <c r="V65" s="6"/>
      <c r="W65" s="6"/>
      <c r="X65" s="6"/>
      <c r="Y65" s="6"/>
    </row>
    <row r="66" spans="1:25" ht="18.75" customHeight="1" thickBot="1" x14ac:dyDescent="0.3">
      <c r="A66" s="246">
        <v>21</v>
      </c>
      <c r="B66" s="247"/>
      <c r="C66" s="253">
        <v>16</v>
      </c>
      <c r="D66" s="254" t="s">
        <v>23</v>
      </c>
      <c r="E66" s="29" t="s">
        <v>21</v>
      </c>
      <c r="F66" s="30">
        <f>'12A Sem 1'!E24</f>
        <v>83</v>
      </c>
      <c r="G66" s="30">
        <f>'12A Sem 1'!F24</f>
        <v>82</v>
      </c>
      <c r="H66" s="30">
        <f>'12A Sem 1'!G24</f>
        <v>42</v>
      </c>
      <c r="I66" s="30">
        <f>'12A Sem 1'!H24</f>
        <v>73</v>
      </c>
      <c r="J66" s="30">
        <f>'12A Sem 1'!I24</f>
        <v>63</v>
      </c>
      <c r="K66" s="30">
        <f>'12A Sem 1'!J24</f>
        <v>76</v>
      </c>
      <c r="L66" s="30">
        <f>'12A Sem 1'!K24</f>
        <v>70</v>
      </c>
      <c r="M66" s="30">
        <f>'12A Sem 1'!L24</f>
        <v>88</v>
      </c>
      <c r="N66" s="30">
        <f>'12A Sem 1'!M24</f>
        <v>95</v>
      </c>
      <c r="O66" s="30">
        <f>'12A Sem 1'!N24</f>
        <v>90</v>
      </c>
      <c r="P66" s="30">
        <f>'12A Sem 1'!O24</f>
        <v>762</v>
      </c>
      <c r="Q66" s="198">
        <f>'12A Sem 1'!P24</f>
        <v>76.2</v>
      </c>
      <c r="R66" s="30">
        <f>'12A Sem 1'!Q24</f>
        <v>32</v>
      </c>
      <c r="S66" s="45">
        <f>'9A Sem 1'!S24</f>
        <v>0</v>
      </c>
      <c r="T66" s="45">
        <f>'9A Sem 1'!T24</f>
        <v>0</v>
      </c>
      <c r="U66" s="6"/>
      <c r="V66" s="6"/>
      <c r="W66" s="6"/>
      <c r="X66" s="6"/>
      <c r="Y66" s="6"/>
    </row>
    <row r="67" spans="1:25" ht="18.75" customHeight="1" thickBot="1" x14ac:dyDescent="0.3">
      <c r="A67" s="246"/>
      <c r="B67" s="247"/>
      <c r="C67" s="253">
        <v>16</v>
      </c>
      <c r="D67" s="254" t="s">
        <v>23</v>
      </c>
      <c r="E67" s="29" t="s">
        <v>22</v>
      </c>
      <c r="F67" s="30">
        <f>'12A (NS)Sem 2'!E24</f>
        <v>85</v>
      </c>
      <c r="G67" s="30">
        <f>'12A (NS)Sem 2'!F24</f>
        <v>83</v>
      </c>
      <c r="H67" s="30">
        <f>'12A (NS)Sem 2'!G24</f>
        <v>65</v>
      </c>
      <c r="I67" s="30">
        <f>'12A (NS)Sem 2'!H24</f>
        <v>86</v>
      </c>
      <c r="J67" s="30">
        <f>'12A (NS)Sem 2'!I24</f>
        <v>70</v>
      </c>
      <c r="K67" s="30">
        <f>'12A (NS)Sem 2'!J24</f>
        <v>61</v>
      </c>
      <c r="L67" s="30">
        <f>'12A (NS)Sem 2'!K24</f>
        <v>68</v>
      </c>
      <c r="M67" s="30">
        <f>'12A (NS)Sem 2'!L24</f>
        <v>88</v>
      </c>
      <c r="N67" s="30">
        <f>'12A (NS)Sem 2'!M24</f>
        <v>92</v>
      </c>
      <c r="O67" s="30">
        <f>'12A (NS)Sem 2'!N24</f>
        <v>95</v>
      </c>
      <c r="P67" s="30">
        <f>'12A (NS)Sem 2'!O24</f>
        <v>793</v>
      </c>
      <c r="Q67" s="198">
        <f>'12A (NS)Sem 2'!P24</f>
        <v>79.3</v>
      </c>
      <c r="R67" s="30">
        <f>'12A (NS)Sem 2'!Q24</f>
        <v>37</v>
      </c>
      <c r="S67" s="45">
        <f>'9A Sem 2'!S24</f>
        <v>0</v>
      </c>
      <c r="T67" s="45">
        <f>'9A Sem 2'!T24</f>
        <v>0</v>
      </c>
      <c r="U67" s="6"/>
      <c r="V67" s="6"/>
      <c r="W67" s="6"/>
      <c r="X67" s="6"/>
      <c r="Y67" s="6"/>
    </row>
    <row r="68" spans="1:25" ht="18.75" customHeight="1" thickBot="1" x14ac:dyDescent="0.3">
      <c r="A68" s="246"/>
      <c r="B68" s="247"/>
      <c r="C68" s="253">
        <v>16</v>
      </c>
      <c r="D68" s="254" t="s">
        <v>23</v>
      </c>
      <c r="E68" s="29" t="s">
        <v>16</v>
      </c>
      <c r="F68" s="30">
        <f>AVERAGE(F66:F67)</f>
        <v>84</v>
      </c>
      <c r="G68" s="30">
        <f t="shared" ref="G68:Q68" si="20">AVERAGE(G66:G67)</f>
        <v>82.5</v>
      </c>
      <c r="H68" s="30">
        <f t="shared" si="20"/>
        <v>53.5</v>
      </c>
      <c r="I68" s="30">
        <f t="shared" si="20"/>
        <v>79.5</v>
      </c>
      <c r="J68" s="30">
        <f t="shared" si="20"/>
        <v>66.5</v>
      </c>
      <c r="K68" s="30">
        <f t="shared" si="20"/>
        <v>68.5</v>
      </c>
      <c r="L68" s="30">
        <f t="shared" si="20"/>
        <v>69</v>
      </c>
      <c r="M68" s="30">
        <f t="shared" si="20"/>
        <v>88</v>
      </c>
      <c r="N68" s="30">
        <f t="shared" si="20"/>
        <v>93.5</v>
      </c>
      <c r="O68" s="30">
        <f t="shared" si="20"/>
        <v>92.5</v>
      </c>
      <c r="P68" s="30">
        <f t="shared" si="20"/>
        <v>777.5</v>
      </c>
      <c r="Q68" s="198">
        <f t="shared" si="20"/>
        <v>77.75</v>
      </c>
      <c r="R68" s="30">
        <f>'12A Sem avr (NS)'!$H$24</f>
        <v>34</v>
      </c>
      <c r="S68" s="45">
        <f>AVERAGE(S66:S67)</f>
        <v>0</v>
      </c>
      <c r="T68" s="45">
        <f>AVERAGE(T66:T67)</f>
        <v>0</v>
      </c>
      <c r="U68" s="6"/>
      <c r="V68" s="6"/>
      <c r="W68" s="6"/>
      <c r="X68" s="6"/>
      <c r="Y68" s="6"/>
    </row>
    <row r="69" spans="1:25" ht="18.75" customHeight="1" thickBot="1" x14ac:dyDescent="0.3">
      <c r="A69" s="252">
        <v>22</v>
      </c>
      <c r="B69" s="247"/>
      <c r="C69" s="247">
        <v>16</v>
      </c>
      <c r="D69" s="248" t="s">
        <v>23</v>
      </c>
      <c r="E69" s="29" t="s">
        <v>21</v>
      </c>
      <c r="F69" s="30">
        <f>'12A Sem 1'!E25</f>
        <v>71</v>
      </c>
      <c r="G69" s="30">
        <f>'12A Sem 1'!F25</f>
        <v>74</v>
      </c>
      <c r="H69" s="30">
        <f>'12A Sem 1'!G25</f>
        <v>50</v>
      </c>
      <c r="I69" s="30">
        <f>'12A Sem 1'!H25</f>
        <v>65</v>
      </c>
      <c r="J69" s="30">
        <f>'12A Sem 1'!I25</f>
        <v>54</v>
      </c>
      <c r="K69" s="30">
        <f>'12A Sem 1'!J25</f>
        <v>75</v>
      </c>
      <c r="L69" s="30">
        <f>'12A Sem 1'!K25</f>
        <v>57</v>
      </c>
      <c r="M69" s="30">
        <f>'12A Sem 1'!L25</f>
        <v>97</v>
      </c>
      <c r="N69" s="30">
        <f>'12A Sem 1'!M25</f>
        <v>92</v>
      </c>
      <c r="O69" s="30">
        <f>'12A Sem 1'!N25</f>
        <v>90</v>
      </c>
      <c r="P69" s="30">
        <f>'12A Sem 1'!O25</f>
        <v>725</v>
      </c>
      <c r="Q69" s="198">
        <f>'12A Sem 1'!P25</f>
        <v>72.5</v>
      </c>
      <c r="R69" s="30">
        <f>'12A Sem 1'!Q25</f>
        <v>40</v>
      </c>
      <c r="S69" s="45">
        <f>'9A Sem 1'!S25</f>
        <v>0</v>
      </c>
      <c r="T69" s="45">
        <f>'9A Sem 1'!T25</f>
        <v>0</v>
      </c>
      <c r="U69" s="6"/>
      <c r="V69" s="6"/>
      <c r="W69" s="6"/>
      <c r="X69" s="6"/>
      <c r="Y69" s="6"/>
    </row>
    <row r="70" spans="1:25" ht="18.75" customHeight="1" thickBot="1" x14ac:dyDescent="0.3">
      <c r="A70" s="252"/>
      <c r="B70" s="247"/>
      <c r="C70" s="247">
        <v>16</v>
      </c>
      <c r="D70" s="248" t="s">
        <v>23</v>
      </c>
      <c r="E70" s="29" t="s">
        <v>22</v>
      </c>
      <c r="F70" s="30">
        <f>'12A (NS)Sem 2'!E25</f>
        <v>81</v>
      </c>
      <c r="G70" s="30">
        <f>'12A (NS)Sem 2'!F25</f>
        <v>81</v>
      </c>
      <c r="H70" s="30">
        <f>'12A (NS)Sem 2'!G25</f>
        <v>64</v>
      </c>
      <c r="I70" s="30">
        <f>'12A (NS)Sem 2'!H25</f>
        <v>76</v>
      </c>
      <c r="J70" s="30">
        <f>'12A (NS)Sem 2'!I25</f>
        <v>61</v>
      </c>
      <c r="K70" s="30">
        <f>'12A (NS)Sem 2'!J25</f>
        <v>64</v>
      </c>
      <c r="L70" s="30">
        <f>'12A (NS)Sem 2'!K25</f>
        <v>71</v>
      </c>
      <c r="M70" s="30">
        <f>'12A (NS)Sem 2'!L25</f>
        <v>97</v>
      </c>
      <c r="N70" s="30">
        <f>'12A (NS)Sem 2'!M25</f>
        <v>98</v>
      </c>
      <c r="O70" s="30">
        <f>'12A (NS)Sem 2'!N25</f>
        <v>95</v>
      </c>
      <c r="P70" s="30">
        <f>'12A (NS)Sem 2'!O25</f>
        <v>788</v>
      </c>
      <c r="Q70" s="198">
        <f>'12A (NS)Sem 2'!P25</f>
        <v>78.8</v>
      </c>
      <c r="R70" s="30">
        <f>'12A (NS)Sem 2'!Q25</f>
        <v>39</v>
      </c>
      <c r="S70" s="45">
        <f>'9A Sem 2'!S25</f>
        <v>0</v>
      </c>
      <c r="T70" s="45">
        <f>'9A Sem 2'!T25</f>
        <v>0</v>
      </c>
      <c r="U70" s="6"/>
      <c r="V70" s="6"/>
      <c r="W70" s="6"/>
      <c r="X70" s="6"/>
      <c r="Y70" s="6"/>
    </row>
    <row r="71" spans="1:25" ht="18.75" customHeight="1" thickBot="1" x14ac:dyDescent="0.3">
      <c r="A71" s="252"/>
      <c r="B71" s="247"/>
      <c r="C71" s="247">
        <v>16</v>
      </c>
      <c r="D71" s="248" t="s">
        <v>23</v>
      </c>
      <c r="E71" s="29" t="s">
        <v>16</v>
      </c>
      <c r="F71" s="30">
        <f>AVERAGE(F69:F70)</f>
        <v>76</v>
      </c>
      <c r="G71" s="30">
        <f t="shared" ref="G71:Q71" si="21">AVERAGE(G69:G70)</f>
        <v>77.5</v>
      </c>
      <c r="H71" s="30">
        <f t="shared" si="21"/>
        <v>57</v>
      </c>
      <c r="I71" s="30">
        <f t="shared" si="21"/>
        <v>70.5</v>
      </c>
      <c r="J71" s="30">
        <f t="shared" si="21"/>
        <v>57.5</v>
      </c>
      <c r="K71" s="30">
        <f t="shared" si="21"/>
        <v>69.5</v>
      </c>
      <c r="L71" s="30">
        <f t="shared" si="21"/>
        <v>64</v>
      </c>
      <c r="M71" s="30">
        <f t="shared" si="21"/>
        <v>97</v>
      </c>
      <c r="N71" s="30">
        <f t="shared" si="21"/>
        <v>95</v>
      </c>
      <c r="O71" s="30">
        <f t="shared" si="21"/>
        <v>92.5</v>
      </c>
      <c r="P71" s="30">
        <f t="shared" si="21"/>
        <v>756.5</v>
      </c>
      <c r="Q71" s="198">
        <f t="shared" si="21"/>
        <v>75.650000000000006</v>
      </c>
      <c r="R71" s="30">
        <f>'12A Sem avr (NS)'!$H$25</f>
        <v>40</v>
      </c>
      <c r="S71" s="45">
        <f>AVERAGE(S69:S70)</f>
        <v>0</v>
      </c>
      <c r="T71" s="45">
        <f>AVERAGE(T69:T70)</f>
        <v>0</v>
      </c>
      <c r="U71" s="6"/>
      <c r="V71" s="6"/>
      <c r="W71" s="6"/>
      <c r="X71" s="6"/>
      <c r="Y71" s="6"/>
    </row>
    <row r="72" spans="1:25" ht="18.75" customHeight="1" thickBot="1" x14ac:dyDescent="0.3">
      <c r="A72" s="252">
        <v>23</v>
      </c>
      <c r="B72" s="247"/>
      <c r="C72" s="247">
        <v>17</v>
      </c>
      <c r="D72" s="248" t="s">
        <v>23</v>
      </c>
      <c r="E72" s="29" t="s">
        <v>21</v>
      </c>
      <c r="F72" s="30">
        <f>'12A Sem 1'!E26</f>
        <v>87</v>
      </c>
      <c r="G72" s="30">
        <f>'12A Sem 1'!F26</f>
        <v>80</v>
      </c>
      <c r="H72" s="30">
        <f>'12A Sem 1'!G26</f>
        <v>62</v>
      </c>
      <c r="I72" s="30">
        <f>'12A Sem 1'!H26</f>
        <v>75</v>
      </c>
      <c r="J72" s="30">
        <f>'12A Sem 1'!I26</f>
        <v>70</v>
      </c>
      <c r="K72" s="30">
        <f>'12A Sem 1'!J26</f>
        <v>85</v>
      </c>
      <c r="L72" s="30">
        <f>'12A Sem 1'!K26</f>
        <v>70</v>
      </c>
      <c r="M72" s="30">
        <f>'12A Sem 1'!L26</f>
        <v>93</v>
      </c>
      <c r="N72" s="30">
        <f>'12A Sem 1'!M26</f>
        <v>95</v>
      </c>
      <c r="O72" s="30">
        <f>'12A Sem 1'!N26</f>
        <v>99</v>
      </c>
      <c r="P72" s="30">
        <f>'12A Sem 1'!O26</f>
        <v>816</v>
      </c>
      <c r="Q72" s="198">
        <f>'12A Sem 1'!P26</f>
        <v>81.599999999999994</v>
      </c>
      <c r="R72" s="30">
        <f>'12A Sem 1'!Q26</f>
        <v>19</v>
      </c>
      <c r="S72" s="45">
        <f>'9A Sem 1'!S26</f>
        <v>0</v>
      </c>
      <c r="T72" s="45">
        <f>'9A Sem 1'!T26</f>
        <v>0</v>
      </c>
      <c r="U72" s="6"/>
      <c r="V72" s="6"/>
      <c r="W72" s="6"/>
      <c r="X72" s="6"/>
      <c r="Y72" s="6"/>
    </row>
    <row r="73" spans="1:25" ht="18.75" customHeight="1" thickBot="1" x14ac:dyDescent="0.3">
      <c r="A73" s="252"/>
      <c r="B73" s="247"/>
      <c r="C73" s="247">
        <v>17</v>
      </c>
      <c r="D73" s="248" t="s">
        <v>23</v>
      </c>
      <c r="E73" s="29" t="s">
        <v>22</v>
      </c>
      <c r="F73" s="30">
        <f>'12A (NS)Sem 2'!E26</f>
        <v>86</v>
      </c>
      <c r="G73" s="30">
        <f>'12A (NS)Sem 2'!F26</f>
        <v>84</v>
      </c>
      <c r="H73" s="30">
        <f>'12A (NS)Sem 2'!G26</f>
        <v>70</v>
      </c>
      <c r="I73" s="30">
        <f>'12A (NS)Sem 2'!H26</f>
        <v>73</v>
      </c>
      <c r="J73" s="30">
        <f>'12A (NS)Sem 2'!I26</f>
        <v>78</v>
      </c>
      <c r="K73" s="30">
        <f>'12A (NS)Sem 2'!J26</f>
        <v>79</v>
      </c>
      <c r="L73" s="30">
        <f>'12A (NS)Sem 2'!K26</f>
        <v>78</v>
      </c>
      <c r="M73" s="30">
        <f>'12A (NS)Sem 2'!L26</f>
        <v>93</v>
      </c>
      <c r="N73" s="30">
        <f>'12A (NS)Sem 2'!M26</f>
        <v>90</v>
      </c>
      <c r="O73" s="30">
        <f>'12A (NS)Sem 2'!N26</f>
        <v>100</v>
      </c>
      <c r="P73" s="30">
        <f>'12A (NS)Sem 2'!O26</f>
        <v>831</v>
      </c>
      <c r="Q73" s="198">
        <f>'12A (NS)Sem 2'!P26</f>
        <v>83.1</v>
      </c>
      <c r="R73" s="30">
        <f>'12A (NS)Sem 2'!Q26</f>
        <v>24</v>
      </c>
      <c r="S73" s="45">
        <f>'9A Sem 2'!S26</f>
        <v>0</v>
      </c>
      <c r="T73" s="45">
        <f>'9A Sem 2'!T26</f>
        <v>0</v>
      </c>
      <c r="U73" s="6"/>
      <c r="V73" s="6"/>
      <c r="W73" s="6"/>
      <c r="X73" s="6"/>
      <c r="Y73" s="6"/>
    </row>
    <row r="74" spans="1:25" ht="18.75" customHeight="1" thickBot="1" x14ac:dyDescent="0.3">
      <c r="A74" s="252"/>
      <c r="B74" s="247"/>
      <c r="C74" s="247">
        <v>17</v>
      </c>
      <c r="D74" s="248" t="s">
        <v>23</v>
      </c>
      <c r="E74" s="29" t="s">
        <v>16</v>
      </c>
      <c r="F74" s="30">
        <f>AVERAGE(F72:F73)</f>
        <v>86.5</v>
      </c>
      <c r="G74" s="30">
        <f t="shared" ref="G74:Q74" si="22">AVERAGE(G72:G73)</f>
        <v>82</v>
      </c>
      <c r="H74" s="30">
        <f t="shared" si="22"/>
        <v>66</v>
      </c>
      <c r="I74" s="30">
        <f t="shared" si="22"/>
        <v>74</v>
      </c>
      <c r="J74" s="30">
        <f t="shared" si="22"/>
        <v>74</v>
      </c>
      <c r="K74" s="30">
        <f t="shared" si="22"/>
        <v>82</v>
      </c>
      <c r="L74" s="30">
        <f t="shared" si="22"/>
        <v>74</v>
      </c>
      <c r="M74" s="30">
        <f t="shared" si="22"/>
        <v>93</v>
      </c>
      <c r="N74" s="30">
        <f t="shared" si="22"/>
        <v>92.5</v>
      </c>
      <c r="O74" s="30">
        <f t="shared" si="22"/>
        <v>99.5</v>
      </c>
      <c r="P74" s="30">
        <f t="shared" si="22"/>
        <v>823.5</v>
      </c>
      <c r="Q74" s="198">
        <f t="shared" si="22"/>
        <v>82.35</v>
      </c>
      <c r="R74" s="30">
        <f>'12A Sem avr (NS)'!$H$26</f>
        <v>23</v>
      </c>
      <c r="S74" s="45">
        <f>AVERAGE(S72:S73)</f>
        <v>0</v>
      </c>
      <c r="T74" s="45">
        <f>AVERAGE(T72:T73)</f>
        <v>0</v>
      </c>
      <c r="U74" s="6"/>
      <c r="V74" s="6"/>
      <c r="W74" s="6"/>
      <c r="X74" s="6"/>
      <c r="Y74" s="6"/>
    </row>
    <row r="75" spans="1:25" ht="18.75" customHeight="1" thickBot="1" x14ac:dyDescent="0.3">
      <c r="A75" s="246">
        <v>24</v>
      </c>
      <c r="B75" s="247"/>
      <c r="C75" s="247">
        <v>17</v>
      </c>
      <c r="D75" s="248" t="s">
        <v>23</v>
      </c>
      <c r="E75" s="29" t="s">
        <v>21</v>
      </c>
      <c r="F75" s="30">
        <f>'12A Sem 1'!E27</f>
        <v>85</v>
      </c>
      <c r="G75" s="30">
        <f>'12A Sem 1'!F27</f>
        <v>73</v>
      </c>
      <c r="H75" s="31">
        <f>'12A Sem 1'!G27</f>
        <v>51</v>
      </c>
      <c r="I75" s="31">
        <f>'12A Sem 1'!H27</f>
        <v>77</v>
      </c>
      <c r="J75" s="30">
        <f>'12A Sem 1'!I27</f>
        <v>77</v>
      </c>
      <c r="K75" s="31">
        <f>'12A Sem 1'!J27</f>
        <v>89</v>
      </c>
      <c r="L75" s="30">
        <f>'12A Sem 1'!K27</f>
        <v>85</v>
      </c>
      <c r="M75" s="30">
        <f>'12A Sem 1'!L27</f>
        <v>79</v>
      </c>
      <c r="N75" s="30">
        <f>'12A Sem 1'!M27</f>
        <v>95</v>
      </c>
      <c r="O75" s="30">
        <f>'12A Sem 1'!N27</f>
        <v>92</v>
      </c>
      <c r="P75" s="30">
        <f>'12A Sem 1'!O27</f>
        <v>803</v>
      </c>
      <c r="Q75" s="198">
        <f>'12A Sem 1'!P27</f>
        <v>80.3</v>
      </c>
      <c r="R75" s="30">
        <f>'12A Sem 1'!Q27</f>
        <v>24</v>
      </c>
      <c r="S75" s="45">
        <f>'9A Sem 1'!S27</f>
        <v>0</v>
      </c>
      <c r="T75" s="45">
        <f>'9A Sem 1'!T27</f>
        <v>0</v>
      </c>
      <c r="U75" s="6"/>
      <c r="V75" s="6"/>
      <c r="W75" s="6"/>
      <c r="X75" s="6"/>
      <c r="Y75" s="6"/>
    </row>
    <row r="76" spans="1:25" ht="18.75" customHeight="1" thickBot="1" x14ac:dyDescent="0.3">
      <c r="A76" s="246"/>
      <c r="B76" s="247"/>
      <c r="C76" s="247">
        <v>17</v>
      </c>
      <c r="D76" s="248" t="s">
        <v>23</v>
      </c>
      <c r="E76" s="29" t="s">
        <v>22</v>
      </c>
      <c r="F76" s="30">
        <f>'12A (NS)Sem 2'!E27</f>
        <v>88</v>
      </c>
      <c r="G76" s="30">
        <f>'12A (NS)Sem 2'!F27</f>
        <v>81</v>
      </c>
      <c r="H76" s="31">
        <f>'12A (NS)Sem 2'!G27</f>
        <v>61</v>
      </c>
      <c r="I76" s="31">
        <f>'12A (NS)Sem 2'!H27</f>
        <v>78</v>
      </c>
      <c r="J76" s="30">
        <f>'12A (NS)Sem 2'!I27</f>
        <v>67</v>
      </c>
      <c r="K76" s="31">
        <f>'12A (NS)Sem 2'!J27</f>
        <v>70</v>
      </c>
      <c r="L76" s="30">
        <f>'12A (NS)Sem 2'!K27</f>
        <v>0</v>
      </c>
      <c r="M76" s="30">
        <f>'12A (NS)Sem 2'!L27</f>
        <v>79</v>
      </c>
      <c r="N76" s="30">
        <f>'12A (NS)Sem 2'!M27</f>
        <v>98</v>
      </c>
      <c r="O76" s="30">
        <f>'12A (NS)Sem 2'!N27</f>
        <v>96</v>
      </c>
      <c r="P76" s="30">
        <f>'12A (NS)Sem 2'!O27</f>
        <v>718</v>
      </c>
      <c r="Q76" s="198">
        <f>'12A (NS)Sem 2'!P27</f>
        <v>79.777777777777771</v>
      </c>
      <c r="R76" s="30">
        <f>'12A (NS)Sem 2'!Q27</f>
        <v>35</v>
      </c>
      <c r="S76" s="45">
        <f>'9A Sem 2'!S27</f>
        <v>0</v>
      </c>
      <c r="T76" s="45">
        <f>'9A Sem 2'!T27</f>
        <v>0</v>
      </c>
      <c r="U76" s="6"/>
      <c r="V76" s="6"/>
      <c r="W76" s="6"/>
      <c r="X76" s="6"/>
      <c r="Y76" s="6"/>
    </row>
    <row r="77" spans="1:25" ht="18.75" customHeight="1" thickBot="1" x14ac:dyDescent="0.3">
      <c r="A77" s="246"/>
      <c r="B77" s="247"/>
      <c r="C77" s="247">
        <v>17</v>
      </c>
      <c r="D77" s="248" t="s">
        <v>23</v>
      </c>
      <c r="E77" s="29" t="s">
        <v>16</v>
      </c>
      <c r="F77" s="30">
        <f>AVERAGE(F75:F76)</f>
        <v>86.5</v>
      </c>
      <c r="G77" s="30">
        <f t="shared" ref="G77:Q77" si="23">AVERAGE(G75:G76)</f>
        <v>77</v>
      </c>
      <c r="H77" s="30">
        <f t="shared" si="23"/>
        <v>56</v>
      </c>
      <c r="I77" s="30">
        <f t="shared" si="23"/>
        <v>77.5</v>
      </c>
      <c r="J77" s="30">
        <f t="shared" si="23"/>
        <v>72</v>
      </c>
      <c r="K77" s="30">
        <f t="shared" si="23"/>
        <v>79.5</v>
      </c>
      <c r="L77" s="30">
        <f t="shared" si="23"/>
        <v>42.5</v>
      </c>
      <c r="M77" s="30">
        <f t="shared" si="23"/>
        <v>79</v>
      </c>
      <c r="N77" s="30">
        <f t="shared" si="23"/>
        <v>96.5</v>
      </c>
      <c r="O77" s="30">
        <f t="shared" si="23"/>
        <v>94</v>
      </c>
      <c r="P77" s="30">
        <f t="shared" si="23"/>
        <v>760.5</v>
      </c>
      <c r="Q77" s="198">
        <f t="shared" si="23"/>
        <v>80.038888888888891</v>
      </c>
      <c r="R77" s="30">
        <f>'12A Sem avr (NS)'!$H$27</f>
        <v>26</v>
      </c>
      <c r="S77" s="45">
        <f>AVERAGE(S75:S76)</f>
        <v>0</v>
      </c>
      <c r="T77" s="45">
        <f>AVERAGE(T75:T76)</f>
        <v>0</v>
      </c>
      <c r="U77" s="6"/>
      <c r="V77" s="6"/>
      <c r="W77" s="6"/>
      <c r="X77" s="6"/>
      <c r="Y77" s="6"/>
    </row>
    <row r="78" spans="1:25" ht="18.75" customHeight="1" thickBot="1" x14ac:dyDescent="0.3">
      <c r="A78" s="252">
        <v>25</v>
      </c>
      <c r="B78" s="247"/>
      <c r="C78" s="247">
        <v>17</v>
      </c>
      <c r="D78" s="248" t="s">
        <v>23</v>
      </c>
      <c r="E78" s="29" t="s">
        <v>21</v>
      </c>
      <c r="F78" s="30">
        <f>'12A Sem 1'!E28</f>
        <v>83</v>
      </c>
      <c r="G78" s="31">
        <f>'12A Sem 1'!F28</f>
        <v>92</v>
      </c>
      <c r="H78" s="31">
        <f>'12A Sem 1'!G28</f>
        <v>91</v>
      </c>
      <c r="I78" s="30">
        <f>'12A Sem 1'!H28</f>
        <v>97</v>
      </c>
      <c r="J78" s="31">
        <f>'12A Sem 1'!I28</f>
        <v>100</v>
      </c>
      <c r="K78" s="30">
        <f>'12A Sem 1'!J28</f>
        <v>100</v>
      </c>
      <c r="L78" s="30">
        <f>'12A Sem 1'!K28</f>
        <v>91</v>
      </c>
      <c r="M78" s="30">
        <f>'12A Sem 1'!L28</f>
        <v>100</v>
      </c>
      <c r="N78" s="30">
        <f>'12A Sem 1'!M28</f>
        <v>100</v>
      </c>
      <c r="O78" s="30">
        <f>'12A Sem 1'!N28</f>
        <v>100</v>
      </c>
      <c r="P78" s="30">
        <f>'12A Sem 1'!O28</f>
        <v>954</v>
      </c>
      <c r="Q78" s="198">
        <f>'12A Sem 1'!P28</f>
        <v>95.4</v>
      </c>
      <c r="R78" s="30">
        <f>'12A Sem 1'!Q28</f>
        <v>3</v>
      </c>
      <c r="S78" s="45">
        <f>'9A Sem 1'!S28</f>
        <v>0</v>
      </c>
      <c r="T78" s="45">
        <f>'9A Sem 1'!T28</f>
        <v>0</v>
      </c>
      <c r="U78" s="6"/>
      <c r="V78" s="6"/>
      <c r="W78" s="6"/>
      <c r="X78" s="6"/>
      <c r="Y78" s="6"/>
    </row>
    <row r="79" spans="1:25" ht="18.75" customHeight="1" thickBot="1" x14ac:dyDescent="0.3">
      <c r="A79" s="252"/>
      <c r="B79" s="247"/>
      <c r="C79" s="247">
        <v>17</v>
      </c>
      <c r="D79" s="248" t="s">
        <v>23</v>
      </c>
      <c r="E79" s="29" t="s">
        <v>22</v>
      </c>
      <c r="F79" s="30">
        <f>'12A (NS)Sem 2'!E28</f>
        <v>95</v>
      </c>
      <c r="G79" s="31">
        <f>'12A (NS)Sem 2'!F28</f>
        <v>95</v>
      </c>
      <c r="H79" s="31">
        <f>'12A (NS)Sem 2'!G28</f>
        <v>95</v>
      </c>
      <c r="I79" s="30">
        <f>'12A (NS)Sem 2'!H28</f>
        <v>96</v>
      </c>
      <c r="J79" s="31">
        <f>'12A (NS)Sem 2'!I28</f>
        <v>96</v>
      </c>
      <c r="K79" s="30">
        <f>'12A (NS)Sem 2'!J28</f>
        <v>93</v>
      </c>
      <c r="L79" s="30">
        <f>'12A (NS)Sem 2'!K28</f>
        <v>90</v>
      </c>
      <c r="M79" s="30">
        <f>'12A (NS)Sem 2'!L28</f>
        <v>100</v>
      </c>
      <c r="N79" s="30">
        <f>'12A (NS)Sem 2'!M28</f>
        <v>100</v>
      </c>
      <c r="O79" s="30">
        <f>'12A (NS)Sem 2'!N28</f>
        <v>100</v>
      </c>
      <c r="P79" s="30">
        <f>'12A (NS)Sem 2'!O28</f>
        <v>960</v>
      </c>
      <c r="Q79" s="198">
        <f>'12A (NS)Sem 2'!P28</f>
        <v>96</v>
      </c>
      <c r="R79" s="30">
        <f>'12A (NS)Sem 2'!Q28</f>
        <v>2</v>
      </c>
      <c r="S79" s="45">
        <f>'9A Sem 2'!S28</f>
        <v>0</v>
      </c>
      <c r="T79" s="45">
        <f>'9A Sem 2'!T28</f>
        <v>0</v>
      </c>
      <c r="U79" s="6"/>
      <c r="V79" s="6"/>
      <c r="W79" s="6"/>
      <c r="X79" s="6"/>
      <c r="Y79" s="6"/>
    </row>
    <row r="80" spans="1:25" ht="18.75" customHeight="1" thickBot="1" x14ac:dyDescent="0.3">
      <c r="A80" s="252"/>
      <c r="B80" s="247"/>
      <c r="C80" s="247">
        <v>17</v>
      </c>
      <c r="D80" s="248" t="s">
        <v>23</v>
      </c>
      <c r="E80" s="29" t="s">
        <v>16</v>
      </c>
      <c r="F80" s="30">
        <f>AVERAGE(F78:F79)</f>
        <v>89</v>
      </c>
      <c r="G80" s="30">
        <f t="shared" ref="G80:Q80" si="24">AVERAGE(G78:G79)</f>
        <v>93.5</v>
      </c>
      <c r="H80" s="30">
        <f t="shared" si="24"/>
        <v>93</v>
      </c>
      <c r="I80" s="30">
        <f t="shared" si="24"/>
        <v>96.5</v>
      </c>
      <c r="J80" s="30">
        <f t="shared" si="24"/>
        <v>98</v>
      </c>
      <c r="K80" s="30">
        <f t="shared" si="24"/>
        <v>96.5</v>
      </c>
      <c r="L80" s="30">
        <f t="shared" si="24"/>
        <v>90.5</v>
      </c>
      <c r="M80" s="30">
        <f t="shared" si="24"/>
        <v>100</v>
      </c>
      <c r="N80" s="30">
        <f t="shared" si="24"/>
        <v>100</v>
      </c>
      <c r="O80" s="30">
        <f t="shared" si="24"/>
        <v>100</v>
      </c>
      <c r="P80" s="30">
        <f t="shared" si="24"/>
        <v>957</v>
      </c>
      <c r="Q80" s="198">
        <f t="shared" si="24"/>
        <v>95.7</v>
      </c>
      <c r="R80" s="30">
        <f>'12A Sem avr (NS)'!$H$28</f>
        <v>3</v>
      </c>
      <c r="S80" s="45">
        <f>AVERAGE(S78:S79)</f>
        <v>0</v>
      </c>
      <c r="T80" s="45">
        <f>AVERAGE(T78:T79)</f>
        <v>0</v>
      </c>
      <c r="U80" s="6"/>
      <c r="V80" s="6"/>
      <c r="W80" s="6"/>
      <c r="X80" s="6"/>
      <c r="Y80" s="6"/>
    </row>
    <row r="81" spans="1:26" ht="18.75" customHeight="1" thickBot="1" x14ac:dyDescent="0.3">
      <c r="A81" s="246">
        <v>26</v>
      </c>
      <c r="B81" s="247"/>
      <c r="C81" s="253">
        <v>18</v>
      </c>
      <c r="D81" s="254" t="s">
        <v>20</v>
      </c>
      <c r="E81" s="29" t="s">
        <v>21</v>
      </c>
      <c r="F81" s="30">
        <f>'12A Sem 1'!E29</f>
        <v>77</v>
      </c>
      <c r="G81" s="30">
        <f>'12A Sem 1'!F29</f>
        <v>73</v>
      </c>
      <c r="H81" s="30">
        <f>'12A Sem 1'!G29</f>
        <v>48</v>
      </c>
      <c r="I81" s="30">
        <f>'12A Sem 1'!H29</f>
        <v>59</v>
      </c>
      <c r="J81" s="30">
        <f>'12A Sem 1'!I29</f>
        <v>50</v>
      </c>
      <c r="K81" s="30">
        <f>'12A Sem 1'!J29</f>
        <v>75</v>
      </c>
      <c r="L81" s="30">
        <f>'12A Sem 1'!K29</f>
        <v>67</v>
      </c>
      <c r="M81" s="30">
        <f>'12A Sem 1'!L29</f>
        <v>99</v>
      </c>
      <c r="N81" s="30">
        <f>'12A Sem 1'!M29</f>
        <v>97</v>
      </c>
      <c r="O81" s="30">
        <f>'12A Sem 1'!N29</f>
        <v>90</v>
      </c>
      <c r="P81" s="30">
        <f>'12A Sem 1'!O29</f>
        <v>735</v>
      </c>
      <c r="Q81" s="198">
        <f>'12A Sem 1'!P29</f>
        <v>73.5</v>
      </c>
      <c r="R81" s="30">
        <f>'12A Sem 1'!Q29</f>
        <v>37</v>
      </c>
      <c r="S81" s="45">
        <f>'9A Sem 1'!S29</f>
        <v>0</v>
      </c>
      <c r="T81" s="45">
        <f>'9A Sem 1'!T29</f>
        <v>0</v>
      </c>
      <c r="U81" s="6"/>
      <c r="V81" s="6"/>
      <c r="W81" s="6"/>
      <c r="X81" s="6"/>
      <c r="Y81" s="6"/>
    </row>
    <row r="82" spans="1:26" ht="18.75" customHeight="1" thickBot="1" x14ac:dyDescent="0.3">
      <c r="A82" s="246"/>
      <c r="B82" s="247"/>
      <c r="C82" s="253">
        <v>18</v>
      </c>
      <c r="D82" s="254" t="s">
        <v>20</v>
      </c>
      <c r="E82" s="29" t="s">
        <v>22</v>
      </c>
      <c r="F82" s="30">
        <f>'12A (NS)Sem 2'!E29</f>
        <v>77</v>
      </c>
      <c r="G82" s="30">
        <f>'12A (NS)Sem 2'!F29</f>
        <v>77</v>
      </c>
      <c r="H82" s="30">
        <f>'12A (NS)Sem 2'!G29</f>
        <v>58</v>
      </c>
      <c r="I82" s="30">
        <f>'12A (NS)Sem 2'!H29</f>
        <v>70</v>
      </c>
      <c r="J82" s="30">
        <f>'12A (NS)Sem 2'!I29</f>
        <v>60</v>
      </c>
      <c r="K82" s="30">
        <f>'12A (NS)Sem 2'!J29</f>
        <v>63</v>
      </c>
      <c r="L82" s="30">
        <f>'12A (NS)Sem 2'!K29</f>
        <v>78</v>
      </c>
      <c r="M82" s="30">
        <f>'12A (NS)Sem 2'!L29</f>
        <v>99</v>
      </c>
      <c r="N82" s="30">
        <f>'12A (NS)Sem 2'!M29</f>
        <v>100</v>
      </c>
      <c r="O82" s="30">
        <f>'12A (NS)Sem 2'!N29</f>
        <v>94</v>
      </c>
      <c r="P82" s="30">
        <f>'12A (NS)Sem 2'!O29</f>
        <v>776</v>
      </c>
      <c r="Q82" s="198">
        <f>'12A (NS)Sem 2'!P29</f>
        <v>77.599999999999994</v>
      </c>
      <c r="R82" s="30">
        <f>'12A (NS)Sem 2'!Q29</f>
        <v>42</v>
      </c>
      <c r="S82" s="45">
        <f>'9A Sem 2'!S29</f>
        <v>0</v>
      </c>
      <c r="T82" s="45">
        <f>'9A Sem 2'!T29</f>
        <v>0</v>
      </c>
      <c r="U82" s="6"/>
      <c r="V82" s="6"/>
      <c r="W82" s="6"/>
      <c r="X82" s="6"/>
      <c r="Y82" s="6"/>
    </row>
    <row r="83" spans="1:26" ht="18.75" customHeight="1" thickBot="1" x14ac:dyDescent="0.3">
      <c r="A83" s="246"/>
      <c r="B83" s="247"/>
      <c r="C83" s="253">
        <v>18</v>
      </c>
      <c r="D83" s="254" t="s">
        <v>20</v>
      </c>
      <c r="E83" s="29" t="s">
        <v>16</v>
      </c>
      <c r="F83" s="30">
        <f>AVERAGE(F81:F82)</f>
        <v>77</v>
      </c>
      <c r="G83" s="30">
        <f t="shared" ref="G83:Q83" si="25">AVERAGE(G81:G82)</f>
        <v>75</v>
      </c>
      <c r="H83" s="30">
        <f t="shared" si="25"/>
        <v>53</v>
      </c>
      <c r="I83" s="30">
        <f t="shared" si="25"/>
        <v>64.5</v>
      </c>
      <c r="J83" s="30">
        <f t="shared" si="25"/>
        <v>55</v>
      </c>
      <c r="K83" s="30">
        <f t="shared" si="25"/>
        <v>69</v>
      </c>
      <c r="L83" s="30">
        <f t="shared" si="25"/>
        <v>72.5</v>
      </c>
      <c r="M83" s="30">
        <f t="shared" si="25"/>
        <v>99</v>
      </c>
      <c r="N83" s="30">
        <f t="shared" si="25"/>
        <v>98.5</v>
      </c>
      <c r="O83" s="30">
        <f t="shared" si="25"/>
        <v>92</v>
      </c>
      <c r="P83" s="30">
        <f t="shared" si="25"/>
        <v>755.5</v>
      </c>
      <c r="Q83" s="198">
        <f t="shared" si="25"/>
        <v>75.55</v>
      </c>
      <c r="R83" s="30">
        <f>'12A Sem avr (NS)'!$H$29</f>
        <v>42</v>
      </c>
      <c r="S83" s="45">
        <f>AVERAGE(S81:S82)</f>
        <v>0</v>
      </c>
      <c r="T83" s="45">
        <f>AVERAGE(T81:T82)</f>
        <v>0</v>
      </c>
      <c r="U83" s="6"/>
      <c r="V83" s="6"/>
      <c r="W83" s="6"/>
      <c r="X83" s="6"/>
      <c r="Y83" s="6"/>
    </row>
    <row r="84" spans="1:26" ht="18.75" customHeight="1" thickBot="1" x14ac:dyDescent="0.3">
      <c r="A84" s="246">
        <v>27</v>
      </c>
      <c r="B84" s="247"/>
      <c r="C84" s="253">
        <v>18</v>
      </c>
      <c r="D84" s="254" t="s">
        <v>23</v>
      </c>
      <c r="E84" s="29" t="s">
        <v>21</v>
      </c>
      <c r="F84" s="30">
        <f>'12A Sem 1'!E30</f>
        <v>88</v>
      </c>
      <c r="G84" s="30">
        <f>'12A Sem 1'!F30</f>
        <v>80</v>
      </c>
      <c r="H84" s="31">
        <f>'12A Sem 1'!G30</f>
        <v>50</v>
      </c>
      <c r="I84" s="30">
        <f>'12A Sem 1'!H30</f>
        <v>74</v>
      </c>
      <c r="J84" s="30">
        <f>'12A Sem 1'!I30</f>
        <v>69</v>
      </c>
      <c r="K84" s="30">
        <f>'12A Sem 1'!J30</f>
        <v>89</v>
      </c>
      <c r="L84" s="30">
        <f>'12A Sem 1'!K30</f>
        <v>74</v>
      </c>
      <c r="M84" s="30">
        <f>'12A Sem 1'!L30</f>
        <v>98</v>
      </c>
      <c r="N84" s="30">
        <f>'12A Sem 1'!M30</f>
        <v>96</v>
      </c>
      <c r="O84" s="30">
        <f>'12A Sem 1'!N30</f>
        <v>92</v>
      </c>
      <c r="P84" s="30">
        <f>'12A Sem 1'!O30</f>
        <v>810</v>
      </c>
      <c r="Q84" s="198">
        <f>'12A Sem 1'!P30</f>
        <v>81</v>
      </c>
      <c r="R84" s="30">
        <f>'12A Sem 1'!Q30</f>
        <v>23</v>
      </c>
      <c r="S84" s="45">
        <f>'9A Sem 1'!S30</f>
        <v>0</v>
      </c>
      <c r="T84" s="45">
        <f>'9A Sem 1'!T30</f>
        <v>0</v>
      </c>
      <c r="U84" s="6"/>
      <c r="V84" s="6"/>
      <c r="W84" s="6"/>
      <c r="X84" s="6"/>
      <c r="Y84" s="6"/>
    </row>
    <row r="85" spans="1:26" ht="18.75" customHeight="1" thickBot="1" x14ac:dyDescent="0.3">
      <c r="A85" s="246"/>
      <c r="B85" s="247"/>
      <c r="C85" s="253">
        <v>18</v>
      </c>
      <c r="D85" s="254" t="s">
        <v>23</v>
      </c>
      <c r="E85" s="29" t="s">
        <v>22</v>
      </c>
      <c r="F85" s="30">
        <f>'12A (NS)Sem 2'!E30</f>
        <v>90</v>
      </c>
      <c r="G85" s="30">
        <f>'12A (NS)Sem 2'!F30</f>
        <v>83</v>
      </c>
      <c r="H85" s="31">
        <f>'12A (NS)Sem 2'!G30</f>
        <v>72</v>
      </c>
      <c r="I85" s="30">
        <f>'12A (NS)Sem 2'!H30</f>
        <v>81</v>
      </c>
      <c r="J85" s="30">
        <f>'12A (NS)Sem 2'!I30</f>
        <v>75</v>
      </c>
      <c r="K85" s="30">
        <f>'12A (NS)Sem 2'!J30</f>
        <v>82</v>
      </c>
      <c r="L85" s="30">
        <f>'12A (NS)Sem 2'!K30</f>
        <v>82</v>
      </c>
      <c r="M85" s="30">
        <f>'12A (NS)Sem 2'!L30</f>
        <v>98</v>
      </c>
      <c r="N85" s="30">
        <f>'12A (NS)Sem 2'!M30</f>
        <v>100</v>
      </c>
      <c r="O85" s="30">
        <f>'12A (NS)Sem 2'!N30</f>
        <v>96</v>
      </c>
      <c r="P85" s="30">
        <f>'12A (NS)Sem 2'!O30</f>
        <v>859</v>
      </c>
      <c r="Q85" s="198">
        <f>'12A (NS)Sem 2'!P30</f>
        <v>85.9</v>
      </c>
      <c r="R85" s="30">
        <f>'12A (NS)Sem 2'!Q30</f>
        <v>14</v>
      </c>
      <c r="S85" s="45">
        <f>'9A Sem 2'!S30</f>
        <v>0</v>
      </c>
      <c r="T85" s="45">
        <f>'9A Sem 2'!T30</f>
        <v>0</v>
      </c>
      <c r="U85" s="6"/>
      <c r="V85" s="6"/>
      <c r="W85" s="6"/>
      <c r="X85" s="6"/>
      <c r="Y85" s="6"/>
    </row>
    <row r="86" spans="1:26" ht="18.75" customHeight="1" thickBot="1" x14ac:dyDescent="0.3">
      <c r="A86" s="246"/>
      <c r="B86" s="247"/>
      <c r="C86" s="253">
        <v>18</v>
      </c>
      <c r="D86" s="254" t="s">
        <v>23</v>
      </c>
      <c r="E86" s="29" t="s">
        <v>16</v>
      </c>
      <c r="F86" s="30">
        <f>AVERAGE(F84:F85)</f>
        <v>89</v>
      </c>
      <c r="G86" s="30">
        <f t="shared" ref="G86:Q86" si="26">AVERAGE(G84:G85)</f>
        <v>81.5</v>
      </c>
      <c r="H86" s="30">
        <f t="shared" si="26"/>
        <v>61</v>
      </c>
      <c r="I86" s="30">
        <f t="shared" si="26"/>
        <v>77.5</v>
      </c>
      <c r="J86" s="30">
        <f t="shared" si="26"/>
        <v>72</v>
      </c>
      <c r="K86" s="30">
        <f t="shared" si="26"/>
        <v>85.5</v>
      </c>
      <c r="L86" s="30">
        <f t="shared" si="26"/>
        <v>78</v>
      </c>
      <c r="M86" s="30">
        <f t="shared" si="26"/>
        <v>98</v>
      </c>
      <c r="N86" s="30">
        <f t="shared" si="26"/>
        <v>98</v>
      </c>
      <c r="O86" s="30">
        <f t="shared" si="26"/>
        <v>94</v>
      </c>
      <c r="P86" s="30">
        <f t="shared" si="26"/>
        <v>834.5</v>
      </c>
      <c r="Q86" s="198">
        <f t="shared" si="26"/>
        <v>83.45</v>
      </c>
      <c r="R86" s="30">
        <f>'12A Sem avr (NS)'!$H$30</f>
        <v>18</v>
      </c>
      <c r="S86" s="45">
        <f>AVERAGE(S84:S85)</f>
        <v>0</v>
      </c>
      <c r="T86" s="45">
        <f>AVERAGE(T84:T85)</f>
        <v>0</v>
      </c>
      <c r="U86" s="6"/>
      <c r="V86" s="6"/>
      <c r="W86" s="6"/>
      <c r="X86" s="6"/>
      <c r="Y86" s="6"/>
    </row>
    <row r="87" spans="1:26" ht="18.75" customHeight="1" thickBot="1" x14ac:dyDescent="0.3">
      <c r="A87" s="246">
        <v>28</v>
      </c>
      <c r="B87" s="247"/>
      <c r="C87" s="253">
        <v>17</v>
      </c>
      <c r="D87" s="254" t="s">
        <v>23</v>
      </c>
      <c r="E87" s="29" t="s">
        <v>21</v>
      </c>
      <c r="F87" s="30">
        <f>'12A Sem 1'!E31</f>
        <v>79</v>
      </c>
      <c r="G87" s="30">
        <f>'12A Sem 1'!F31</f>
        <v>74</v>
      </c>
      <c r="H87" s="30">
        <f>'12A Sem 1'!G31</f>
        <v>50</v>
      </c>
      <c r="I87" s="30">
        <f>'12A Sem 1'!H31</f>
        <v>76</v>
      </c>
      <c r="J87" s="30">
        <f>'12A Sem 1'!I31</f>
        <v>71</v>
      </c>
      <c r="K87" s="30">
        <f>'12A Sem 1'!J31</f>
        <v>80</v>
      </c>
      <c r="L87" s="30">
        <f>'12A Sem 1'!K31</f>
        <v>78</v>
      </c>
      <c r="M87" s="30">
        <f>'12A Sem 1'!L31</f>
        <v>94</v>
      </c>
      <c r="N87" s="30">
        <f>'12A Sem 1'!M31</f>
        <v>99</v>
      </c>
      <c r="O87" s="30">
        <f>'12A Sem 1'!N31</f>
        <v>81</v>
      </c>
      <c r="P87" s="30">
        <f>'12A Sem 1'!O31</f>
        <v>782</v>
      </c>
      <c r="Q87" s="198">
        <f>'12A Sem 1'!P31</f>
        <v>78.2</v>
      </c>
      <c r="R87" s="30">
        <f>'12A Sem 1'!Q31</f>
        <v>26</v>
      </c>
      <c r="S87" s="45">
        <f>'9A Sem 1'!S31</f>
        <v>0</v>
      </c>
      <c r="T87" s="45">
        <f>'9A Sem 1'!T31</f>
        <v>0</v>
      </c>
      <c r="U87" s="6"/>
      <c r="V87" s="6"/>
      <c r="W87" s="6"/>
      <c r="X87" s="6"/>
      <c r="Y87" s="6"/>
    </row>
    <row r="88" spans="1:26" ht="18.75" customHeight="1" thickBot="1" x14ac:dyDescent="0.3">
      <c r="A88" s="246"/>
      <c r="B88" s="247"/>
      <c r="C88" s="253">
        <v>17</v>
      </c>
      <c r="D88" s="254" t="s">
        <v>23</v>
      </c>
      <c r="E88" s="29" t="s">
        <v>22</v>
      </c>
      <c r="F88" s="30">
        <f>'12A (NS)Sem 2'!E31</f>
        <v>84</v>
      </c>
      <c r="G88" s="30">
        <f>'12A (NS)Sem 2'!F31</f>
        <v>85</v>
      </c>
      <c r="H88" s="30">
        <f>'12A (NS)Sem 2'!G31</f>
        <v>76</v>
      </c>
      <c r="I88" s="30">
        <f>'12A (NS)Sem 2'!H31</f>
        <v>77</v>
      </c>
      <c r="J88" s="30">
        <f>'12A (NS)Sem 2'!I31</f>
        <v>74</v>
      </c>
      <c r="K88" s="30">
        <f>'12A (NS)Sem 2'!J31</f>
        <v>80</v>
      </c>
      <c r="L88" s="30">
        <f>'12A (NS)Sem 2'!K31</f>
        <v>80</v>
      </c>
      <c r="M88" s="30">
        <f>'12A (NS)Sem 2'!L31</f>
        <v>94</v>
      </c>
      <c r="N88" s="30">
        <f>'12A (NS)Sem 2'!M31</f>
        <v>90</v>
      </c>
      <c r="O88" s="30">
        <f>'12A (NS)Sem 2'!N31</f>
        <v>90</v>
      </c>
      <c r="P88" s="30">
        <f>'12A (NS)Sem 2'!O31</f>
        <v>830</v>
      </c>
      <c r="Q88" s="198">
        <f>'12A (NS)Sem 2'!P31</f>
        <v>83</v>
      </c>
      <c r="R88" s="30">
        <f>'12A (NS)Sem 2'!Q31</f>
        <v>25</v>
      </c>
      <c r="S88" s="45">
        <f>'9A Sem 2'!S31</f>
        <v>0</v>
      </c>
      <c r="T88" s="45">
        <f>'9A Sem 2'!T31</f>
        <v>0</v>
      </c>
      <c r="U88" s="6"/>
      <c r="V88" s="6"/>
      <c r="W88" s="6"/>
      <c r="X88" s="6"/>
      <c r="Y88" s="6"/>
    </row>
    <row r="89" spans="1:26" ht="18.75" customHeight="1" thickBot="1" x14ac:dyDescent="0.3">
      <c r="A89" s="246"/>
      <c r="B89" s="247"/>
      <c r="C89" s="253">
        <v>17</v>
      </c>
      <c r="D89" s="254" t="s">
        <v>23</v>
      </c>
      <c r="E89" s="29" t="s">
        <v>16</v>
      </c>
      <c r="F89" s="30">
        <f>AVERAGE(F87:F88)</f>
        <v>81.5</v>
      </c>
      <c r="G89" s="30">
        <f t="shared" ref="G89:Q89" si="27">AVERAGE(G87:G88)</f>
        <v>79.5</v>
      </c>
      <c r="H89" s="30">
        <f t="shared" si="27"/>
        <v>63</v>
      </c>
      <c r="I89" s="30">
        <f t="shared" si="27"/>
        <v>76.5</v>
      </c>
      <c r="J89" s="30">
        <f t="shared" si="27"/>
        <v>72.5</v>
      </c>
      <c r="K89" s="30">
        <f t="shared" si="27"/>
        <v>80</v>
      </c>
      <c r="L89" s="30">
        <f t="shared" si="27"/>
        <v>79</v>
      </c>
      <c r="M89" s="30">
        <f t="shared" si="27"/>
        <v>94</v>
      </c>
      <c r="N89" s="30">
        <f t="shared" si="27"/>
        <v>94.5</v>
      </c>
      <c r="O89" s="30">
        <f t="shared" si="27"/>
        <v>85.5</v>
      </c>
      <c r="P89" s="30">
        <f t="shared" si="27"/>
        <v>806</v>
      </c>
      <c r="Q89" s="198">
        <f t="shared" si="27"/>
        <v>80.599999999999994</v>
      </c>
      <c r="R89" s="30">
        <f>'12A Sem avr (NS)'!$H$31</f>
        <v>25</v>
      </c>
      <c r="S89" s="45">
        <f>AVERAGE(S87:S88)</f>
        <v>0</v>
      </c>
      <c r="T89" s="45">
        <f>AVERAGE(T87:T88)</f>
        <v>0</v>
      </c>
      <c r="U89" s="6"/>
      <c r="V89" s="6"/>
      <c r="W89" s="6"/>
      <c r="X89" s="6"/>
      <c r="Y89" s="6"/>
    </row>
    <row r="90" spans="1:26" ht="18.75" customHeight="1" thickBot="1" x14ac:dyDescent="0.3">
      <c r="A90" s="252">
        <v>29</v>
      </c>
      <c r="B90" s="247"/>
      <c r="C90" s="253">
        <v>17</v>
      </c>
      <c r="D90" s="254" t="s">
        <v>23</v>
      </c>
      <c r="E90" s="29" t="s">
        <v>21</v>
      </c>
      <c r="F90" s="30">
        <f>'12A Sem 1'!E32</f>
        <v>84</v>
      </c>
      <c r="G90" s="30">
        <f>'12A Sem 1'!F32</f>
        <v>76</v>
      </c>
      <c r="H90" s="30">
        <f>'12A Sem 1'!G32</f>
        <v>77</v>
      </c>
      <c r="I90" s="30">
        <f>'12A Sem 1'!H32</f>
        <v>81</v>
      </c>
      <c r="J90" s="30">
        <f>'12A Sem 1'!I32</f>
        <v>79</v>
      </c>
      <c r="K90" s="30">
        <f>'12A Sem 1'!J32</f>
        <v>94</v>
      </c>
      <c r="L90" s="30">
        <f>'12A Sem 1'!K32</f>
        <v>74</v>
      </c>
      <c r="M90" s="30">
        <f>'12A Sem 1'!L32</f>
        <v>97</v>
      </c>
      <c r="N90" s="30">
        <f>'12A Sem 1'!M32</f>
        <v>87</v>
      </c>
      <c r="O90" s="30">
        <f>'12A Sem 1'!N32</f>
        <v>93</v>
      </c>
      <c r="P90" s="30">
        <f>'12A Sem 1'!O32</f>
        <v>842</v>
      </c>
      <c r="Q90" s="198">
        <f>'12A Sem 1'!P32</f>
        <v>84.2</v>
      </c>
      <c r="R90" s="30">
        <f>'12A Sem 1'!Q32</f>
        <v>14</v>
      </c>
      <c r="S90" s="45">
        <f>'9A Sem 1'!S32</f>
        <v>0</v>
      </c>
      <c r="T90" s="45">
        <f>'9A Sem 1'!T32</f>
        <v>0</v>
      </c>
      <c r="U90" s="6"/>
      <c r="V90" s="6"/>
      <c r="W90" s="6"/>
      <c r="X90" s="6"/>
      <c r="Y90" s="6"/>
    </row>
    <row r="91" spans="1:26" ht="18.75" customHeight="1" thickBot="1" x14ac:dyDescent="0.3">
      <c r="A91" s="252"/>
      <c r="B91" s="247"/>
      <c r="C91" s="253">
        <v>17</v>
      </c>
      <c r="D91" s="254" t="s">
        <v>23</v>
      </c>
      <c r="E91" s="29" t="s">
        <v>22</v>
      </c>
      <c r="F91" s="30">
        <f>'12A (NS)Sem 2'!E32</f>
        <v>89</v>
      </c>
      <c r="G91" s="30">
        <f>'12A (NS)Sem 2'!F32</f>
        <v>83</v>
      </c>
      <c r="H91" s="30">
        <f>'12A (NS)Sem 2'!G32</f>
        <v>88</v>
      </c>
      <c r="I91" s="30">
        <f>'12A (NS)Sem 2'!H32</f>
        <v>85</v>
      </c>
      <c r="J91" s="30">
        <f>'12A (NS)Sem 2'!I32</f>
        <v>78</v>
      </c>
      <c r="K91" s="30">
        <f>'12A (NS)Sem 2'!J32</f>
        <v>84</v>
      </c>
      <c r="L91" s="30">
        <f>'12A (NS)Sem 2'!K32</f>
        <v>84</v>
      </c>
      <c r="M91" s="30">
        <f>'12A (NS)Sem 2'!L32</f>
        <v>97</v>
      </c>
      <c r="N91" s="30">
        <f>'12A (NS)Sem 2'!M32</f>
        <v>98</v>
      </c>
      <c r="O91" s="30">
        <f>'12A (NS)Sem 2'!N32</f>
        <v>97</v>
      </c>
      <c r="P91" s="30">
        <f>'12A (NS)Sem 2'!O32</f>
        <v>883</v>
      </c>
      <c r="Q91" s="198">
        <f>'12A (NS)Sem 2'!P32</f>
        <v>88.3</v>
      </c>
      <c r="R91" s="30">
        <f>'12A (NS)Sem 2'!Q32</f>
        <v>12</v>
      </c>
      <c r="S91" s="45">
        <f>'9A Sem 2'!S32</f>
        <v>0</v>
      </c>
      <c r="T91" s="45">
        <f>'9A Sem 2'!T32</f>
        <v>0</v>
      </c>
      <c r="U91" s="6"/>
      <c r="V91" s="6"/>
      <c r="W91" s="6"/>
      <c r="X91" s="6"/>
      <c r="Y91" s="6"/>
    </row>
    <row r="92" spans="1:26" ht="18.75" customHeight="1" thickBot="1" x14ac:dyDescent="0.3">
      <c r="A92" s="252"/>
      <c r="B92" s="247"/>
      <c r="C92" s="253">
        <v>17</v>
      </c>
      <c r="D92" s="254" t="s">
        <v>23</v>
      </c>
      <c r="E92" s="29" t="s">
        <v>16</v>
      </c>
      <c r="F92" s="30">
        <f>AVERAGE(F90:F91)</f>
        <v>86.5</v>
      </c>
      <c r="G92" s="30">
        <f t="shared" ref="G92:Q92" si="28">AVERAGE(G90:G91)</f>
        <v>79.5</v>
      </c>
      <c r="H92" s="30">
        <f t="shared" si="28"/>
        <v>82.5</v>
      </c>
      <c r="I92" s="30">
        <f t="shared" si="28"/>
        <v>83</v>
      </c>
      <c r="J92" s="30">
        <f t="shared" si="28"/>
        <v>78.5</v>
      </c>
      <c r="K92" s="30">
        <f t="shared" si="28"/>
        <v>89</v>
      </c>
      <c r="L92" s="30">
        <f t="shared" si="28"/>
        <v>79</v>
      </c>
      <c r="M92" s="30">
        <f t="shared" si="28"/>
        <v>97</v>
      </c>
      <c r="N92" s="30">
        <f t="shared" si="28"/>
        <v>92.5</v>
      </c>
      <c r="O92" s="30">
        <f t="shared" si="28"/>
        <v>95</v>
      </c>
      <c r="P92" s="30">
        <f t="shared" si="28"/>
        <v>862.5</v>
      </c>
      <c r="Q92" s="198">
        <f t="shared" si="28"/>
        <v>86.25</v>
      </c>
      <c r="R92" s="30">
        <f>'12A Sem avr (NS)'!$H$32</f>
        <v>13</v>
      </c>
      <c r="S92" s="45">
        <f>AVERAGE(S90:S91)</f>
        <v>0</v>
      </c>
      <c r="T92" s="45">
        <f>AVERAGE(T90:T91)</f>
        <v>0</v>
      </c>
      <c r="U92" s="6"/>
      <c r="V92" s="6"/>
      <c r="W92" s="6"/>
      <c r="X92" s="6"/>
      <c r="Y92" s="6"/>
    </row>
    <row r="93" spans="1:26" ht="18.75" customHeight="1" thickBot="1" x14ac:dyDescent="0.3">
      <c r="A93" s="246">
        <v>30</v>
      </c>
      <c r="B93" s="247"/>
      <c r="C93" s="253">
        <v>18</v>
      </c>
      <c r="D93" s="254" t="s">
        <v>23</v>
      </c>
      <c r="E93" s="29" t="s">
        <v>21</v>
      </c>
      <c r="F93" s="30">
        <f>'12A Sem 1'!E33</f>
        <v>67</v>
      </c>
      <c r="G93" s="31">
        <f>'12A Sem 1'!F33</f>
        <v>70</v>
      </c>
      <c r="H93" s="31">
        <f>'12A Sem 1'!G33</f>
        <v>74</v>
      </c>
      <c r="I93" s="31">
        <f>'12A Sem 1'!H33</f>
        <v>64</v>
      </c>
      <c r="J93" s="30">
        <f>'12A Sem 1'!I33</f>
        <v>74</v>
      </c>
      <c r="K93" s="30">
        <f>'12A Sem 1'!J33</f>
        <v>82</v>
      </c>
      <c r="L93" s="30">
        <f>'12A Sem 1'!K33</f>
        <v>62</v>
      </c>
      <c r="M93" s="30">
        <f>'12A Sem 1'!L33</f>
        <v>98</v>
      </c>
      <c r="N93" s="30">
        <f>'12A Sem 1'!M33</f>
        <v>84</v>
      </c>
      <c r="O93" s="31">
        <f>'12A Sem 1'!N33</f>
        <v>87</v>
      </c>
      <c r="P93" s="30">
        <f>'12A Sem 1'!O33</f>
        <v>762</v>
      </c>
      <c r="Q93" s="198">
        <f>'12A Sem 1'!P33</f>
        <v>76.2</v>
      </c>
      <c r="R93" s="30">
        <f>'12A Sem 1'!Q33</f>
        <v>32</v>
      </c>
      <c r="S93" s="45">
        <f>'9A Sem 1'!S33</f>
        <v>0</v>
      </c>
      <c r="T93" s="45">
        <f>'9A Sem 1'!T33</f>
        <v>0</v>
      </c>
      <c r="U93" s="6"/>
      <c r="V93" s="6"/>
      <c r="W93" s="6"/>
      <c r="X93" s="6"/>
      <c r="Y93" s="6"/>
    </row>
    <row r="94" spans="1:26" ht="18.75" customHeight="1" thickBot="1" x14ac:dyDescent="0.3">
      <c r="A94" s="246"/>
      <c r="B94" s="247"/>
      <c r="C94" s="253">
        <v>18</v>
      </c>
      <c r="D94" s="254" t="s">
        <v>23</v>
      </c>
      <c r="E94" s="29" t="s">
        <v>22</v>
      </c>
      <c r="F94" s="30">
        <f>'12A (NS)Sem 2'!E33</f>
        <v>81</v>
      </c>
      <c r="G94" s="31">
        <f>'12A (NS)Sem 2'!F33</f>
        <v>79</v>
      </c>
      <c r="H94" s="31">
        <f>'12A (NS)Sem 2'!G33</f>
        <v>75</v>
      </c>
      <c r="I94" s="31">
        <f>'12A (NS)Sem 2'!H33</f>
        <v>75</v>
      </c>
      <c r="J94" s="30">
        <f>'12A (NS)Sem 2'!I33</f>
        <v>74</v>
      </c>
      <c r="K94" s="30">
        <f>'12A (NS)Sem 2'!J33</f>
        <v>76</v>
      </c>
      <c r="L94" s="30">
        <f>'12A (NS)Sem 2'!K33</f>
        <v>87</v>
      </c>
      <c r="M94" s="30">
        <f>'12A (NS)Sem 2'!L33</f>
        <v>98</v>
      </c>
      <c r="N94" s="30">
        <f>'12A (NS)Sem 2'!M33</f>
        <v>95</v>
      </c>
      <c r="O94" s="31">
        <f>'12A (NS)Sem 2'!N33</f>
        <v>92</v>
      </c>
      <c r="P94" s="30">
        <f>'12A (NS)Sem 2'!O33</f>
        <v>832</v>
      </c>
      <c r="Q94" s="198">
        <f>'12A (NS)Sem 2'!P33</f>
        <v>83.2</v>
      </c>
      <c r="R94" s="30">
        <f>'12A (NS)Sem 2'!Q33</f>
        <v>23</v>
      </c>
      <c r="S94" s="45">
        <f>'9A Sem 2'!S33</f>
        <v>0</v>
      </c>
      <c r="T94" s="45">
        <f>'9A Sem 2'!T33</f>
        <v>0</v>
      </c>
      <c r="U94" s="6"/>
      <c r="V94" s="6"/>
      <c r="W94" s="6"/>
      <c r="X94" s="6"/>
      <c r="Y94" s="6"/>
    </row>
    <row r="95" spans="1:26" ht="18.75" customHeight="1" thickBot="1" x14ac:dyDescent="0.3">
      <c r="A95" s="246"/>
      <c r="B95" s="250"/>
      <c r="C95" s="266">
        <v>18</v>
      </c>
      <c r="D95" s="354" t="s">
        <v>23</v>
      </c>
      <c r="E95" s="108" t="s">
        <v>16</v>
      </c>
      <c r="F95" s="109">
        <f>AVERAGE(F93:F94)</f>
        <v>74</v>
      </c>
      <c r="G95" s="109">
        <f t="shared" ref="G95:Q95" si="29">AVERAGE(G93:G94)</f>
        <v>74.5</v>
      </c>
      <c r="H95" s="109">
        <f t="shared" si="29"/>
        <v>74.5</v>
      </c>
      <c r="I95" s="109">
        <f t="shared" si="29"/>
        <v>69.5</v>
      </c>
      <c r="J95" s="109">
        <f t="shared" si="29"/>
        <v>74</v>
      </c>
      <c r="K95" s="109">
        <f t="shared" si="29"/>
        <v>79</v>
      </c>
      <c r="L95" s="109">
        <f t="shared" si="29"/>
        <v>74.5</v>
      </c>
      <c r="M95" s="109">
        <f t="shared" si="29"/>
        <v>98</v>
      </c>
      <c r="N95" s="109">
        <f t="shared" si="29"/>
        <v>89.5</v>
      </c>
      <c r="O95" s="109">
        <f t="shared" si="29"/>
        <v>89.5</v>
      </c>
      <c r="P95" s="109">
        <f t="shared" si="29"/>
        <v>797</v>
      </c>
      <c r="Q95" s="202">
        <f t="shared" si="29"/>
        <v>79.7</v>
      </c>
      <c r="R95" s="109">
        <f>'12A Sem avr (NS)'!$H$33</f>
        <v>28</v>
      </c>
      <c r="S95" s="110">
        <f>AVERAGE(S93:S94)</f>
        <v>0</v>
      </c>
      <c r="T95" s="110">
        <f>AVERAGE(T93:T94)</f>
        <v>0</v>
      </c>
      <c r="U95" s="6"/>
      <c r="V95" s="6"/>
      <c r="W95" s="6"/>
      <c r="X95" s="6"/>
      <c r="Y95" s="6"/>
    </row>
    <row r="96" spans="1:26" ht="18.75" customHeight="1" thickBot="1" x14ac:dyDescent="0.3">
      <c r="A96" s="353">
        <v>31</v>
      </c>
      <c r="B96" s="247"/>
      <c r="C96" s="253">
        <v>17</v>
      </c>
      <c r="D96" s="254" t="s">
        <v>23</v>
      </c>
      <c r="E96" s="29" t="s">
        <v>21</v>
      </c>
      <c r="F96" s="15">
        <f>'12A Sem 1'!E34</f>
        <v>91</v>
      </c>
      <c r="G96" s="15">
        <f>'12A Sem 1'!F34</f>
        <v>95</v>
      </c>
      <c r="H96" s="15">
        <f>'12A Sem 1'!G34</f>
        <v>86</v>
      </c>
      <c r="I96" s="15">
        <f>'12A Sem 1'!H34</f>
        <v>100</v>
      </c>
      <c r="J96" s="15">
        <f>'12A Sem 1'!I34</f>
        <v>100</v>
      </c>
      <c r="K96" s="15">
        <f>'12A Sem 1'!J34</f>
        <v>100</v>
      </c>
      <c r="L96" s="15">
        <f>'12A Sem 1'!K34</f>
        <v>95</v>
      </c>
      <c r="M96" s="15">
        <f>'12A Sem 1'!L34</f>
        <v>99</v>
      </c>
      <c r="N96" s="15">
        <f>'12A Sem 1'!M34</f>
        <v>99</v>
      </c>
      <c r="O96" s="15">
        <f>'12A Sem 1'!N34</f>
        <v>100</v>
      </c>
      <c r="P96" s="15">
        <f>'12A Sem 1'!O34</f>
        <v>965</v>
      </c>
      <c r="Q96" s="203">
        <f>'12A Sem 1'!P34</f>
        <v>96.5</v>
      </c>
      <c r="R96" s="15">
        <f>'12A Sem 1'!Q34</f>
        <v>1</v>
      </c>
      <c r="S96" s="15">
        <f>'12A Sem 1'!R34</f>
        <v>0</v>
      </c>
      <c r="T96" s="38">
        <f>'12A Sem 1'!S34</f>
        <v>0</v>
      </c>
      <c r="V96" s="6"/>
      <c r="W96" s="6"/>
      <c r="X96" s="6"/>
      <c r="Y96" s="6"/>
      <c r="Z96" s="6"/>
    </row>
    <row r="97" spans="1:26" ht="18.75" customHeight="1" thickBot="1" x14ac:dyDescent="0.3">
      <c r="A97" s="353"/>
      <c r="B97" s="247"/>
      <c r="C97" s="253">
        <v>17</v>
      </c>
      <c r="D97" s="254" t="s">
        <v>23</v>
      </c>
      <c r="E97" s="29" t="s">
        <v>22</v>
      </c>
      <c r="F97" s="15">
        <f>'12A (NS)Sem 2'!E34</f>
        <v>95</v>
      </c>
      <c r="G97" s="15">
        <f>'12A (NS)Sem 2'!F34</f>
        <v>95</v>
      </c>
      <c r="H97" s="15">
        <f>'12A (NS)Sem 2'!G34</f>
        <v>92</v>
      </c>
      <c r="I97" s="15">
        <f>'12A (NS)Sem 2'!H34</f>
        <v>97</v>
      </c>
      <c r="J97" s="15">
        <f>'12A (NS)Sem 2'!I34</f>
        <v>100</v>
      </c>
      <c r="K97" s="15">
        <f>'12A (NS)Sem 2'!J34</f>
        <v>98</v>
      </c>
      <c r="L97" s="15">
        <f>'12A (NS)Sem 2'!K34</f>
        <v>97</v>
      </c>
      <c r="M97" s="15">
        <f>'12A (NS)Sem 2'!L34</f>
        <v>99</v>
      </c>
      <c r="N97" s="15">
        <f>'12A (NS)Sem 2'!M34</f>
        <v>100</v>
      </c>
      <c r="O97" s="15">
        <f>'12A (NS)Sem 2'!N34</f>
        <v>100</v>
      </c>
      <c r="P97" s="15">
        <f>'12A (NS)Sem 2'!O34</f>
        <v>973</v>
      </c>
      <c r="Q97" s="203">
        <f>'12A (NS)Sem 2'!P34</f>
        <v>97.3</v>
      </c>
      <c r="R97" s="15">
        <f>'12A (NS)Sem 2'!Q34</f>
        <v>1</v>
      </c>
      <c r="S97" s="15">
        <f>'12A (NS)Sem 2'!R34</f>
        <v>0</v>
      </c>
      <c r="T97" s="38">
        <f>'12A (NS)Sem 2'!S34</f>
        <v>0</v>
      </c>
      <c r="V97" s="6"/>
      <c r="W97" s="6"/>
      <c r="X97" s="6"/>
      <c r="Y97" s="6"/>
      <c r="Z97" s="6"/>
    </row>
    <row r="98" spans="1:26" ht="18.75" customHeight="1" thickBot="1" x14ac:dyDescent="0.3">
      <c r="A98" s="353"/>
      <c r="B98" s="247"/>
      <c r="C98" s="253">
        <v>17</v>
      </c>
      <c r="D98" s="254" t="s">
        <v>23</v>
      </c>
      <c r="E98" s="108" t="s">
        <v>16</v>
      </c>
      <c r="F98" s="15">
        <f>AVERAGE(F96:F97)</f>
        <v>93</v>
      </c>
      <c r="G98" s="15">
        <f t="shared" ref="G98:Q98" si="30">AVERAGE(G96:G97)</f>
        <v>95</v>
      </c>
      <c r="H98" s="15">
        <f t="shared" si="30"/>
        <v>89</v>
      </c>
      <c r="I98" s="15">
        <f t="shared" si="30"/>
        <v>98.5</v>
      </c>
      <c r="J98" s="15">
        <f t="shared" si="30"/>
        <v>100</v>
      </c>
      <c r="K98" s="15">
        <f t="shared" si="30"/>
        <v>99</v>
      </c>
      <c r="L98" s="15">
        <f t="shared" si="30"/>
        <v>96</v>
      </c>
      <c r="M98" s="15">
        <f t="shared" si="30"/>
        <v>99</v>
      </c>
      <c r="N98" s="15">
        <f t="shared" si="30"/>
        <v>99.5</v>
      </c>
      <c r="O98" s="15">
        <f t="shared" si="30"/>
        <v>100</v>
      </c>
      <c r="P98" s="15">
        <f t="shared" si="30"/>
        <v>969</v>
      </c>
      <c r="Q98" s="203">
        <f t="shared" si="30"/>
        <v>96.9</v>
      </c>
      <c r="R98" s="15">
        <f>'12A Sem avr (NS)'!$H$34</f>
        <v>1</v>
      </c>
      <c r="S98" s="15">
        <f>AVERAGE(S96:S97)</f>
        <v>0</v>
      </c>
      <c r="T98" s="38">
        <f>AVERAGE(T96:T97)</f>
        <v>0</v>
      </c>
      <c r="V98" s="6"/>
      <c r="W98" s="6"/>
      <c r="X98" s="6"/>
      <c r="Y98" s="6"/>
      <c r="Z98" s="6"/>
    </row>
    <row r="99" spans="1:26" ht="18.75" customHeight="1" thickBot="1" x14ac:dyDescent="0.3">
      <c r="A99" s="286">
        <v>32</v>
      </c>
      <c r="B99" s="247"/>
      <c r="C99" s="253">
        <v>17</v>
      </c>
      <c r="D99" s="254" t="s">
        <v>23</v>
      </c>
      <c r="E99" s="29" t="s">
        <v>21</v>
      </c>
      <c r="F99" s="15">
        <f>'12A Sem 1'!E35</f>
        <v>77</v>
      </c>
      <c r="G99" s="15">
        <f>'12A Sem 1'!F35</f>
        <v>79</v>
      </c>
      <c r="H99" s="15">
        <f>'12A Sem 1'!G35</f>
        <v>50</v>
      </c>
      <c r="I99" s="15">
        <f>'12A Sem 1'!H35</f>
        <v>64</v>
      </c>
      <c r="J99" s="15">
        <f>'12A Sem 1'!I35</f>
        <v>63</v>
      </c>
      <c r="K99" s="15">
        <f>'12A Sem 1'!J35</f>
        <v>79</v>
      </c>
      <c r="L99" s="15">
        <f>'12A Sem 1'!K35</f>
        <v>71</v>
      </c>
      <c r="M99" s="15">
        <f>'12A Sem 1'!L35</f>
        <v>91</v>
      </c>
      <c r="N99" s="15">
        <f>'12A Sem 1'!M35</f>
        <v>92</v>
      </c>
      <c r="O99" s="15">
        <f>'12A Sem 1'!N35</f>
        <v>95</v>
      </c>
      <c r="P99" s="15">
        <f>'12A Sem 1'!O35</f>
        <v>761</v>
      </c>
      <c r="Q99" s="203">
        <f>'12A Sem 1'!P35</f>
        <v>76.099999999999994</v>
      </c>
      <c r="R99" s="15">
        <f>'12A Sem 1'!Q35</f>
        <v>34</v>
      </c>
      <c r="S99" s="15">
        <f>'12A Sem 1'!R35</f>
        <v>0</v>
      </c>
      <c r="T99" s="38">
        <f>'12A Sem 1'!S35</f>
        <v>0</v>
      </c>
      <c r="V99" s="6"/>
      <c r="W99" s="6"/>
      <c r="X99" s="6"/>
      <c r="Y99" s="6"/>
      <c r="Z99" s="6"/>
    </row>
    <row r="100" spans="1:26" ht="17.25" customHeight="1" thickBot="1" x14ac:dyDescent="0.3">
      <c r="A100" s="286"/>
      <c r="B100" s="247"/>
      <c r="C100" s="253">
        <v>17</v>
      </c>
      <c r="D100" s="254" t="s">
        <v>23</v>
      </c>
      <c r="E100" s="29" t="s">
        <v>22</v>
      </c>
      <c r="F100" s="15">
        <f>'12A (NS)Sem 2'!E35</f>
        <v>82</v>
      </c>
      <c r="G100" s="15">
        <f>'12A (NS)Sem 2'!F35</f>
        <v>83</v>
      </c>
      <c r="H100" s="15">
        <f>'12A (NS)Sem 2'!G35</f>
        <v>72</v>
      </c>
      <c r="I100" s="15">
        <f>'12A (NS)Sem 2'!H35</f>
        <v>72</v>
      </c>
      <c r="J100" s="15">
        <f>'12A (NS)Sem 2'!I35</f>
        <v>69</v>
      </c>
      <c r="K100" s="15">
        <f>'12A (NS)Sem 2'!J35</f>
        <v>76</v>
      </c>
      <c r="L100" s="15">
        <f>'12A (NS)Sem 2'!K35</f>
        <v>77</v>
      </c>
      <c r="M100" s="15">
        <f>'12A (NS)Sem 2'!L35</f>
        <v>91</v>
      </c>
      <c r="N100" s="15">
        <f>'12A (NS)Sem 2'!M35</f>
        <v>90</v>
      </c>
      <c r="O100" s="15">
        <f>'12A (NS)Sem 2'!N35</f>
        <v>99</v>
      </c>
      <c r="P100" s="15">
        <f>'12A (NS)Sem 2'!O35</f>
        <v>811</v>
      </c>
      <c r="Q100" s="203">
        <f>'12A (NS)Sem 2'!P35</f>
        <v>81.099999999999994</v>
      </c>
      <c r="R100" s="15">
        <f>'12A (NS)Sem 2'!Q35</f>
        <v>30</v>
      </c>
      <c r="S100" s="15">
        <f>'12A (NS)Sem 2'!R35</f>
        <v>0</v>
      </c>
      <c r="T100" s="38">
        <f>'12A (NS)Sem 2'!S35</f>
        <v>0</v>
      </c>
      <c r="V100" s="6"/>
      <c r="W100" s="6"/>
      <c r="X100" s="6"/>
      <c r="Y100" s="6"/>
      <c r="Z100" s="6"/>
    </row>
    <row r="101" spans="1:26" ht="17.25" customHeight="1" thickBot="1" x14ac:dyDescent="0.3">
      <c r="A101" s="286"/>
      <c r="B101" s="247"/>
      <c r="C101" s="253">
        <v>17</v>
      </c>
      <c r="D101" s="254" t="s">
        <v>23</v>
      </c>
      <c r="E101" s="108" t="s">
        <v>16</v>
      </c>
      <c r="F101" s="15">
        <f>AVERAGE(F99:F100)</f>
        <v>79.5</v>
      </c>
      <c r="G101" s="15">
        <f t="shared" ref="G101:Q101" si="31">AVERAGE(G99:G100)</f>
        <v>81</v>
      </c>
      <c r="H101" s="15">
        <f t="shared" si="31"/>
        <v>61</v>
      </c>
      <c r="I101" s="15">
        <f t="shared" si="31"/>
        <v>68</v>
      </c>
      <c r="J101" s="15">
        <f t="shared" si="31"/>
        <v>66</v>
      </c>
      <c r="K101" s="15">
        <f t="shared" si="31"/>
        <v>77.5</v>
      </c>
      <c r="L101" s="15">
        <f t="shared" si="31"/>
        <v>74</v>
      </c>
      <c r="M101" s="15">
        <f t="shared" si="31"/>
        <v>91</v>
      </c>
      <c r="N101" s="15">
        <f t="shared" si="31"/>
        <v>91</v>
      </c>
      <c r="O101" s="15">
        <f t="shared" si="31"/>
        <v>97</v>
      </c>
      <c r="P101" s="15">
        <f t="shared" si="31"/>
        <v>786</v>
      </c>
      <c r="Q101" s="203">
        <f t="shared" si="31"/>
        <v>78.599999999999994</v>
      </c>
      <c r="R101" s="15">
        <f>'12A Sem avr (NS)'!$H$35</f>
        <v>32</v>
      </c>
      <c r="S101" s="15">
        <f>AVERAGE(S99:S100)</f>
        <v>0</v>
      </c>
      <c r="T101" s="38">
        <f>AVERAGE(T99:T100)</f>
        <v>0</v>
      </c>
      <c r="V101" s="6"/>
      <c r="W101" s="6"/>
      <c r="X101" s="6"/>
      <c r="Y101" s="6"/>
      <c r="Z101" s="6"/>
    </row>
    <row r="102" spans="1:26" ht="17.25" customHeight="1" thickBot="1" x14ac:dyDescent="0.3">
      <c r="A102" s="353">
        <v>33</v>
      </c>
      <c r="B102" s="247"/>
      <c r="C102" s="253">
        <v>18</v>
      </c>
      <c r="D102" s="254" t="s">
        <v>23</v>
      </c>
      <c r="E102" s="29" t="s">
        <v>21</v>
      </c>
      <c r="F102" s="15">
        <f>'12A Sem 1'!E36</f>
        <v>75</v>
      </c>
      <c r="G102" s="15">
        <f>'12A Sem 1'!F36</f>
        <v>77</v>
      </c>
      <c r="H102" s="15">
        <f>'12A Sem 1'!G36</f>
        <v>47</v>
      </c>
      <c r="I102" s="15">
        <f>'12A Sem 1'!H36</f>
        <v>70</v>
      </c>
      <c r="J102" s="15">
        <f>'12A Sem 1'!I36</f>
        <v>64</v>
      </c>
      <c r="K102" s="15">
        <f>'12A Sem 1'!J36</f>
        <v>91</v>
      </c>
      <c r="L102" s="15">
        <f>'12A Sem 1'!K36</f>
        <v>75</v>
      </c>
      <c r="M102" s="15">
        <f>'12A Sem 1'!L36</f>
        <v>94</v>
      </c>
      <c r="N102" s="15">
        <f>'12A Sem 1'!M36</f>
        <v>86</v>
      </c>
      <c r="O102" s="15">
        <f>'12A Sem 1'!N36</f>
        <v>89</v>
      </c>
      <c r="P102" s="15">
        <f>'12A Sem 1'!O36</f>
        <v>768</v>
      </c>
      <c r="Q102" s="203">
        <f>'12A Sem 1'!P36</f>
        <v>76.8</v>
      </c>
      <c r="R102" s="15">
        <f>'12A Sem 1'!Q36</f>
        <v>28</v>
      </c>
      <c r="S102" s="15">
        <f>'12A Sem 1'!R36</f>
        <v>0</v>
      </c>
      <c r="T102" s="38">
        <f>'12A Sem 1'!S36</f>
        <v>0</v>
      </c>
      <c r="V102" s="6"/>
      <c r="W102" s="6"/>
      <c r="X102" s="6"/>
      <c r="Y102" s="6"/>
      <c r="Z102" s="6"/>
    </row>
    <row r="103" spans="1:26" ht="17.25" customHeight="1" thickBot="1" x14ac:dyDescent="0.3">
      <c r="A103" s="353"/>
      <c r="B103" s="247"/>
      <c r="C103" s="253">
        <v>18</v>
      </c>
      <c r="D103" s="254" t="s">
        <v>23</v>
      </c>
      <c r="E103" s="29" t="s">
        <v>22</v>
      </c>
      <c r="F103" s="15">
        <f>'12A (NS)Sem 2'!E36</f>
        <v>80</v>
      </c>
      <c r="G103" s="15">
        <f>'12A (NS)Sem 2'!F36</f>
        <v>81</v>
      </c>
      <c r="H103" s="15">
        <f>'12A (NS)Sem 2'!G36</f>
        <v>71</v>
      </c>
      <c r="I103" s="15">
        <f>'12A (NS)Sem 2'!H36</f>
        <v>69</v>
      </c>
      <c r="J103" s="15">
        <f>'12A (NS)Sem 2'!I36</f>
        <v>74</v>
      </c>
      <c r="K103" s="15">
        <f>'12A (NS)Sem 2'!J36</f>
        <v>91</v>
      </c>
      <c r="L103" s="15">
        <f>'12A (NS)Sem 2'!K36</f>
        <v>61</v>
      </c>
      <c r="M103" s="15">
        <f>'12A (NS)Sem 2'!L36</f>
        <v>94</v>
      </c>
      <c r="N103" s="15">
        <f>'12A (NS)Sem 2'!M36</f>
        <v>92</v>
      </c>
      <c r="O103" s="15">
        <f>'12A (NS)Sem 2'!N36</f>
        <v>94</v>
      </c>
      <c r="P103" s="15">
        <f>'12A (NS)Sem 2'!O36</f>
        <v>807</v>
      </c>
      <c r="Q103" s="203">
        <f>'12A (NS)Sem 2'!P36</f>
        <v>80.7</v>
      </c>
      <c r="R103" s="15">
        <f>'12A (NS)Sem 2'!Q36</f>
        <v>31</v>
      </c>
      <c r="S103" s="15">
        <f>'12A (NS)Sem 2'!R36</f>
        <v>0</v>
      </c>
      <c r="T103" s="38">
        <f>'12A (NS)Sem 2'!S36</f>
        <v>0</v>
      </c>
      <c r="V103" s="6"/>
      <c r="W103" s="6"/>
      <c r="X103" s="6"/>
      <c r="Y103" s="6"/>
      <c r="Z103" s="6"/>
    </row>
    <row r="104" spans="1:26" ht="17.25" customHeight="1" thickBot="1" x14ac:dyDescent="0.3">
      <c r="A104" s="353"/>
      <c r="B104" s="247"/>
      <c r="C104" s="253">
        <v>18</v>
      </c>
      <c r="D104" s="254" t="s">
        <v>23</v>
      </c>
      <c r="E104" s="108" t="s">
        <v>16</v>
      </c>
      <c r="F104" s="15">
        <f>AVERAGE(F102:F103)</f>
        <v>77.5</v>
      </c>
      <c r="G104" s="15">
        <f t="shared" ref="G104:Q104" si="32">AVERAGE(G102:G103)</f>
        <v>79</v>
      </c>
      <c r="H104" s="15">
        <f t="shared" si="32"/>
        <v>59</v>
      </c>
      <c r="I104" s="15">
        <f t="shared" si="32"/>
        <v>69.5</v>
      </c>
      <c r="J104" s="15">
        <f t="shared" si="32"/>
        <v>69</v>
      </c>
      <c r="K104" s="15">
        <f t="shared" si="32"/>
        <v>91</v>
      </c>
      <c r="L104" s="15">
        <f t="shared" si="32"/>
        <v>68</v>
      </c>
      <c r="M104" s="15">
        <f t="shared" si="32"/>
        <v>94</v>
      </c>
      <c r="N104" s="15">
        <f t="shared" si="32"/>
        <v>89</v>
      </c>
      <c r="O104" s="15">
        <f t="shared" si="32"/>
        <v>91.5</v>
      </c>
      <c r="P104" s="15">
        <f t="shared" si="32"/>
        <v>787.5</v>
      </c>
      <c r="Q104" s="203">
        <f t="shared" si="32"/>
        <v>78.75</v>
      </c>
      <c r="R104" s="15">
        <f>'12A Sem avr (NS)'!$H$36</f>
        <v>31</v>
      </c>
      <c r="S104" s="15">
        <f>AVERAGE(S102:S103)</f>
        <v>0</v>
      </c>
      <c r="T104" s="38">
        <f>AVERAGE(T102:T103)</f>
        <v>0</v>
      </c>
      <c r="V104" s="6"/>
      <c r="W104" s="6"/>
      <c r="X104" s="6"/>
      <c r="Y104" s="6"/>
      <c r="Z104" s="6"/>
    </row>
    <row r="105" spans="1:26" ht="17.25" customHeight="1" thickBot="1" x14ac:dyDescent="0.3">
      <c r="A105" s="286">
        <v>34</v>
      </c>
      <c r="B105" s="247"/>
      <c r="C105" s="253">
        <v>17</v>
      </c>
      <c r="D105" s="254" t="s">
        <v>23</v>
      </c>
      <c r="E105" s="29" t="s">
        <v>21</v>
      </c>
      <c r="F105" s="15">
        <f>'12A Sem 1'!E37</f>
        <v>73</v>
      </c>
      <c r="G105" s="15">
        <f>'12A Sem 1'!F37</f>
        <v>78</v>
      </c>
      <c r="H105" s="15">
        <f>'12A Sem 1'!G37</f>
        <v>69</v>
      </c>
      <c r="I105" s="15">
        <f>'12A Sem 1'!H37</f>
        <v>84</v>
      </c>
      <c r="J105" s="15">
        <f>'12A Sem 1'!I37</f>
        <v>77</v>
      </c>
      <c r="K105" s="15">
        <f>'12A Sem 1'!J37</f>
        <v>87</v>
      </c>
      <c r="L105" s="15">
        <f>'12A Sem 1'!K37</f>
        <v>76</v>
      </c>
      <c r="M105" s="15">
        <f>'12A Sem 1'!L37</f>
        <v>100</v>
      </c>
      <c r="N105" s="15">
        <f>'12A Sem 1'!M37</f>
        <v>91</v>
      </c>
      <c r="O105" s="15">
        <f>'12A Sem 1'!N37</f>
        <v>96</v>
      </c>
      <c r="P105" s="15">
        <f>'12A Sem 1'!O37</f>
        <v>831</v>
      </c>
      <c r="Q105" s="203">
        <f>'12A Sem 1'!P37</f>
        <v>83.1</v>
      </c>
      <c r="R105" s="15">
        <f>'12A Sem 1'!Q37</f>
        <v>16</v>
      </c>
      <c r="S105" s="15">
        <f>'12A Sem 1'!R37</f>
        <v>0</v>
      </c>
      <c r="T105" s="38">
        <f>'12A Sem 1'!S37</f>
        <v>0</v>
      </c>
      <c r="V105" s="6"/>
      <c r="W105" s="6"/>
      <c r="X105" s="6"/>
      <c r="Y105" s="6"/>
      <c r="Z105" s="6"/>
    </row>
    <row r="106" spans="1:26" ht="17.25" customHeight="1" thickBot="1" x14ac:dyDescent="0.3">
      <c r="A106" s="286"/>
      <c r="B106" s="247"/>
      <c r="C106" s="253">
        <v>17</v>
      </c>
      <c r="D106" s="254" t="s">
        <v>23</v>
      </c>
      <c r="E106" s="29" t="s">
        <v>22</v>
      </c>
      <c r="F106" s="15">
        <f>'12A (NS)Sem 2'!E37</f>
        <v>80</v>
      </c>
      <c r="G106" s="15">
        <f>'12A (NS)Sem 2'!F37</f>
        <v>83</v>
      </c>
      <c r="H106" s="15">
        <f>'12A (NS)Sem 2'!G37</f>
        <v>84</v>
      </c>
      <c r="I106" s="15">
        <f>'12A (NS)Sem 2'!H37</f>
        <v>80</v>
      </c>
      <c r="J106" s="15">
        <f>'12A (NS)Sem 2'!I37</f>
        <v>80</v>
      </c>
      <c r="K106" s="15">
        <f>'12A (NS)Sem 2'!J37</f>
        <v>83</v>
      </c>
      <c r="L106" s="15">
        <f>'12A (NS)Sem 2'!K37</f>
        <v>72</v>
      </c>
      <c r="M106" s="15">
        <f>'12A (NS)Sem 2'!L37</f>
        <v>100</v>
      </c>
      <c r="N106" s="15">
        <f>'12A (NS)Sem 2'!M37</f>
        <v>97</v>
      </c>
      <c r="O106" s="15">
        <f>'12A (NS)Sem 2'!N37</f>
        <v>100</v>
      </c>
      <c r="P106" s="15">
        <f>'12A (NS)Sem 2'!O37</f>
        <v>859</v>
      </c>
      <c r="Q106" s="203">
        <f>'12A (NS)Sem 2'!P37</f>
        <v>85.9</v>
      </c>
      <c r="R106" s="15">
        <f>'12A (NS)Sem 2'!Q37</f>
        <v>14</v>
      </c>
      <c r="S106" s="15">
        <f>'12A (NS)Sem 2'!R37</f>
        <v>0</v>
      </c>
      <c r="T106" s="38">
        <f>'12A (NS)Sem 2'!S37</f>
        <v>0</v>
      </c>
      <c r="V106" s="6"/>
      <c r="W106" s="6"/>
      <c r="X106" s="6"/>
      <c r="Y106" s="6"/>
      <c r="Z106" s="6"/>
    </row>
    <row r="107" spans="1:26" ht="17.25" customHeight="1" thickBot="1" x14ac:dyDescent="0.3">
      <c r="A107" s="286"/>
      <c r="B107" s="247"/>
      <c r="C107" s="253">
        <v>17</v>
      </c>
      <c r="D107" s="254" t="s">
        <v>23</v>
      </c>
      <c r="E107" s="108" t="s">
        <v>16</v>
      </c>
      <c r="F107" s="15">
        <f>AVERAGE(F105:F106)</f>
        <v>76.5</v>
      </c>
      <c r="G107" s="15">
        <f t="shared" ref="G107:Q107" si="33">AVERAGE(G105:G106)</f>
        <v>80.5</v>
      </c>
      <c r="H107" s="15">
        <f t="shared" si="33"/>
        <v>76.5</v>
      </c>
      <c r="I107" s="15">
        <f t="shared" si="33"/>
        <v>82</v>
      </c>
      <c r="J107" s="15">
        <f t="shared" si="33"/>
        <v>78.5</v>
      </c>
      <c r="K107" s="15">
        <f t="shared" si="33"/>
        <v>85</v>
      </c>
      <c r="L107" s="15">
        <f t="shared" si="33"/>
        <v>74</v>
      </c>
      <c r="M107" s="15">
        <f t="shared" si="33"/>
        <v>100</v>
      </c>
      <c r="N107" s="15">
        <f t="shared" si="33"/>
        <v>94</v>
      </c>
      <c r="O107" s="15">
        <f t="shared" si="33"/>
        <v>98</v>
      </c>
      <c r="P107" s="15">
        <f t="shared" si="33"/>
        <v>845</v>
      </c>
      <c r="Q107" s="203">
        <f t="shared" si="33"/>
        <v>84.5</v>
      </c>
      <c r="R107" s="15">
        <f>'12A Sem avr (NS)'!$H$37</f>
        <v>15</v>
      </c>
      <c r="S107" s="15">
        <f>AVERAGE(S105:S106)</f>
        <v>0</v>
      </c>
      <c r="T107" s="38">
        <f>AVERAGE(T105:T106)</f>
        <v>0</v>
      </c>
      <c r="V107" s="6"/>
      <c r="W107" s="6"/>
      <c r="X107" s="6"/>
      <c r="Y107" s="6"/>
      <c r="Z107" s="6"/>
    </row>
    <row r="108" spans="1:26" ht="17.25" customHeight="1" thickBot="1" x14ac:dyDescent="0.3">
      <c r="A108" s="353">
        <v>35</v>
      </c>
      <c r="B108" s="247"/>
      <c r="C108" s="253">
        <v>18</v>
      </c>
      <c r="D108" s="254" t="s">
        <v>23</v>
      </c>
      <c r="E108" s="29" t="s">
        <v>21</v>
      </c>
      <c r="F108" s="15">
        <f>'12A Sem 1'!E38</f>
        <v>78</v>
      </c>
      <c r="G108" s="15">
        <f>'12A Sem 1'!F38</f>
        <v>78</v>
      </c>
      <c r="H108" s="15">
        <f>'12A Sem 1'!G38</f>
        <v>43</v>
      </c>
      <c r="I108" s="15">
        <f>'12A Sem 1'!H38</f>
        <v>61</v>
      </c>
      <c r="J108" s="15">
        <f>'12A Sem 1'!I38</f>
        <v>67</v>
      </c>
      <c r="K108" s="15">
        <f>'12A Sem 1'!J38</f>
        <v>77</v>
      </c>
      <c r="L108" s="15">
        <f>'12A Sem 1'!K38</f>
        <v>68</v>
      </c>
      <c r="M108" s="15">
        <f>'12A Sem 1'!L38</f>
        <v>77</v>
      </c>
      <c r="N108" s="15">
        <f>'12A Sem 1'!M38</f>
        <v>89</v>
      </c>
      <c r="O108" s="15">
        <f>'12A Sem 1'!N38</f>
        <v>87</v>
      </c>
      <c r="P108" s="15">
        <f>'12A Sem 1'!O38</f>
        <v>725</v>
      </c>
      <c r="Q108" s="203">
        <f>'12A Sem 1'!P38</f>
        <v>72.5</v>
      </c>
      <c r="R108" s="15">
        <f>'12A Sem 1'!Q38</f>
        <v>40</v>
      </c>
      <c r="S108" s="15">
        <f>'12A Sem 1'!R38</f>
        <v>0</v>
      </c>
      <c r="T108" s="38">
        <f>'12A Sem 1'!S38</f>
        <v>0</v>
      </c>
      <c r="V108" s="6"/>
      <c r="W108" s="6"/>
      <c r="X108" s="6"/>
      <c r="Y108" s="6"/>
      <c r="Z108" s="6"/>
    </row>
    <row r="109" spans="1:26" ht="17.25" customHeight="1" thickBot="1" x14ac:dyDescent="0.3">
      <c r="A109" s="353"/>
      <c r="B109" s="247"/>
      <c r="C109" s="253">
        <v>18</v>
      </c>
      <c r="D109" s="254" t="s">
        <v>23</v>
      </c>
      <c r="E109" s="29" t="s">
        <v>22</v>
      </c>
      <c r="F109" s="15">
        <f>'12A (NS)Sem 2'!E38</f>
        <v>83</v>
      </c>
      <c r="G109" s="15">
        <f>'12A (NS)Sem 2'!F38</f>
        <v>80</v>
      </c>
      <c r="H109" s="15">
        <f>'12A (NS)Sem 2'!G38</f>
        <v>70</v>
      </c>
      <c r="I109" s="15">
        <f>'12A (NS)Sem 2'!H38</f>
        <v>73</v>
      </c>
      <c r="J109" s="15">
        <f>'12A (NS)Sem 2'!I38</f>
        <v>69</v>
      </c>
      <c r="K109" s="15">
        <f>'12A (NS)Sem 2'!J38</f>
        <v>81</v>
      </c>
      <c r="L109" s="15">
        <f>'12A (NS)Sem 2'!K38</f>
        <v>81</v>
      </c>
      <c r="M109" s="15">
        <f>'12A (NS)Sem 2'!L38</f>
        <v>77</v>
      </c>
      <c r="N109" s="15">
        <f>'12A (NS)Sem 2'!M38</f>
        <v>90</v>
      </c>
      <c r="O109" s="15">
        <f>'12A (NS)Sem 2'!N38</f>
        <v>92</v>
      </c>
      <c r="P109" s="15">
        <f>'12A (NS)Sem 2'!O38</f>
        <v>796</v>
      </c>
      <c r="Q109" s="203">
        <f>'12A (NS)Sem 2'!P38</f>
        <v>79.599999999999994</v>
      </c>
      <c r="R109" s="15">
        <f>'12A (NS)Sem 2'!Q38</f>
        <v>36</v>
      </c>
      <c r="S109" s="15">
        <f>'12A (NS)Sem 2'!R38</f>
        <v>0</v>
      </c>
      <c r="T109" s="38">
        <f>'12A (NS)Sem 2'!S38</f>
        <v>0</v>
      </c>
      <c r="V109" s="6"/>
      <c r="W109" s="6"/>
      <c r="X109" s="6"/>
      <c r="Y109" s="6"/>
      <c r="Z109" s="6"/>
    </row>
    <row r="110" spans="1:26" ht="17.25" customHeight="1" thickBot="1" x14ac:dyDescent="0.3">
      <c r="A110" s="353"/>
      <c r="B110" s="247"/>
      <c r="C110" s="253">
        <v>18</v>
      </c>
      <c r="D110" s="254" t="s">
        <v>23</v>
      </c>
      <c r="E110" s="108" t="s">
        <v>16</v>
      </c>
      <c r="F110" s="15">
        <f>AVERAGE(F108:F109)</f>
        <v>80.5</v>
      </c>
      <c r="G110" s="15">
        <f t="shared" ref="G110:Q110" si="34">AVERAGE(G108:G109)</f>
        <v>79</v>
      </c>
      <c r="H110" s="15">
        <f t="shared" si="34"/>
        <v>56.5</v>
      </c>
      <c r="I110" s="15">
        <f t="shared" si="34"/>
        <v>67</v>
      </c>
      <c r="J110" s="15">
        <f t="shared" si="34"/>
        <v>68</v>
      </c>
      <c r="K110" s="15">
        <f t="shared" si="34"/>
        <v>79</v>
      </c>
      <c r="L110" s="15">
        <f t="shared" si="34"/>
        <v>74.5</v>
      </c>
      <c r="M110" s="15">
        <f t="shared" si="34"/>
        <v>77</v>
      </c>
      <c r="N110" s="15">
        <f t="shared" si="34"/>
        <v>89.5</v>
      </c>
      <c r="O110" s="15">
        <f t="shared" si="34"/>
        <v>89.5</v>
      </c>
      <c r="P110" s="15">
        <f t="shared" si="34"/>
        <v>760.5</v>
      </c>
      <c r="Q110" s="203">
        <f t="shared" si="34"/>
        <v>76.05</v>
      </c>
      <c r="R110" s="15">
        <f>'12A Sem avr (NS)'!$H$38</f>
        <v>37</v>
      </c>
      <c r="S110" s="15">
        <f>AVERAGE(S108:S109)</f>
        <v>0</v>
      </c>
      <c r="T110" s="38">
        <f>AVERAGE(T108:T109)</f>
        <v>0</v>
      </c>
      <c r="V110" s="6"/>
      <c r="W110" s="6"/>
      <c r="X110" s="6"/>
      <c r="Y110" s="6"/>
      <c r="Z110" s="6"/>
    </row>
    <row r="111" spans="1:26" ht="17.25" customHeight="1" thickBot="1" x14ac:dyDescent="0.3">
      <c r="A111" s="286">
        <v>36</v>
      </c>
      <c r="B111" s="247"/>
      <c r="C111" s="253">
        <v>17</v>
      </c>
      <c r="D111" s="254" t="s">
        <v>20</v>
      </c>
      <c r="E111" s="29" t="s">
        <v>21</v>
      </c>
      <c r="F111" s="15">
        <f>'12A Sem 1'!E39</f>
        <v>66</v>
      </c>
      <c r="G111" s="15">
        <f>'12A Sem 1'!F39</f>
        <v>67</v>
      </c>
      <c r="H111" s="15">
        <f>'12A Sem 1'!G39</f>
        <v>50</v>
      </c>
      <c r="I111" s="15">
        <f>'12A Sem 1'!H39</f>
        <v>77</v>
      </c>
      <c r="J111" s="15">
        <f>'12A Sem 1'!I39</f>
        <v>64</v>
      </c>
      <c r="K111" s="15">
        <f>'12A Sem 1'!J39</f>
        <v>69</v>
      </c>
      <c r="L111" s="15">
        <f>'12A Sem 1'!K39</f>
        <v>62</v>
      </c>
      <c r="M111" s="15">
        <f>'12A Sem 1'!L39</f>
        <v>84</v>
      </c>
      <c r="N111" s="15">
        <f>'12A Sem 1'!M39</f>
        <v>89</v>
      </c>
      <c r="O111" s="15">
        <f>'12A Sem 1'!N39</f>
        <v>90</v>
      </c>
      <c r="P111" s="15">
        <f>'12A Sem 1'!O39</f>
        <v>718</v>
      </c>
      <c r="Q111" s="203">
        <f>'12A Sem 1'!P39</f>
        <v>71.8</v>
      </c>
      <c r="R111" s="15">
        <f>'12A Sem 1'!Q39</f>
        <v>43</v>
      </c>
      <c r="S111" s="15">
        <f>'12A Sem 1'!R39</f>
        <v>0</v>
      </c>
      <c r="T111" s="38">
        <f>'12A Sem 1'!S39</f>
        <v>0</v>
      </c>
      <c r="V111" s="6"/>
      <c r="W111" s="6"/>
      <c r="X111" s="6"/>
      <c r="Y111" s="6"/>
      <c r="Z111" s="6"/>
    </row>
    <row r="112" spans="1:26" ht="17.25" customHeight="1" thickBot="1" x14ac:dyDescent="0.3">
      <c r="A112" s="286"/>
      <c r="B112" s="247"/>
      <c r="C112" s="253">
        <v>17</v>
      </c>
      <c r="D112" s="254" t="s">
        <v>20</v>
      </c>
      <c r="E112" s="29" t="s">
        <v>22</v>
      </c>
      <c r="F112" s="15">
        <f>'12A (NS)Sem 2'!E39</f>
        <v>77</v>
      </c>
      <c r="G112" s="15">
        <f>'12A (NS)Sem 2'!F39</f>
        <v>77</v>
      </c>
      <c r="H112" s="15">
        <f>'12A (NS)Sem 2'!G39</f>
        <v>72</v>
      </c>
      <c r="I112" s="15">
        <f>'12A (NS)Sem 2'!H39</f>
        <v>74</v>
      </c>
      <c r="J112" s="15">
        <f>'12A (NS)Sem 2'!I39</f>
        <v>76</v>
      </c>
      <c r="K112" s="15">
        <f>'12A (NS)Sem 2'!J39</f>
        <v>82</v>
      </c>
      <c r="L112" s="15">
        <f>'12A (NS)Sem 2'!K39</f>
        <v>72</v>
      </c>
      <c r="M112" s="15">
        <f>'12A (NS)Sem 2'!L39</f>
        <v>84</v>
      </c>
      <c r="N112" s="15">
        <f>'12A (NS)Sem 2'!M39</f>
        <v>90</v>
      </c>
      <c r="O112" s="15">
        <f>'12A (NS)Sem 2'!N39</f>
        <v>95</v>
      </c>
      <c r="P112" s="15">
        <f>'12A (NS)Sem 2'!O39</f>
        <v>799</v>
      </c>
      <c r="Q112" s="203">
        <f>'12A (NS)Sem 2'!P39</f>
        <v>79.900000000000006</v>
      </c>
      <c r="R112" s="15">
        <f>'12A (NS)Sem 2'!Q39</f>
        <v>34</v>
      </c>
      <c r="S112" s="15">
        <f>'12A (NS)Sem 2'!R39</f>
        <v>0</v>
      </c>
      <c r="T112" s="38">
        <f>'12A (NS)Sem 2'!S39</f>
        <v>0</v>
      </c>
      <c r="V112" s="6"/>
      <c r="W112" s="6"/>
      <c r="X112" s="6"/>
      <c r="Y112" s="6"/>
      <c r="Z112" s="6"/>
    </row>
    <row r="113" spans="1:26" ht="17.25" customHeight="1" thickBot="1" x14ac:dyDescent="0.3">
      <c r="A113" s="286"/>
      <c r="B113" s="247"/>
      <c r="C113" s="253">
        <v>17</v>
      </c>
      <c r="D113" s="254" t="s">
        <v>20</v>
      </c>
      <c r="E113" s="108" t="s">
        <v>16</v>
      </c>
      <c r="F113" s="15">
        <f>AVERAGE(F111:F112)</f>
        <v>71.5</v>
      </c>
      <c r="G113" s="15">
        <f t="shared" ref="G113:Q113" si="35">AVERAGE(G111:G112)</f>
        <v>72</v>
      </c>
      <c r="H113" s="15">
        <f t="shared" si="35"/>
        <v>61</v>
      </c>
      <c r="I113" s="15">
        <f t="shared" si="35"/>
        <v>75.5</v>
      </c>
      <c r="J113" s="15">
        <f t="shared" si="35"/>
        <v>70</v>
      </c>
      <c r="K113" s="15">
        <f t="shared" si="35"/>
        <v>75.5</v>
      </c>
      <c r="L113" s="15">
        <f t="shared" si="35"/>
        <v>67</v>
      </c>
      <c r="M113" s="15">
        <f t="shared" si="35"/>
        <v>84</v>
      </c>
      <c r="N113" s="15">
        <f t="shared" si="35"/>
        <v>89.5</v>
      </c>
      <c r="O113" s="15">
        <f t="shared" si="35"/>
        <v>92.5</v>
      </c>
      <c r="P113" s="15">
        <f t="shared" si="35"/>
        <v>758.5</v>
      </c>
      <c r="Q113" s="203">
        <f t="shared" si="35"/>
        <v>75.849999999999994</v>
      </c>
      <c r="R113" s="15">
        <f>'12A Sem avr (NS)'!$H$39</f>
        <v>38</v>
      </c>
      <c r="S113" s="15">
        <f>AVERAGE(S111:S112)</f>
        <v>0</v>
      </c>
      <c r="T113" s="38">
        <f>AVERAGE(T111:T112)</f>
        <v>0</v>
      </c>
      <c r="V113" s="6"/>
      <c r="W113" s="6"/>
      <c r="X113" s="6"/>
      <c r="Y113" s="6"/>
      <c r="Z113" s="6"/>
    </row>
    <row r="114" spans="1:26" ht="17.25" customHeight="1" thickBot="1" x14ac:dyDescent="0.3">
      <c r="A114" s="353">
        <v>37</v>
      </c>
      <c r="B114" s="247"/>
      <c r="C114" s="253">
        <v>18</v>
      </c>
      <c r="D114" s="254" t="s">
        <v>23</v>
      </c>
      <c r="E114" s="29" t="s">
        <v>21</v>
      </c>
      <c r="F114" s="15">
        <f>'12A Sem 1'!E40</f>
        <v>90</v>
      </c>
      <c r="G114" s="15">
        <f>'12A Sem 1'!F40</f>
        <v>92</v>
      </c>
      <c r="H114" s="15">
        <f>'12A Sem 1'!G40</f>
        <v>81</v>
      </c>
      <c r="I114" s="15">
        <f>'12A Sem 1'!H40</f>
        <v>94</v>
      </c>
      <c r="J114" s="15">
        <f>'12A Sem 1'!I40</f>
        <v>94</v>
      </c>
      <c r="K114" s="15">
        <f>'12A Sem 1'!J40</f>
        <v>100</v>
      </c>
      <c r="L114" s="15">
        <f>'12A Sem 1'!K40</f>
        <v>94</v>
      </c>
      <c r="M114" s="15">
        <f>'12A Sem 1'!L40</f>
        <v>97</v>
      </c>
      <c r="N114" s="15">
        <f>'12A Sem 1'!M40</f>
        <v>100</v>
      </c>
      <c r="O114" s="15">
        <f>'12A Sem 1'!N40</f>
        <v>100</v>
      </c>
      <c r="P114" s="15">
        <f>'12A Sem 1'!O40</f>
        <v>942</v>
      </c>
      <c r="Q114" s="203">
        <f>'12A Sem 1'!P40</f>
        <v>94.2</v>
      </c>
      <c r="R114" s="15">
        <f>'12A Sem 1'!Q40</f>
        <v>4</v>
      </c>
      <c r="S114" s="15">
        <f>'12A Sem 1'!R40</f>
        <v>0</v>
      </c>
      <c r="T114" s="38">
        <f>'12A Sem 1'!S40</f>
        <v>0</v>
      </c>
      <c r="V114" s="6"/>
      <c r="W114" s="6"/>
      <c r="X114" s="6"/>
      <c r="Y114" s="6"/>
      <c r="Z114" s="6"/>
    </row>
    <row r="115" spans="1:26" ht="17.25" customHeight="1" thickBot="1" x14ac:dyDescent="0.3">
      <c r="A115" s="353"/>
      <c r="B115" s="247"/>
      <c r="C115" s="253">
        <v>18</v>
      </c>
      <c r="D115" s="254" t="s">
        <v>23</v>
      </c>
      <c r="E115" s="29" t="s">
        <v>22</v>
      </c>
      <c r="F115" s="15">
        <f>'12A (NS)Sem 2'!E40</f>
        <v>95</v>
      </c>
      <c r="G115" s="15">
        <f>'12A (NS)Sem 2'!F40</f>
        <v>92</v>
      </c>
      <c r="H115" s="15">
        <f>'12A (NS)Sem 2'!G40</f>
        <v>86</v>
      </c>
      <c r="I115" s="15">
        <f>'12A (NS)Sem 2'!H40</f>
        <v>92</v>
      </c>
      <c r="J115" s="15">
        <f>'12A (NS)Sem 2'!I40</f>
        <v>91</v>
      </c>
      <c r="K115" s="15">
        <f>'12A (NS)Sem 2'!J40</f>
        <v>92</v>
      </c>
      <c r="L115" s="15">
        <f>'12A (NS)Sem 2'!K40</f>
        <v>97</v>
      </c>
      <c r="M115" s="15">
        <f>'12A (NS)Sem 2'!L40</f>
        <v>97</v>
      </c>
      <c r="N115" s="15">
        <f>'12A (NS)Sem 2'!M40</f>
        <v>100</v>
      </c>
      <c r="O115" s="15">
        <f>'12A (NS)Sem 2'!N40</f>
        <v>100</v>
      </c>
      <c r="P115" s="15">
        <f>'12A (NS)Sem 2'!O40</f>
        <v>942</v>
      </c>
      <c r="Q115" s="203">
        <f>'12A (NS)Sem 2'!P40</f>
        <v>94.2</v>
      </c>
      <c r="R115" s="15">
        <f>'12A (NS)Sem 2'!Q40</f>
        <v>4</v>
      </c>
      <c r="S115" s="15">
        <f>'12A (NS)Sem 2'!R40</f>
        <v>0</v>
      </c>
      <c r="T115" s="38">
        <f>'12A (NS)Sem 2'!S40</f>
        <v>0</v>
      </c>
      <c r="V115" s="6"/>
      <c r="W115" s="6"/>
      <c r="X115" s="6"/>
      <c r="Y115" s="6"/>
      <c r="Z115" s="6"/>
    </row>
    <row r="116" spans="1:26" ht="17.25" customHeight="1" thickBot="1" x14ac:dyDescent="0.3">
      <c r="A116" s="353"/>
      <c r="B116" s="247"/>
      <c r="C116" s="253">
        <v>18</v>
      </c>
      <c r="D116" s="254" t="s">
        <v>23</v>
      </c>
      <c r="E116" s="108" t="s">
        <v>16</v>
      </c>
      <c r="F116" s="15">
        <f>AVERAGE(F114:F115)</f>
        <v>92.5</v>
      </c>
      <c r="G116" s="15">
        <f t="shared" ref="G116:Q116" si="36">AVERAGE(G114:G115)</f>
        <v>92</v>
      </c>
      <c r="H116" s="15">
        <f t="shared" si="36"/>
        <v>83.5</v>
      </c>
      <c r="I116" s="15">
        <f t="shared" si="36"/>
        <v>93</v>
      </c>
      <c r="J116" s="15">
        <f t="shared" si="36"/>
        <v>92.5</v>
      </c>
      <c r="K116" s="15">
        <f t="shared" si="36"/>
        <v>96</v>
      </c>
      <c r="L116" s="15">
        <f t="shared" si="36"/>
        <v>95.5</v>
      </c>
      <c r="M116" s="15">
        <f t="shared" si="36"/>
        <v>97</v>
      </c>
      <c r="N116" s="15">
        <f t="shared" si="36"/>
        <v>100</v>
      </c>
      <c r="O116" s="15">
        <f t="shared" si="36"/>
        <v>100</v>
      </c>
      <c r="P116" s="15">
        <f t="shared" si="36"/>
        <v>942</v>
      </c>
      <c r="Q116" s="203">
        <f t="shared" si="36"/>
        <v>94.2</v>
      </c>
      <c r="R116" s="15">
        <f>'12A Sem avr (NS)'!$H$40</f>
        <v>4</v>
      </c>
      <c r="S116" s="15">
        <f>AVERAGE(S114:S115)</f>
        <v>0</v>
      </c>
      <c r="T116" s="38">
        <f>AVERAGE(T114:T115)</f>
        <v>0</v>
      </c>
      <c r="V116" s="6"/>
      <c r="W116" s="6"/>
      <c r="X116" s="6"/>
      <c r="Y116" s="6"/>
      <c r="Z116" s="6"/>
    </row>
    <row r="117" spans="1:26" ht="17.25" customHeight="1" thickBot="1" x14ac:dyDescent="0.3">
      <c r="A117" s="286">
        <v>38</v>
      </c>
      <c r="B117" s="247"/>
      <c r="C117" s="253">
        <v>17</v>
      </c>
      <c r="D117" s="254" t="s">
        <v>20</v>
      </c>
      <c r="E117" s="29" t="s">
        <v>21</v>
      </c>
      <c r="F117" s="15">
        <f>'12A Sem 1'!E41</f>
        <v>74</v>
      </c>
      <c r="G117" s="15">
        <f>'12A Sem 1'!F41</f>
        <v>85</v>
      </c>
      <c r="H117" s="15">
        <f>'12A Sem 1'!G41</f>
        <v>51</v>
      </c>
      <c r="I117" s="15">
        <f>'12A Sem 1'!H41</f>
        <v>69</v>
      </c>
      <c r="J117" s="15">
        <f>'12A Sem 1'!I41</f>
        <v>52</v>
      </c>
      <c r="K117" s="15">
        <f>'12A Sem 1'!J41</f>
        <v>70</v>
      </c>
      <c r="L117" s="15">
        <f>'12A Sem 1'!K41</f>
        <v>61</v>
      </c>
      <c r="M117" s="15">
        <f>'12A Sem 1'!L41</f>
        <v>96</v>
      </c>
      <c r="N117" s="15">
        <f>'12A Sem 1'!M41</f>
        <v>97</v>
      </c>
      <c r="O117" s="15">
        <f>'12A Sem 1'!N41</f>
        <v>90</v>
      </c>
      <c r="P117" s="15">
        <f>'12A Sem 1'!O41</f>
        <v>745</v>
      </c>
      <c r="Q117" s="203">
        <f>'12A Sem 1'!P41</f>
        <v>74.5</v>
      </c>
      <c r="R117" s="15">
        <f>'12A Sem 1'!Q41</f>
        <v>35</v>
      </c>
      <c r="S117" s="15">
        <f>'12A Sem 1'!R41</f>
        <v>0</v>
      </c>
      <c r="T117" s="38">
        <f>'12A Sem 1'!S41</f>
        <v>0</v>
      </c>
      <c r="V117" s="6"/>
      <c r="W117" s="6"/>
      <c r="X117" s="6"/>
      <c r="Y117" s="6"/>
      <c r="Z117" s="6"/>
    </row>
    <row r="118" spans="1:26" ht="17.25" customHeight="1" thickBot="1" x14ac:dyDescent="0.3">
      <c r="A118" s="286"/>
      <c r="B118" s="247"/>
      <c r="C118" s="253">
        <v>17</v>
      </c>
      <c r="D118" s="254" t="s">
        <v>20</v>
      </c>
      <c r="E118" s="29" t="s">
        <v>22</v>
      </c>
      <c r="F118" s="15">
        <f>'12A (NS)Sem 2'!E41</f>
        <v>76</v>
      </c>
      <c r="G118" s="15">
        <f>'12A (NS)Sem 2'!F41</f>
        <v>82</v>
      </c>
      <c r="H118" s="15">
        <f>'12A (NS)Sem 2'!G41</f>
        <v>69</v>
      </c>
      <c r="I118" s="15">
        <f>'12A (NS)Sem 2'!H41</f>
        <v>61</v>
      </c>
      <c r="J118" s="15">
        <f>'12A (NS)Sem 2'!I41</f>
        <v>61</v>
      </c>
      <c r="K118" s="15">
        <f>'12A (NS)Sem 2'!J41</f>
        <v>58</v>
      </c>
      <c r="L118" s="15">
        <f>'12A (NS)Sem 2'!K41</f>
        <v>75</v>
      </c>
      <c r="M118" s="15">
        <f>'12A (NS)Sem 2'!L41</f>
        <v>96</v>
      </c>
      <c r="N118" s="15">
        <f>'12A (NS)Sem 2'!M41</f>
        <v>98</v>
      </c>
      <c r="O118" s="15">
        <f>'12A (NS)Sem 2'!N41</f>
        <v>95</v>
      </c>
      <c r="P118" s="15">
        <f>'12A (NS)Sem 2'!O41</f>
        <v>771</v>
      </c>
      <c r="Q118" s="203">
        <f>'12A (NS)Sem 2'!P41</f>
        <v>77.099999999999994</v>
      </c>
      <c r="R118" s="15">
        <f>'12A (NS)Sem 2'!Q41</f>
        <v>44</v>
      </c>
      <c r="S118" s="15">
        <f>'12A (NS)Sem 2'!R41</f>
        <v>0</v>
      </c>
      <c r="T118" s="38">
        <f>'12A (NS)Sem 2'!S41</f>
        <v>0</v>
      </c>
      <c r="V118" s="6"/>
      <c r="W118" s="6"/>
      <c r="X118" s="6"/>
      <c r="Y118" s="6"/>
      <c r="Z118" s="6"/>
    </row>
    <row r="119" spans="1:26" ht="17.25" customHeight="1" thickBot="1" x14ac:dyDescent="0.3">
      <c r="A119" s="286"/>
      <c r="B119" s="247"/>
      <c r="C119" s="253">
        <v>17</v>
      </c>
      <c r="D119" s="254" t="s">
        <v>20</v>
      </c>
      <c r="E119" s="108" t="s">
        <v>16</v>
      </c>
      <c r="F119" s="15">
        <f>AVERAGE(F117:F118)</f>
        <v>75</v>
      </c>
      <c r="G119" s="15">
        <f t="shared" ref="G119:Q119" si="37">AVERAGE(G117:G118)</f>
        <v>83.5</v>
      </c>
      <c r="H119" s="15">
        <f t="shared" si="37"/>
        <v>60</v>
      </c>
      <c r="I119" s="15">
        <f t="shared" si="37"/>
        <v>65</v>
      </c>
      <c r="J119" s="15">
        <f t="shared" si="37"/>
        <v>56.5</v>
      </c>
      <c r="K119" s="15">
        <f t="shared" si="37"/>
        <v>64</v>
      </c>
      <c r="L119" s="15">
        <f t="shared" si="37"/>
        <v>68</v>
      </c>
      <c r="M119" s="15">
        <f t="shared" si="37"/>
        <v>96</v>
      </c>
      <c r="N119" s="15">
        <f t="shared" si="37"/>
        <v>97.5</v>
      </c>
      <c r="O119" s="15">
        <f t="shared" si="37"/>
        <v>92.5</v>
      </c>
      <c r="P119" s="15">
        <f t="shared" si="37"/>
        <v>758</v>
      </c>
      <c r="Q119" s="203">
        <f t="shared" si="37"/>
        <v>75.8</v>
      </c>
      <c r="R119" s="15">
        <f>'12A Sem avr (NS)'!$H$41</f>
        <v>39</v>
      </c>
      <c r="S119" s="15">
        <f>AVERAGE(S117:S118)</f>
        <v>0</v>
      </c>
      <c r="T119" s="38">
        <f>AVERAGE(T117:T118)</f>
        <v>0</v>
      </c>
      <c r="V119" s="6"/>
      <c r="W119" s="6"/>
      <c r="X119" s="6"/>
      <c r="Y119" s="6"/>
      <c r="Z119" s="6"/>
    </row>
    <row r="120" spans="1:26" ht="17.25" customHeight="1" thickBot="1" x14ac:dyDescent="0.3">
      <c r="A120" s="353">
        <v>39</v>
      </c>
      <c r="B120" s="247"/>
      <c r="C120" s="253">
        <v>18</v>
      </c>
      <c r="D120" s="254" t="s">
        <v>23</v>
      </c>
      <c r="E120" s="29" t="s">
        <v>21</v>
      </c>
      <c r="F120" s="15">
        <f>'12A Sem 1'!E42</f>
        <v>84</v>
      </c>
      <c r="G120" s="15">
        <f>'12A Sem 1'!F42</f>
        <v>79</v>
      </c>
      <c r="H120" s="15">
        <f>'12A Sem 1'!G42</f>
        <v>73</v>
      </c>
      <c r="I120" s="15">
        <f>'12A Sem 1'!H42</f>
        <v>86</v>
      </c>
      <c r="J120" s="15">
        <f>'12A Sem 1'!I42</f>
        <v>78</v>
      </c>
      <c r="K120" s="15">
        <f>'12A Sem 1'!J42</f>
        <v>96</v>
      </c>
      <c r="L120" s="15">
        <f>'12A Sem 1'!K42</f>
        <v>85</v>
      </c>
      <c r="M120" s="15">
        <f>'12A Sem 1'!L42</f>
        <v>95</v>
      </c>
      <c r="N120" s="15">
        <f>'12A Sem 1'!M42</f>
        <v>99</v>
      </c>
      <c r="O120" s="15">
        <f>'12A Sem 1'!N42</f>
        <v>93</v>
      </c>
      <c r="P120" s="15">
        <f>'12A Sem 1'!O42</f>
        <v>868</v>
      </c>
      <c r="Q120" s="203">
        <f>'12A Sem 1'!P42</f>
        <v>86.8</v>
      </c>
      <c r="R120" s="15">
        <f>'12A Sem 1'!Q42</f>
        <v>11</v>
      </c>
      <c r="S120" s="15">
        <f>'12A Sem 1'!R42</f>
        <v>0</v>
      </c>
      <c r="T120" s="38">
        <f>'12A Sem 1'!S42</f>
        <v>0</v>
      </c>
      <c r="V120" s="6"/>
      <c r="W120" s="6"/>
      <c r="X120" s="6"/>
      <c r="Y120" s="6"/>
      <c r="Z120" s="6"/>
    </row>
    <row r="121" spans="1:26" ht="17.25" customHeight="1" thickBot="1" x14ac:dyDescent="0.3">
      <c r="A121" s="353"/>
      <c r="B121" s="247"/>
      <c r="C121" s="253">
        <v>18</v>
      </c>
      <c r="D121" s="254" t="s">
        <v>23</v>
      </c>
      <c r="E121" s="29" t="s">
        <v>22</v>
      </c>
      <c r="F121" s="15">
        <f>'12A (NS)Sem 2'!E42</f>
        <v>90</v>
      </c>
      <c r="G121" s="15">
        <f>'12A (NS)Sem 2'!F42</f>
        <v>84</v>
      </c>
      <c r="H121" s="15">
        <f>'12A (NS)Sem 2'!G42</f>
        <v>83</v>
      </c>
      <c r="I121" s="15">
        <f>'12A (NS)Sem 2'!H42</f>
        <v>85</v>
      </c>
      <c r="J121" s="15">
        <f>'12A (NS)Sem 2'!I42</f>
        <v>87</v>
      </c>
      <c r="K121" s="15">
        <f>'12A (NS)Sem 2'!J42</f>
        <v>91</v>
      </c>
      <c r="L121" s="15">
        <f>'12A (NS)Sem 2'!K42</f>
        <v>87</v>
      </c>
      <c r="M121" s="15">
        <f>'12A (NS)Sem 2'!L42</f>
        <v>95</v>
      </c>
      <c r="N121" s="15">
        <f>'12A (NS)Sem 2'!M42</f>
        <v>100</v>
      </c>
      <c r="O121" s="15">
        <f>'12A (NS)Sem 2'!N42</f>
        <v>99</v>
      </c>
      <c r="P121" s="15">
        <f>'12A (NS)Sem 2'!O42</f>
        <v>901</v>
      </c>
      <c r="Q121" s="203">
        <f>'12A (NS)Sem 2'!P42</f>
        <v>90.1</v>
      </c>
      <c r="R121" s="15">
        <f>'12A (NS)Sem 2'!Q42</f>
        <v>9</v>
      </c>
      <c r="S121" s="15">
        <f>'12A (NS)Sem 2'!R42</f>
        <v>0</v>
      </c>
      <c r="T121" s="38">
        <f>'12A (NS)Sem 2'!S42</f>
        <v>0</v>
      </c>
      <c r="V121" s="6"/>
      <c r="W121" s="6"/>
      <c r="X121" s="6"/>
      <c r="Y121" s="6"/>
      <c r="Z121" s="6"/>
    </row>
    <row r="122" spans="1:26" ht="17.25" customHeight="1" thickBot="1" x14ac:dyDescent="0.3">
      <c r="A122" s="353"/>
      <c r="B122" s="247"/>
      <c r="C122" s="253">
        <v>18</v>
      </c>
      <c r="D122" s="254" t="s">
        <v>23</v>
      </c>
      <c r="E122" s="108" t="s">
        <v>16</v>
      </c>
      <c r="F122" s="15">
        <f>AVERAGE(F120:F121)</f>
        <v>87</v>
      </c>
      <c r="G122" s="15">
        <f t="shared" ref="G122:Q122" si="38">AVERAGE(G120:G121)</f>
        <v>81.5</v>
      </c>
      <c r="H122" s="15">
        <f t="shared" si="38"/>
        <v>78</v>
      </c>
      <c r="I122" s="15">
        <f t="shared" si="38"/>
        <v>85.5</v>
      </c>
      <c r="J122" s="15">
        <f t="shared" si="38"/>
        <v>82.5</v>
      </c>
      <c r="K122" s="15">
        <f t="shared" si="38"/>
        <v>93.5</v>
      </c>
      <c r="L122" s="15">
        <f t="shared" si="38"/>
        <v>86</v>
      </c>
      <c r="M122" s="15">
        <f t="shared" si="38"/>
        <v>95</v>
      </c>
      <c r="N122" s="15">
        <f t="shared" si="38"/>
        <v>99.5</v>
      </c>
      <c r="O122" s="15">
        <f t="shared" si="38"/>
        <v>96</v>
      </c>
      <c r="P122" s="15">
        <f t="shared" si="38"/>
        <v>884.5</v>
      </c>
      <c r="Q122" s="203">
        <f t="shared" si="38"/>
        <v>88.449999999999989</v>
      </c>
      <c r="R122" s="15">
        <f>'12A Sem avr (NS)'!$H$42</f>
        <v>10</v>
      </c>
      <c r="S122" s="15">
        <f>AVERAGE(S120:S121)</f>
        <v>0</v>
      </c>
      <c r="T122" s="38">
        <f>AVERAGE(T120:T121)</f>
        <v>0</v>
      </c>
      <c r="V122" s="6"/>
      <c r="W122" s="6"/>
      <c r="X122" s="6"/>
      <c r="Y122" s="6"/>
      <c r="Z122" s="6"/>
    </row>
    <row r="123" spans="1:26" ht="17.25" customHeight="1" thickBot="1" x14ac:dyDescent="0.3">
      <c r="A123" s="286">
        <v>40</v>
      </c>
      <c r="B123" s="247"/>
      <c r="C123" s="253">
        <v>17</v>
      </c>
      <c r="D123" s="254" t="s">
        <v>20</v>
      </c>
      <c r="E123" s="29" t="s">
        <v>21</v>
      </c>
      <c r="F123" s="15">
        <f>'12A Sem 1'!E43</f>
        <v>73</v>
      </c>
      <c r="G123" s="15">
        <f>'12A Sem 1'!F43</f>
        <v>88</v>
      </c>
      <c r="H123" s="15">
        <f>'12A Sem 1'!G43</f>
        <v>53</v>
      </c>
      <c r="I123" s="15">
        <f>'12A Sem 1'!H43</f>
        <v>78</v>
      </c>
      <c r="J123" s="15">
        <f>'12A Sem 1'!I43</f>
        <v>58</v>
      </c>
      <c r="K123" s="15">
        <f>'12A Sem 1'!J43</f>
        <v>75</v>
      </c>
      <c r="L123" s="15">
        <f>'12A Sem 1'!K43</f>
        <v>78</v>
      </c>
      <c r="M123" s="15">
        <f>'12A Sem 1'!L43</f>
        <v>85</v>
      </c>
      <c r="N123" s="15">
        <f>'12A Sem 1'!M43</f>
        <v>99</v>
      </c>
      <c r="O123" s="15">
        <f>'12A Sem 1'!N43</f>
        <v>88</v>
      </c>
      <c r="P123" s="15">
        <f>'12A Sem 1'!O43</f>
        <v>775</v>
      </c>
      <c r="Q123" s="203">
        <f>'12A Sem 1'!P43</f>
        <v>77.5</v>
      </c>
      <c r="R123" s="15">
        <f>'12A Sem 1'!Q43</f>
        <v>27</v>
      </c>
      <c r="S123" s="15">
        <f>'12A Sem 1'!R43</f>
        <v>0</v>
      </c>
      <c r="T123" s="38">
        <f>'12A Sem 1'!S43</f>
        <v>0</v>
      </c>
      <c r="V123" s="6"/>
      <c r="W123" s="6"/>
      <c r="X123" s="6"/>
      <c r="Y123" s="6"/>
      <c r="Z123" s="6"/>
    </row>
    <row r="124" spans="1:26" ht="17.25" customHeight="1" thickBot="1" x14ac:dyDescent="0.3">
      <c r="A124" s="286"/>
      <c r="B124" s="247"/>
      <c r="C124" s="253">
        <v>17</v>
      </c>
      <c r="D124" s="254" t="s">
        <v>20</v>
      </c>
      <c r="E124" s="29" t="s">
        <v>22</v>
      </c>
      <c r="F124" s="15">
        <f>'12A (NS)Sem 2'!E43</f>
        <v>78</v>
      </c>
      <c r="G124" s="15">
        <f>'12A (NS)Sem 2'!F43</f>
        <v>86</v>
      </c>
      <c r="H124" s="15">
        <f>'12A (NS)Sem 2'!G43</f>
        <v>69</v>
      </c>
      <c r="I124" s="15">
        <f>'12A (NS)Sem 2'!H43</f>
        <v>77</v>
      </c>
      <c r="J124" s="15">
        <f>'12A (NS)Sem 2'!I43</f>
        <v>74</v>
      </c>
      <c r="K124" s="15">
        <f>'12A (NS)Sem 2'!J43</f>
        <v>82</v>
      </c>
      <c r="L124" s="15">
        <f>'12A (NS)Sem 2'!K43</f>
        <v>85</v>
      </c>
      <c r="M124" s="15">
        <f>'12A (NS)Sem 2'!L43</f>
        <v>85</v>
      </c>
      <c r="N124" s="15">
        <f>'12A (NS)Sem 2'!M43</f>
        <v>93</v>
      </c>
      <c r="O124" s="15">
        <f>'12A (NS)Sem 2'!N43</f>
        <v>92</v>
      </c>
      <c r="P124" s="15">
        <f>'12A (NS)Sem 2'!O43</f>
        <v>821</v>
      </c>
      <c r="Q124" s="203">
        <f>'12A (NS)Sem 2'!P43</f>
        <v>82.1</v>
      </c>
      <c r="R124" s="15">
        <f>'12A (NS)Sem 2'!Q43</f>
        <v>27</v>
      </c>
      <c r="S124" s="15">
        <f>'12A (NS)Sem 2'!R43</f>
        <v>0</v>
      </c>
      <c r="T124" s="38">
        <f>'12A (NS)Sem 2'!S43</f>
        <v>0</v>
      </c>
      <c r="V124" s="6"/>
      <c r="W124" s="6"/>
      <c r="X124" s="6"/>
      <c r="Y124" s="6"/>
      <c r="Z124" s="6"/>
    </row>
    <row r="125" spans="1:26" ht="17.25" customHeight="1" thickBot="1" x14ac:dyDescent="0.3">
      <c r="A125" s="286"/>
      <c r="B125" s="247"/>
      <c r="C125" s="253">
        <v>17</v>
      </c>
      <c r="D125" s="254" t="s">
        <v>20</v>
      </c>
      <c r="E125" s="108" t="s">
        <v>16</v>
      </c>
      <c r="F125" s="15">
        <f>AVERAGE(F123:F124)</f>
        <v>75.5</v>
      </c>
      <c r="G125" s="15">
        <f t="shared" ref="G125:Q125" si="39">AVERAGE(G123:G124)</f>
        <v>87</v>
      </c>
      <c r="H125" s="15">
        <f t="shared" si="39"/>
        <v>61</v>
      </c>
      <c r="I125" s="15">
        <f t="shared" si="39"/>
        <v>77.5</v>
      </c>
      <c r="J125" s="15">
        <f t="shared" si="39"/>
        <v>66</v>
      </c>
      <c r="K125" s="15">
        <f t="shared" si="39"/>
        <v>78.5</v>
      </c>
      <c r="L125" s="15">
        <f t="shared" si="39"/>
        <v>81.5</v>
      </c>
      <c r="M125" s="15">
        <f t="shared" si="39"/>
        <v>85</v>
      </c>
      <c r="N125" s="15">
        <f t="shared" si="39"/>
        <v>96</v>
      </c>
      <c r="O125" s="15">
        <f t="shared" si="39"/>
        <v>90</v>
      </c>
      <c r="P125" s="15">
        <f t="shared" si="39"/>
        <v>798</v>
      </c>
      <c r="Q125" s="203">
        <f t="shared" si="39"/>
        <v>79.8</v>
      </c>
      <c r="R125" s="15">
        <f>'12A Sem avr (NS)'!$H$43</f>
        <v>27</v>
      </c>
      <c r="S125" s="15">
        <f>AVERAGE(S123:S124)</f>
        <v>0</v>
      </c>
      <c r="T125" s="38">
        <f>AVERAGE(T123:T124)</f>
        <v>0</v>
      </c>
      <c r="V125" s="6"/>
      <c r="W125" s="6"/>
      <c r="X125" s="6"/>
      <c r="Y125" s="6"/>
      <c r="Z125" s="6"/>
    </row>
    <row r="126" spans="1:26" ht="17.25" customHeight="1" thickBot="1" x14ac:dyDescent="0.3">
      <c r="A126" s="353">
        <v>41</v>
      </c>
      <c r="B126" s="247"/>
      <c r="C126" s="253">
        <v>17</v>
      </c>
      <c r="D126" s="254" t="s">
        <v>23</v>
      </c>
      <c r="E126" s="29" t="s">
        <v>21</v>
      </c>
      <c r="F126" s="15">
        <f>'12A Sem 1'!E44</f>
        <v>85</v>
      </c>
      <c r="G126" s="15">
        <f>'12A Sem 1'!F44</f>
        <v>81</v>
      </c>
      <c r="H126" s="15">
        <f>'12A Sem 1'!G44</f>
        <v>91</v>
      </c>
      <c r="I126" s="15">
        <f>'12A Sem 1'!H44</f>
        <v>95</v>
      </c>
      <c r="J126" s="15">
        <f>'12A Sem 1'!I44</f>
        <v>92</v>
      </c>
      <c r="K126" s="15">
        <f>'12A Sem 1'!J44</f>
        <v>92</v>
      </c>
      <c r="L126" s="15">
        <f>'12A Sem 1'!K44</f>
        <v>87</v>
      </c>
      <c r="M126" s="15">
        <f>'12A Sem 1'!L44</f>
        <v>95</v>
      </c>
      <c r="N126" s="15">
        <f>'12A Sem 1'!M44</f>
        <v>98</v>
      </c>
      <c r="O126" s="15">
        <f>'12A Sem 1'!N44</f>
        <v>96</v>
      </c>
      <c r="P126" s="15">
        <f>'12A Sem 1'!O44</f>
        <v>912</v>
      </c>
      <c r="Q126" s="203">
        <f>'12A Sem 1'!P44</f>
        <v>91.2</v>
      </c>
      <c r="R126" s="15">
        <f>'12A Sem 1'!Q44</f>
        <v>7</v>
      </c>
      <c r="S126" s="15">
        <f>'12A Sem 1'!R44</f>
        <v>0</v>
      </c>
      <c r="T126" s="38">
        <f>'12A Sem 1'!S44</f>
        <v>0</v>
      </c>
      <c r="V126" s="6"/>
      <c r="W126" s="6"/>
      <c r="X126" s="6"/>
      <c r="Y126" s="6"/>
      <c r="Z126" s="6"/>
    </row>
    <row r="127" spans="1:26" ht="17.25" customHeight="1" thickBot="1" x14ac:dyDescent="0.3">
      <c r="A127" s="353"/>
      <c r="B127" s="247"/>
      <c r="C127" s="253">
        <v>17</v>
      </c>
      <c r="D127" s="254" t="s">
        <v>23</v>
      </c>
      <c r="E127" s="29" t="s">
        <v>22</v>
      </c>
      <c r="F127" s="15">
        <f>'12A (NS)Sem 2'!E44</f>
        <v>90</v>
      </c>
      <c r="G127" s="15">
        <f>'12A (NS)Sem 2'!F44</f>
        <v>88</v>
      </c>
      <c r="H127" s="15">
        <f>'12A (NS)Sem 2'!G44</f>
        <v>92</v>
      </c>
      <c r="I127" s="15">
        <f>'12A (NS)Sem 2'!H44</f>
        <v>91</v>
      </c>
      <c r="J127" s="15">
        <f>'12A (NS)Sem 2'!I44</f>
        <v>90</v>
      </c>
      <c r="K127" s="15">
        <f>'12A (NS)Sem 2'!J44</f>
        <v>91</v>
      </c>
      <c r="L127" s="15">
        <f>'12A (NS)Sem 2'!K44</f>
        <v>89</v>
      </c>
      <c r="M127" s="15">
        <f>'12A (NS)Sem 2'!L44</f>
        <v>95</v>
      </c>
      <c r="N127" s="15">
        <f>'12A (NS)Sem 2'!M44</f>
        <v>92</v>
      </c>
      <c r="O127" s="15">
        <f>'12A (NS)Sem 2'!N44</f>
        <v>100</v>
      </c>
      <c r="P127" s="15">
        <f>'12A (NS)Sem 2'!O44</f>
        <v>918</v>
      </c>
      <c r="Q127" s="203">
        <f>'12A (NS)Sem 2'!P44</f>
        <v>91.8</v>
      </c>
      <c r="R127" s="15">
        <f>'12A (NS)Sem 2'!Q44</f>
        <v>7</v>
      </c>
      <c r="S127" s="15">
        <f>'12A (NS)Sem 2'!R44</f>
        <v>0</v>
      </c>
      <c r="T127" s="38">
        <f>'12A (NS)Sem 2'!S44</f>
        <v>0</v>
      </c>
      <c r="V127" s="6"/>
      <c r="W127" s="6"/>
      <c r="X127" s="6"/>
      <c r="Y127" s="6"/>
      <c r="Z127" s="6"/>
    </row>
    <row r="128" spans="1:26" ht="17.25" customHeight="1" thickBot="1" x14ac:dyDescent="0.3">
      <c r="A128" s="353"/>
      <c r="B128" s="247"/>
      <c r="C128" s="253">
        <v>17</v>
      </c>
      <c r="D128" s="254" t="s">
        <v>23</v>
      </c>
      <c r="E128" s="108" t="s">
        <v>16</v>
      </c>
      <c r="F128" s="15">
        <f>AVERAGE(F126:F127)</f>
        <v>87.5</v>
      </c>
      <c r="G128" s="15">
        <f t="shared" ref="G128:Q128" si="40">AVERAGE(G126:G127)</f>
        <v>84.5</v>
      </c>
      <c r="H128" s="15">
        <f t="shared" si="40"/>
        <v>91.5</v>
      </c>
      <c r="I128" s="15">
        <f t="shared" si="40"/>
        <v>93</v>
      </c>
      <c r="J128" s="15">
        <f t="shared" si="40"/>
        <v>91</v>
      </c>
      <c r="K128" s="15">
        <f t="shared" si="40"/>
        <v>91.5</v>
      </c>
      <c r="L128" s="15">
        <f t="shared" si="40"/>
        <v>88</v>
      </c>
      <c r="M128" s="15">
        <f t="shared" si="40"/>
        <v>95</v>
      </c>
      <c r="N128" s="15">
        <f t="shared" si="40"/>
        <v>95</v>
      </c>
      <c r="O128" s="15">
        <f t="shared" si="40"/>
        <v>98</v>
      </c>
      <c r="P128" s="15">
        <f t="shared" si="40"/>
        <v>915</v>
      </c>
      <c r="Q128" s="203">
        <f t="shared" si="40"/>
        <v>91.5</v>
      </c>
      <c r="R128" s="15">
        <f>'12A Sem avr (NS)'!$H$44</f>
        <v>7</v>
      </c>
      <c r="S128" s="15">
        <f>AVERAGE(S126:S127)</f>
        <v>0</v>
      </c>
      <c r="T128" s="38">
        <f>AVERAGE(T126:T127)</f>
        <v>0</v>
      </c>
      <c r="V128" s="6"/>
      <c r="W128" s="6"/>
      <c r="X128" s="6"/>
      <c r="Y128" s="6"/>
      <c r="Z128" s="6"/>
    </row>
    <row r="129" spans="1:26" ht="17.25" customHeight="1" thickBot="1" x14ac:dyDescent="0.3">
      <c r="A129" s="286">
        <v>42</v>
      </c>
      <c r="B129" s="247"/>
      <c r="C129" s="253">
        <v>18</v>
      </c>
      <c r="D129" s="254" t="s">
        <v>23</v>
      </c>
      <c r="E129" s="29" t="s">
        <v>21</v>
      </c>
      <c r="F129" s="15">
        <f>'12A Sem 1'!E45</f>
        <v>69</v>
      </c>
      <c r="G129" s="15">
        <f>'12A Sem 1'!F45</f>
        <v>70</v>
      </c>
      <c r="H129" s="15">
        <f>'12A Sem 1'!G45</f>
        <v>50</v>
      </c>
      <c r="I129" s="15">
        <f>'12A Sem 1'!H45</f>
        <v>75</v>
      </c>
      <c r="J129" s="15">
        <f>'12A Sem 1'!I45</f>
        <v>77</v>
      </c>
      <c r="K129" s="15">
        <f>'12A Sem 1'!J45</f>
        <v>85</v>
      </c>
      <c r="L129" s="15">
        <f>'12A Sem 1'!K45</f>
        <v>69</v>
      </c>
      <c r="M129" s="15">
        <f>'12A Sem 1'!L45</f>
        <v>85</v>
      </c>
      <c r="N129" s="15">
        <f>'12A Sem 1'!M45</f>
        <v>94</v>
      </c>
      <c r="O129" s="15">
        <f>'12A Sem 1'!N45</f>
        <v>90</v>
      </c>
      <c r="P129" s="15">
        <f>'12A Sem 1'!O45</f>
        <v>764</v>
      </c>
      <c r="Q129" s="203">
        <f>'12A Sem 1'!P45</f>
        <v>76.400000000000006</v>
      </c>
      <c r="R129" s="15">
        <f>'12A Sem 1'!Q45</f>
        <v>30</v>
      </c>
      <c r="S129" s="15">
        <f>'12A Sem 1'!R45</f>
        <v>0</v>
      </c>
      <c r="T129" s="38">
        <f>'12A Sem 1'!S45</f>
        <v>0</v>
      </c>
      <c r="V129" s="6"/>
      <c r="W129" s="6"/>
      <c r="X129" s="6"/>
      <c r="Y129" s="6"/>
      <c r="Z129" s="6"/>
    </row>
    <row r="130" spans="1:26" ht="17.25" customHeight="1" thickBot="1" x14ac:dyDescent="0.3">
      <c r="A130" s="286"/>
      <c r="B130" s="247"/>
      <c r="C130" s="253">
        <v>18</v>
      </c>
      <c r="D130" s="254" t="s">
        <v>23</v>
      </c>
      <c r="E130" s="29" t="s">
        <v>22</v>
      </c>
      <c r="F130" s="15">
        <f>'12A (NS)Sem 2'!E45</f>
        <v>77</v>
      </c>
      <c r="G130" s="15">
        <f>'12A (NS)Sem 2'!F45</f>
        <v>79</v>
      </c>
      <c r="H130" s="15">
        <f>'12A (NS)Sem 2'!G45</f>
        <v>70</v>
      </c>
      <c r="I130" s="15">
        <f>'12A (NS)Sem 2'!H45</f>
        <v>83</v>
      </c>
      <c r="J130" s="15">
        <f>'12A (NS)Sem 2'!I45</f>
        <v>81</v>
      </c>
      <c r="K130" s="15">
        <f>'12A (NS)Sem 2'!J45</f>
        <v>85</v>
      </c>
      <c r="L130" s="15">
        <f>'12A (NS)Sem 2'!K45</f>
        <v>82</v>
      </c>
      <c r="M130" s="15">
        <f>'12A (NS)Sem 2'!L45</f>
        <v>85</v>
      </c>
      <c r="N130" s="15">
        <f>'12A (NS)Sem 2'!M45</f>
        <v>92</v>
      </c>
      <c r="O130" s="15">
        <f>'12A (NS)Sem 2'!N45</f>
        <v>96</v>
      </c>
      <c r="P130" s="15">
        <f>'12A (NS)Sem 2'!O45</f>
        <v>830</v>
      </c>
      <c r="Q130" s="203">
        <f>'12A (NS)Sem 2'!P45</f>
        <v>83</v>
      </c>
      <c r="R130" s="15">
        <f>'12A (NS)Sem 2'!Q45</f>
        <v>25</v>
      </c>
      <c r="S130" s="15">
        <f>'12A (NS)Sem 2'!R45</f>
        <v>0</v>
      </c>
      <c r="T130" s="38">
        <f>'12A (NS)Sem 2'!S45</f>
        <v>0</v>
      </c>
      <c r="V130" s="6"/>
      <c r="W130" s="6"/>
      <c r="X130" s="6"/>
      <c r="Y130" s="6"/>
      <c r="Z130" s="6"/>
    </row>
    <row r="131" spans="1:26" ht="17.25" customHeight="1" thickBot="1" x14ac:dyDescent="0.3">
      <c r="A131" s="286"/>
      <c r="B131" s="247"/>
      <c r="C131" s="253">
        <v>18</v>
      </c>
      <c r="D131" s="254" t="s">
        <v>23</v>
      </c>
      <c r="E131" s="108" t="s">
        <v>16</v>
      </c>
      <c r="F131" s="15">
        <f>AVERAGE(F129:F130)</f>
        <v>73</v>
      </c>
      <c r="G131" s="15">
        <f t="shared" ref="G131:Q131" si="41">AVERAGE(G129:G130)</f>
        <v>74.5</v>
      </c>
      <c r="H131" s="15">
        <f t="shared" si="41"/>
        <v>60</v>
      </c>
      <c r="I131" s="15">
        <f t="shared" si="41"/>
        <v>79</v>
      </c>
      <c r="J131" s="15">
        <f t="shared" si="41"/>
        <v>79</v>
      </c>
      <c r="K131" s="15">
        <f t="shared" si="41"/>
        <v>85</v>
      </c>
      <c r="L131" s="15">
        <f t="shared" si="41"/>
        <v>75.5</v>
      </c>
      <c r="M131" s="15">
        <f t="shared" si="41"/>
        <v>85</v>
      </c>
      <c r="N131" s="15">
        <f t="shared" si="41"/>
        <v>93</v>
      </c>
      <c r="O131" s="15">
        <f t="shared" si="41"/>
        <v>93</v>
      </c>
      <c r="P131" s="15">
        <f t="shared" si="41"/>
        <v>797</v>
      </c>
      <c r="Q131" s="203">
        <f t="shared" si="41"/>
        <v>79.7</v>
      </c>
      <c r="R131" s="15">
        <f>'12A Sem avr (NS)'!$H$45</f>
        <v>28</v>
      </c>
      <c r="S131" s="15">
        <f>AVERAGE(S129:S130)</f>
        <v>0</v>
      </c>
      <c r="T131" s="38">
        <f>AVERAGE(T129:T130)</f>
        <v>0</v>
      </c>
      <c r="V131" s="6"/>
      <c r="W131" s="6"/>
      <c r="X131" s="6"/>
      <c r="Y131" s="6"/>
      <c r="Z131" s="6"/>
    </row>
    <row r="132" spans="1:26" ht="17.25" customHeight="1" thickBot="1" x14ac:dyDescent="0.3">
      <c r="A132" s="353">
        <v>43</v>
      </c>
      <c r="B132" s="247"/>
      <c r="C132" s="253">
        <v>17</v>
      </c>
      <c r="D132" s="254" t="s">
        <v>20</v>
      </c>
      <c r="E132" s="29" t="s">
        <v>21</v>
      </c>
      <c r="F132" s="15">
        <f>'12A Sem 1'!E46</f>
        <v>84</v>
      </c>
      <c r="G132" s="15">
        <f>'12A Sem 1'!F46</f>
        <v>94</v>
      </c>
      <c r="H132" s="15">
        <f>'12A Sem 1'!G46</f>
        <v>93</v>
      </c>
      <c r="I132" s="15">
        <f>'12A Sem 1'!H46</f>
        <v>99</v>
      </c>
      <c r="J132" s="15">
        <f>'12A Sem 1'!I46</f>
        <v>100</v>
      </c>
      <c r="K132" s="15">
        <f>'12A Sem 1'!J46</f>
        <v>100</v>
      </c>
      <c r="L132" s="15">
        <f>'12A Sem 1'!K46</f>
        <v>92</v>
      </c>
      <c r="M132" s="15">
        <f>'12A Sem 1'!L46</f>
        <v>99</v>
      </c>
      <c r="N132" s="15">
        <f>'12A Sem 1'!M46</f>
        <v>100</v>
      </c>
      <c r="O132" s="15">
        <f>'12A Sem 1'!N46</f>
        <v>100</v>
      </c>
      <c r="P132" s="15">
        <f>'12A Sem 1'!O46</f>
        <v>961</v>
      </c>
      <c r="Q132" s="203">
        <f>'12A Sem 1'!P46</f>
        <v>96.1</v>
      </c>
      <c r="R132" s="15">
        <f>'12A Sem 1'!Q46</f>
        <v>2</v>
      </c>
      <c r="S132" s="15">
        <f>'12A Sem 1'!R46</f>
        <v>0</v>
      </c>
      <c r="T132" s="38">
        <f>'12A Sem 1'!S46</f>
        <v>0</v>
      </c>
      <c r="V132" s="6"/>
      <c r="W132" s="6"/>
      <c r="X132" s="6"/>
      <c r="Y132" s="6"/>
      <c r="Z132" s="6"/>
    </row>
    <row r="133" spans="1:26" ht="17.25" customHeight="1" thickBot="1" x14ac:dyDescent="0.3">
      <c r="A133" s="353"/>
      <c r="B133" s="247"/>
      <c r="C133" s="253">
        <v>17</v>
      </c>
      <c r="D133" s="254" t="s">
        <v>20</v>
      </c>
      <c r="E133" s="29" t="s">
        <v>22</v>
      </c>
      <c r="F133" s="15">
        <f>'12A (NS)Sem 2'!E46</f>
        <v>92</v>
      </c>
      <c r="G133" s="15">
        <f>'12A (NS)Sem 2'!F46</f>
        <v>95</v>
      </c>
      <c r="H133" s="15">
        <f>'12A (NS)Sem 2'!G46</f>
        <v>95</v>
      </c>
      <c r="I133" s="15">
        <f>'12A (NS)Sem 2'!H46</f>
        <v>95</v>
      </c>
      <c r="J133" s="15">
        <f>'12A (NS)Sem 2'!I46</f>
        <v>95</v>
      </c>
      <c r="K133" s="15">
        <f>'12A (NS)Sem 2'!J46</f>
        <v>94</v>
      </c>
      <c r="L133" s="15">
        <f>'12A (NS)Sem 2'!K46</f>
        <v>91</v>
      </c>
      <c r="M133" s="15">
        <f>'12A (NS)Sem 2'!L46</f>
        <v>99</v>
      </c>
      <c r="N133" s="15">
        <f>'12A (NS)Sem 2'!M46</f>
        <v>100</v>
      </c>
      <c r="O133" s="15">
        <f>'12A (NS)Sem 2'!N46</f>
        <v>100</v>
      </c>
      <c r="P133" s="15">
        <f>'12A (NS)Sem 2'!O46</f>
        <v>956</v>
      </c>
      <c r="Q133" s="203">
        <f>'12A (NS)Sem 2'!P46</f>
        <v>95.6</v>
      </c>
      <c r="R133" s="15">
        <f>'12A (NS)Sem 2'!Q46</f>
        <v>3</v>
      </c>
      <c r="S133" s="15">
        <f>'12A (NS)Sem 2'!R46</f>
        <v>0</v>
      </c>
      <c r="T133" s="38">
        <f>'12A (NS)Sem 2'!S46</f>
        <v>0</v>
      </c>
      <c r="V133" s="6"/>
      <c r="W133" s="6"/>
      <c r="X133" s="6"/>
      <c r="Y133" s="6"/>
      <c r="Z133" s="6"/>
    </row>
    <row r="134" spans="1:26" ht="17.25" customHeight="1" thickBot="1" x14ac:dyDescent="0.3">
      <c r="A134" s="353"/>
      <c r="B134" s="247"/>
      <c r="C134" s="253">
        <v>17</v>
      </c>
      <c r="D134" s="254" t="s">
        <v>20</v>
      </c>
      <c r="E134" s="108" t="s">
        <v>16</v>
      </c>
      <c r="F134" s="15">
        <f>AVERAGE(F132:F133)</f>
        <v>88</v>
      </c>
      <c r="G134" s="15">
        <f t="shared" ref="G134:Q134" si="42">AVERAGE(G132:G133)</f>
        <v>94.5</v>
      </c>
      <c r="H134" s="15">
        <f t="shared" si="42"/>
        <v>94</v>
      </c>
      <c r="I134" s="15">
        <f t="shared" si="42"/>
        <v>97</v>
      </c>
      <c r="J134" s="15">
        <f t="shared" si="42"/>
        <v>97.5</v>
      </c>
      <c r="K134" s="15">
        <f t="shared" si="42"/>
        <v>97</v>
      </c>
      <c r="L134" s="15">
        <f t="shared" si="42"/>
        <v>91.5</v>
      </c>
      <c r="M134" s="15">
        <f t="shared" si="42"/>
        <v>99</v>
      </c>
      <c r="N134" s="15">
        <f t="shared" si="42"/>
        <v>100</v>
      </c>
      <c r="O134" s="15">
        <f t="shared" si="42"/>
        <v>100</v>
      </c>
      <c r="P134" s="15">
        <f t="shared" si="42"/>
        <v>958.5</v>
      </c>
      <c r="Q134" s="203">
        <f t="shared" si="42"/>
        <v>95.85</v>
      </c>
      <c r="R134" s="15">
        <f>'12A Sem avr (NS)'!$H$46</f>
        <v>2</v>
      </c>
      <c r="S134" s="15">
        <f>AVERAGE(S132:S133)</f>
        <v>0</v>
      </c>
      <c r="T134" s="38">
        <f>AVERAGE(T132:T133)</f>
        <v>0</v>
      </c>
      <c r="V134" s="6"/>
      <c r="W134" s="6"/>
      <c r="X134" s="6"/>
      <c r="Y134" s="6"/>
      <c r="Z134" s="6"/>
    </row>
    <row r="135" spans="1:26" ht="17.25" customHeight="1" thickBot="1" x14ac:dyDescent="0.3">
      <c r="A135" s="286">
        <v>44</v>
      </c>
      <c r="B135" s="247"/>
      <c r="C135" s="253">
        <v>17</v>
      </c>
      <c r="D135" s="254" t="s">
        <v>20</v>
      </c>
      <c r="E135" s="29" t="s">
        <v>21</v>
      </c>
      <c r="F135" s="15">
        <f>'12A Sem 1'!E47</f>
        <v>87</v>
      </c>
      <c r="G135" s="15">
        <f>'12A Sem 1'!F47</f>
        <v>86</v>
      </c>
      <c r="H135" s="15">
        <f>'12A Sem 1'!G47</f>
        <v>87</v>
      </c>
      <c r="I135" s="15">
        <f>'12A Sem 1'!H47</f>
        <v>92</v>
      </c>
      <c r="J135" s="15">
        <f>'12A Sem 1'!I47</f>
        <v>86</v>
      </c>
      <c r="K135" s="15">
        <f>'12A Sem 1'!J47</f>
        <v>92</v>
      </c>
      <c r="L135" s="15">
        <f>'12A Sem 1'!K47</f>
        <v>90</v>
      </c>
      <c r="M135" s="15">
        <f>'12A Sem 1'!L47</f>
        <v>100</v>
      </c>
      <c r="N135" s="15">
        <f>'12A Sem 1'!M47</f>
        <v>97</v>
      </c>
      <c r="O135" s="15">
        <f>'12A Sem 1'!N47</f>
        <v>99</v>
      </c>
      <c r="P135" s="15">
        <f>'12A Sem 1'!O47</f>
        <v>916</v>
      </c>
      <c r="Q135" s="203">
        <f>'12A Sem 1'!P47</f>
        <v>91.6</v>
      </c>
      <c r="R135" s="15">
        <f>'12A Sem 1'!Q47</f>
        <v>6</v>
      </c>
      <c r="S135" s="15">
        <f>'12A Sem 1'!R47</f>
        <v>0</v>
      </c>
      <c r="T135" s="38">
        <f>'12A Sem 1'!S47</f>
        <v>0</v>
      </c>
      <c r="V135" s="6"/>
      <c r="W135" s="6"/>
      <c r="X135" s="6"/>
      <c r="Y135" s="6"/>
      <c r="Z135" s="6"/>
    </row>
    <row r="136" spans="1:26" ht="17.25" customHeight="1" thickBot="1" x14ac:dyDescent="0.3">
      <c r="A136" s="286"/>
      <c r="B136" s="247"/>
      <c r="C136" s="253">
        <v>17</v>
      </c>
      <c r="D136" s="254" t="s">
        <v>20</v>
      </c>
      <c r="E136" s="29" t="s">
        <v>22</v>
      </c>
      <c r="F136" s="15">
        <f>'12A (NS)Sem 2'!E47</f>
        <v>93</v>
      </c>
      <c r="G136" s="15">
        <f>'12A (NS)Sem 2'!F47</f>
        <v>90</v>
      </c>
      <c r="H136" s="15">
        <f>'12A (NS)Sem 2'!G47</f>
        <v>92</v>
      </c>
      <c r="I136" s="15">
        <f>'12A (NS)Sem 2'!H47</f>
        <v>89</v>
      </c>
      <c r="J136" s="15">
        <f>'12A (NS)Sem 2'!I47</f>
        <v>88</v>
      </c>
      <c r="K136" s="15">
        <f>'12A (NS)Sem 2'!J47</f>
        <v>93</v>
      </c>
      <c r="L136" s="15">
        <f>'12A (NS)Sem 2'!K47</f>
        <v>92</v>
      </c>
      <c r="M136" s="15">
        <f>'12A (NS)Sem 2'!L47</f>
        <v>100</v>
      </c>
      <c r="N136" s="15">
        <f>'12A (NS)Sem 2'!M47</f>
        <v>100</v>
      </c>
      <c r="O136" s="15">
        <f>'12A (NS)Sem 2'!N47</f>
        <v>100</v>
      </c>
      <c r="P136" s="15">
        <f>'12A (NS)Sem 2'!O47</f>
        <v>937</v>
      </c>
      <c r="Q136" s="203">
        <f>'12A (NS)Sem 2'!P47</f>
        <v>93.7</v>
      </c>
      <c r="R136" s="15">
        <f>'12A (NS)Sem 2'!Q47</f>
        <v>6</v>
      </c>
      <c r="S136" s="15">
        <f>'12A (NS)Sem 2'!R47</f>
        <v>0</v>
      </c>
      <c r="T136" s="38">
        <f>'12A (NS)Sem 2'!S47</f>
        <v>0</v>
      </c>
      <c r="V136" s="6"/>
      <c r="W136" s="6"/>
      <c r="X136" s="6"/>
      <c r="Y136" s="6"/>
      <c r="Z136" s="6"/>
    </row>
    <row r="137" spans="1:26" ht="17.25" customHeight="1" thickBot="1" x14ac:dyDescent="0.3">
      <c r="A137" s="286"/>
      <c r="B137" s="247"/>
      <c r="C137" s="253">
        <v>17</v>
      </c>
      <c r="D137" s="254" t="s">
        <v>20</v>
      </c>
      <c r="E137" s="108" t="s">
        <v>16</v>
      </c>
      <c r="F137" s="15">
        <f>AVERAGE(F135:F136)</f>
        <v>90</v>
      </c>
      <c r="G137" s="15">
        <f t="shared" ref="G137:Q137" si="43">AVERAGE(G135:G136)</f>
        <v>88</v>
      </c>
      <c r="H137" s="15">
        <f t="shared" si="43"/>
        <v>89.5</v>
      </c>
      <c r="I137" s="15">
        <f t="shared" si="43"/>
        <v>90.5</v>
      </c>
      <c r="J137" s="15">
        <f t="shared" si="43"/>
        <v>87</v>
      </c>
      <c r="K137" s="15">
        <f t="shared" si="43"/>
        <v>92.5</v>
      </c>
      <c r="L137" s="15">
        <f t="shared" si="43"/>
        <v>91</v>
      </c>
      <c r="M137" s="15">
        <f t="shared" si="43"/>
        <v>100</v>
      </c>
      <c r="N137" s="15">
        <f t="shared" si="43"/>
        <v>98.5</v>
      </c>
      <c r="O137" s="15">
        <f t="shared" si="43"/>
        <v>99.5</v>
      </c>
      <c r="P137" s="15">
        <f t="shared" si="43"/>
        <v>926.5</v>
      </c>
      <c r="Q137" s="203">
        <f t="shared" si="43"/>
        <v>92.65</v>
      </c>
      <c r="R137" s="15">
        <f>'12A Sem avr (NS)'!$H$47</f>
        <v>6</v>
      </c>
      <c r="S137" s="15">
        <f>AVERAGE(S135:S136)</f>
        <v>0</v>
      </c>
      <c r="T137" s="38">
        <f>AVERAGE(T135:T136)</f>
        <v>0</v>
      </c>
      <c r="V137" s="6"/>
      <c r="W137" s="6"/>
      <c r="X137" s="6"/>
      <c r="Y137" s="6"/>
      <c r="Z137" s="6"/>
    </row>
    <row r="138" spans="1:26" ht="17.25" customHeight="1" thickBot="1" x14ac:dyDescent="0.3">
      <c r="A138" s="353">
        <v>45</v>
      </c>
      <c r="B138" s="247"/>
      <c r="C138" s="253">
        <v>18</v>
      </c>
      <c r="D138" s="254" t="s">
        <v>20</v>
      </c>
      <c r="E138" s="29" t="s">
        <v>21</v>
      </c>
      <c r="F138" s="15">
        <f>'12A Sem 1'!E48</f>
        <v>72</v>
      </c>
      <c r="G138" s="15">
        <f>'12A Sem 1'!F48</f>
        <v>94</v>
      </c>
      <c r="H138" s="15">
        <f>'12A Sem 1'!G48</f>
        <v>94</v>
      </c>
      <c r="I138" s="15">
        <f>'12A Sem 1'!H48</f>
        <v>91</v>
      </c>
      <c r="J138" s="15">
        <f>'12A Sem 1'!I48</f>
        <v>91</v>
      </c>
      <c r="K138" s="15">
        <f>'12A Sem 1'!J48</f>
        <v>97</v>
      </c>
      <c r="L138" s="15">
        <f>'12A Sem 1'!K48</f>
        <v>87</v>
      </c>
      <c r="M138" s="15">
        <f>'12A Sem 1'!L48</f>
        <v>99</v>
      </c>
      <c r="N138" s="15">
        <f>'12A Sem 1'!M48</f>
        <v>100</v>
      </c>
      <c r="O138" s="15">
        <f>'12A Sem 1'!N48</f>
        <v>99</v>
      </c>
      <c r="P138" s="15">
        <f>'12A Sem 1'!O48</f>
        <v>924</v>
      </c>
      <c r="Q138" s="203">
        <f>'12A Sem 1'!P48</f>
        <v>92.4</v>
      </c>
      <c r="R138" s="15">
        <f>'12A Sem 1'!Q48</f>
        <v>5</v>
      </c>
      <c r="S138" s="15">
        <f>'12A Sem 1'!R48</f>
        <v>0</v>
      </c>
      <c r="T138" s="38">
        <f>'12A Sem 1'!S48</f>
        <v>0</v>
      </c>
      <c r="V138" s="6"/>
      <c r="W138" s="6"/>
      <c r="X138" s="6"/>
      <c r="Y138" s="6"/>
      <c r="Z138" s="6"/>
    </row>
    <row r="139" spans="1:26" ht="18" customHeight="1" thickBot="1" x14ac:dyDescent="0.3">
      <c r="A139" s="353"/>
      <c r="B139" s="247"/>
      <c r="C139" s="253">
        <v>18</v>
      </c>
      <c r="D139" s="254" t="s">
        <v>20</v>
      </c>
      <c r="E139" s="29" t="s">
        <v>22</v>
      </c>
      <c r="F139" s="15">
        <f>'12A (NS)Sem 2'!E48</f>
        <v>80</v>
      </c>
      <c r="G139" s="15">
        <f>'12A (NS)Sem 2'!F48</f>
        <v>95</v>
      </c>
      <c r="H139" s="15">
        <f>'12A (NS)Sem 2'!G48</f>
        <v>96</v>
      </c>
      <c r="I139" s="15">
        <f>'12A (NS)Sem 2'!H48</f>
        <v>93</v>
      </c>
      <c r="J139" s="15">
        <f>'12A (NS)Sem 2'!I48</f>
        <v>95</v>
      </c>
      <c r="K139" s="15">
        <f>'12A (NS)Sem 2'!J48</f>
        <v>92</v>
      </c>
      <c r="L139" s="15">
        <f>'12A (NS)Sem 2'!K48</f>
        <v>91</v>
      </c>
      <c r="M139" s="15">
        <f>'12A (NS)Sem 2'!L48</f>
        <v>99</v>
      </c>
      <c r="N139" s="15">
        <f>'12A (NS)Sem 2'!M48</f>
        <v>100</v>
      </c>
      <c r="O139" s="15">
        <f>'12A (NS)Sem 2'!N48</f>
        <v>100</v>
      </c>
      <c r="P139" s="15">
        <f>'12A (NS)Sem 2'!O48</f>
        <v>941</v>
      </c>
      <c r="Q139" s="203">
        <f>'12A (NS)Sem 2'!P48</f>
        <v>94.1</v>
      </c>
      <c r="R139" s="15">
        <f>'12A (NS)Sem 2'!Q48</f>
        <v>5</v>
      </c>
      <c r="S139" s="15">
        <f>'12A (NS)Sem 2'!R48</f>
        <v>0</v>
      </c>
      <c r="T139" s="38">
        <f>'12A (NS)Sem 2'!S48</f>
        <v>0</v>
      </c>
    </row>
    <row r="140" spans="1:26" ht="18" customHeight="1" thickBot="1" x14ac:dyDescent="0.3">
      <c r="A140" s="353"/>
      <c r="B140" s="247"/>
      <c r="C140" s="253">
        <v>18</v>
      </c>
      <c r="D140" s="254" t="s">
        <v>20</v>
      </c>
      <c r="E140" s="108" t="s">
        <v>16</v>
      </c>
      <c r="F140" s="15">
        <f>AVERAGE(F138:F139)</f>
        <v>76</v>
      </c>
      <c r="G140" s="15">
        <f t="shared" ref="G140:Q140" si="44">AVERAGE(G138:G139)</f>
        <v>94.5</v>
      </c>
      <c r="H140" s="15">
        <f t="shared" si="44"/>
        <v>95</v>
      </c>
      <c r="I140" s="15">
        <f t="shared" si="44"/>
        <v>92</v>
      </c>
      <c r="J140" s="15">
        <f t="shared" si="44"/>
        <v>93</v>
      </c>
      <c r="K140" s="15">
        <f t="shared" si="44"/>
        <v>94.5</v>
      </c>
      <c r="L140" s="15">
        <f t="shared" si="44"/>
        <v>89</v>
      </c>
      <c r="M140" s="15">
        <f t="shared" si="44"/>
        <v>99</v>
      </c>
      <c r="N140" s="15">
        <f t="shared" si="44"/>
        <v>100</v>
      </c>
      <c r="O140" s="15">
        <f t="shared" si="44"/>
        <v>99.5</v>
      </c>
      <c r="P140" s="15">
        <f t="shared" si="44"/>
        <v>932.5</v>
      </c>
      <c r="Q140" s="203">
        <f t="shared" si="44"/>
        <v>93.25</v>
      </c>
      <c r="R140" s="15">
        <f>'12A Sem avr (NS)'!$H$48</f>
        <v>5</v>
      </c>
      <c r="S140" s="15">
        <f>AVERAGE(S138:S139)</f>
        <v>0</v>
      </c>
      <c r="T140" s="38">
        <f>AVERAGE(T138:T139)</f>
        <v>0</v>
      </c>
    </row>
    <row r="141" spans="1:26" ht="18" customHeight="1" thickBot="1" x14ac:dyDescent="0.3">
      <c r="A141" s="286">
        <v>46</v>
      </c>
      <c r="B141" s="247"/>
      <c r="C141" s="253"/>
      <c r="D141" s="254"/>
      <c r="E141" s="29" t="s">
        <v>21</v>
      </c>
      <c r="F141" s="15">
        <f>'12A Sem 1'!E49</f>
        <v>0</v>
      </c>
      <c r="G141" s="15">
        <f>'12A Sem 1'!F49</f>
        <v>0</v>
      </c>
      <c r="H141" s="15">
        <f>'12A Sem 1'!G49</f>
        <v>0</v>
      </c>
      <c r="I141" s="15">
        <f>'12A Sem 1'!H49</f>
        <v>0</v>
      </c>
      <c r="J141" s="15">
        <f>'12A Sem 1'!I49</f>
        <v>0</v>
      </c>
      <c r="K141" s="15">
        <f>'12A Sem 1'!J49</f>
        <v>0</v>
      </c>
      <c r="L141" s="15">
        <f>'12A Sem 1'!K49</f>
        <v>0</v>
      </c>
      <c r="M141" s="15">
        <f>'12A Sem 1'!L49</f>
        <v>0</v>
      </c>
      <c r="N141" s="15">
        <f>'12A Sem 1'!M49</f>
        <v>0</v>
      </c>
      <c r="O141" s="15">
        <f>'12A Sem 1'!N49</f>
        <v>0</v>
      </c>
      <c r="P141" s="15">
        <f>'12A Sem 1'!O49</f>
        <v>0</v>
      </c>
      <c r="Q141" s="203">
        <f>'12A Sem 1'!P49</f>
        <v>0</v>
      </c>
      <c r="R141" s="15">
        <f>'12A Sem 1'!Q49</f>
        <v>0</v>
      </c>
      <c r="S141" s="15">
        <f>'12A Sem 1'!R49</f>
        <v>0</v>
      </c>
      <c r="T141" s="38">
        <f>'12A Sem 1'!S49</f>
        <v>0</v>
      </c>
    </row>
    <row r="142" spans="1:26" ht="18" customHeight="1" thickBot="1" x14ac:dyDescent="0.3">
      <c r="A142" s="286"/>
      <c r="B142" s="247"/>
      <c r="C142" s="253"/>
      <c r="D142" s="254"/>
      <c r="E142" s="29" t="s">
        <v>22</v>
      </c>
      <c r="F142" s="15">
        <f>'12A (NS)Sem 2'!E49</f>
        <v>0</v>
      </c>
      <c r="G142" s="15">
        <f>'12A (NS)Sem 2'!F49</f>
        <v>0</v>
      </c>
      <c r="H142" s="15">
        <f>'12A (NS)Sem 2'!G49</f>
        <v>0</v>
      </c>
      <c r="I142" s="15">
        <f>'12A (NS)Sem 2'!H49</f>
        <v>0</v>
      </c>
      <c r="J142" s="15">
        <f>'12A (NS)Sem 2'!I49</f>
        <v>0</v>
      </c>
      <c r="K142" s="15">
        <f>'12A (NS)Sem 2'!J49</f>
        <v>0</v>
      </c>
      <c r="L142" s="15">
        <f>'12A (NS)Sem 2'!K49</f>
        <v>0</v>
      </c>
      <c r="M142" s="15">
        <f>'12A (NS)Sem 2'!L49</f>
        <v>0</v>
      </c>
      <c r="N142" s="15">
        <f>'12A (NS)Sem 2'!M49</f>
        <v>0</v>
      </c>
      <c r="O142" s="15">
        <f>'12A (NS)Sem 2'!N49</f>
        <v>0</v>
      </c>
      <c r="P142" s="15">
        <f>'12A (NS)Sem 2'!O49</f>
        <v>0</v>
      </c>
      <c r="Q142" s="203">
        <f>'12A (NS)Sem 2'!P49</f>
        <v>0</v>
      </c>
      <c r="R142" s="15">
        <f>'12A (NS)Sem 2'!Q49</f>
        <v>0</v>
      </c>
      <c r="S142" s="15">
        <f>'12A (NS)Sem 2'!R49</f>
        <v>0</v>
      </c>
      <c r="T142" s="38">
        <f>'12A (NS)Sem 2'!S49</f>
        <v>0</v>
      </c>
    </row>
    <row r="143" spans="1:26" ht="18" customHeight="1" thickBot="1" x14ac:dyDescent="0.3">
      <c r="A143" s="286"/>
      <c r="B143" s="247"/>
      <c r="C143" s="253"/>
      <c r="D143" s="254"/>
      <c r="E143" s="108" t="s">
        <v>16</v>
      </c>
      <c r="F143" s="15">
        <f>AVERAGE(F141:F142)</f>
        <v>0</v>
      </c>
      <c r="G143" s="15">
        <f t="shared" ref="G143:Q143" si="45">AVERAGE(G141:G142)</f>
        <v>0</v>
      </c>
      <c r="H143" s="15">
        <f t="shared" si="45"/>
        <v>0</v>
      </c>
      <c r="I143" s="15">
        <f t="shared" si="45"/>
        <v>0</v>
      </c>
      <c r="J143" s="15">
        <f t="shared" si="45"/>
        <v>0</v>
      </c>
      <c r="K143" s="15">
        <f t="shared" si="45"/>
        <v>0</v>
      </c>
      <c r="L143" s="15">
        <f t="shared" si="45"/>
        <v>0</v>
      </c>
      <c r="M143" s="15">
        <f t="shared" si="45"/>
        <v>0</v>
      </c>
      <c r="N143" s="15">
        <f t="shared" si="45"/>
        <v>0</v>
      </c>
      <c r="O143" s="15">
        <f t="shared" si="45"/>
        <v>0</v>
      </c>
      <c r="P143" s="15">
        <f t="shared" si="45"/>
        <v>0</v>
      </c>
      <c r="Q143" s="203">
        <f t="shared" si="45"/>
        <v>0</v>
      </c>
      <c r="R143" s="15">
        <f>'12A Sem avr (NS)'!$H$49</f>
        <v>0</v>
      </c>
      <c r="S143" s="15">
        <f>AVERAGE(S141:S142)</f>
        <v>0</v>
      </c>
      <c r="T143" s="38">
        <f>AVERAGE(T141:T142)</f>
        <v>0</v>
      </c>
    </row>
    <row r="144" spans="1:26" ht="18" customHeight="1" thickBot="1" x14ac:dyDescent="0.3">
      <c r="A144" s="353">
        <v>47</v>
      </c>
      <c r="B144" s="326"/>
      <c r="C144" s="326"/>
      <c r="D144" s="355"/>
      <c r="E144" s="29" t="s">
        <v>21</v>
      </c>
      <c r="F144" s="15">
        <f>'12A Sem 1'!E50</f>
        <v>0</v>
      </c>
      <c r="G144" s="15">
        <f>'12A Sem 1'!F50</f>
        <v>0</v>
      </c>
      <c r="H144" s="15">
        <f>'12A Sem 1'!G50</f>
        <v>0</v>
      </c>
      <c r="I144" s="15">
        <f>'12A Sem 1'!H50</f>
        <v>0</v>
      </c>
      <c r="J144" s="15">
        <f>'12A Sem 1'!I50</f>
        <v>0</v>
      </c>
      <c r="K144" s="15">
        <f>'12A Sem 1'!J50</f>
        <v>0</v>
      </c>
      <c r="L144" s="15">
        <f>'12A Sem 1'!K50</f>
        <v>0</v>
      </c>
      <c r="M144" s="15">
        <f>'12A Sem 1'!L50</f>
        <v>0</v>
      </c>
      <c r="N144" s="15">
        <f>'12A Sem 1'!M50</f>
        <v>0</v>
      </c>
      <c r="O144" s="15">
        <f>'12A Sem 1'!N50</f>
        <v>0</v>
      </c>
      <c r="P144" s="15">
        <f>'12A Sem 1'!O50</f>
        <v>0</v>
      </c>
      <c r="Q144" s="203">
        <f>'12A Sem 1'!P50</f>
        <v>0</v>
      </c>
      <c r="R144" s="15">
        <f>'12A Sem 1'!Q50</f>
        <v>0</v>
      </c>
      <c r="S144" s="15">
        <f>'12A Sem 1'!R50</f>
        <v>0</v>
      </c>
      <c r="T144" s="38">
        <f>'12A Sem 1'!S50</f>
        <v>0</v>
      </c>
    </row>
    <row r="145" spans="1:20" ht="18" customHeight="1" thickBot="1" x14ac:dyDescent="0.3">
      <c r="A145" s="353"/>
      <c r="B145" s="326"/>
      <c r="C145" s="326"/>
      <c r="D145" s="356"/>
      <c r="E145" s="29" t="s">
        <v>22</v>
      </c>
      <c r="F145" s="15">
        <f>'12A (NS)Sem 2'!E50</f>
        <v>0</v>
      </c>
      <c r="G145" s="15">
        <f>'12A (NS)Sem 2'!F50</f>
        <v>0</v>
      </c>
      <c r="H145" s="15">
        <f>'12A (NS)Sem 2'!G50</f>
        <v>0</v>
      </c>
      <c r="I145" s="15">
        <f>'12A (NS)Sem 2'!H50</f>
        <v>0</v>
      </c>
      <c r="J145" s="15">
        <f>'12A (NS)Sem 2'!I50</f>
        <v>0</v>
      </c>
      <c r="K145" s="15">
        <f>'12A (NS)Sem 2'!J50</f>
        <v>0</v>
      </c>
      <c r="L145" s="15">
        <f>'12A (NS)Sem 2'!K50</f>
        <v>0</v>
      </c>
      <c r="M145" s="15">
        <f>'12A (NS)Sem 2'!L50</f>
        <v>0</v>
      </c>
      <c r="N145" s="15">
        <f>'12A (NS)Sem 2'!M50</f>
        <v>0</v>
      </c>
      <c r="O145" s="15">
        <f>'12A (NS)Sem 2'!N50</f>
        <v>0</v>
      </c>
      <c r="P145" s="15">
        <f>'12A (NS)Sem 2'!O50</f>
        <v>0</v>
      </c>
      <c r="Q145" s="203">
        <f>'12A (NS)Sem 2'!P50</f>
        <v>0</v>
      </c>
      <c r="R145" s="15">
        <f>'12A (NS)Sem 2'!Q50</f>
        <v>0</v>
      </c>
      <c r="S145" s="15">
        <f>'12A (NS)Sem 2'!R50</f>
        <v>0</v>
      </c>
      <c r="T145" s="38">
        <f>'12A (NS)Sem 2'!S50</f>
        <v>0</v>
      </c>
    </row>
    <row r="146" spans="1:20" ht="18" customHeight="1" thickBot="1" x14ac:dyDescent="0.3">
      <c r="A146" s="353"/>
      <c r="B146" s="326"/>
      <c r="C146" s="326"/>
      <c r="D146" s="357"/>
      <c r="E146" s="108" t="s">
        <v>16</v>
      </c>
      <c r="F146" s="15">
        <f>AVERAGE(F144:F145)</f>
        <v>0</v>
      </c>
      <c r="G146" s="15">
        <f t="shared" ref="G146:Q146" si="46">AVERAGE(G144:G145)</f>
        <v>0</v>
      </c>
      <c r="H146" s="15">
        <f t="shared" si="46"/>
        <v>0</v>
      </c>
      <c r="I146" s="15">
        <f t="shared" si="46"/>
        <v>0</v>
      </c>
      <c r="J146" s="15">
        <f t="shared" si="46"/>
        <v>0</v>
      </c>
      <c r="K146" s="15">
        <f t="shared" si="46"/>
        <v>0</v>
      </c>
      <c r="L146" s="15">
        <f t="shared" si="46"/>
        <v>0</v>
      </c>
      <c r="M146" s="15">
        <f t="shared" si="46"/>
        <v>0</v>
      </c>
      <c r="N146" s="15">
        <f t="shared" si="46"/>
        <v>0</v>
      </c>
      <c r="O146" s="15">
        <f t="shared" si="46"/>
        <v>0</v>
      </c>
      <c r="P146" s="15">
        <f t="shared" si="46"/>
        <v>0</v>
      </c>
      <c r="Q146" s="203">
        <f t="shared" si="46"/>
        <v>0</v>
      </c>
      <c r="R146" s="15">
        <f>'12A Sem avr (NS)'!$H$50</f>
        <v>0</v>
      </c>
      <c r="S146" s="15">
        <f>AVERAGE(S144:S145)</f>
        <v>0</v>
      </c>
      <c r="T146" s="38">
        <f>AVERAGE(T144:T145)</f>
        <v>0</v>
      </c>
    </row>
    <row r="147" spans="1:20" ht="18" customHeight="1" thickBot="1" x14ac:dyDescent="0.3">
      <c r="A147" s="286">
        <v>48</v>
      </c>
      <c r="B147" s="326"/>
      <c r="C147" s="326"/>
      <c r="D147" s="326"/>
      <c r="E147" s="29" t="s">
        <v>21</v>
      </c>
      <c r="F147" s="15">
        <f>'12A Sem 1'!E51</f>
        <v>0</v>
      </c>
      <c r="G147" s="15">
        <f>'12A Sem 1'!F51</f>
        <v>0</v>
      </c>
      <c r="H147" s="15">
        <f>'12A Sem 1'!G51</f>
        <v>0</v>
      </c>
      <c r="I147" s="15">
        <f>'12A Sem 1'!H51</f>
        <v>0</v>
      </c>
      <c r="J147" s="15">
        <f>'12A Sem 1'!I51</f>
        <v>0</v>
      </c>
      <c r="K147" s="15">
        <f>'12A Sem 1'!J51</f>
        <v>0</v>
      </c>
      <c r="L147" s="15">
        <f>'12A Sem 1'!K51</f>
        <v>0</v>
      </c>
      <c r="M147" s="15">
        <f>'12A Sem 1'!L51</f>
        <v>0</v>
      </c>
      <c r="N147" s="15">
        <f>'12A Sem 1'!M51</f>
        <v>0</v>
      </c>
      <c r="O147" s="15">
        <f>'12A Sem 1'!N51</f>
        <v>0</v>
      </c>
      <c r="P147" s="15">
        <f>'12A Sem 1'!O51</f>
        <v>0</v>
      </c>
      <c r="Q147" s="203">
        <f>'12A Sem 1'!P51</f>
        <v>0</v>
      </c>
      <c r="R147" s="15">
        <f>'12A Sem 1'!Q51</f>
        <v>0</v>
      </c>
      <c r="S147" s="15">
        <f>'12A Sem 1'!R51</f>
        <v>0</v>
      </c>
      <c r="T147" s="38">
        <f>'12A Sem 1'!S51</f>
        <v>0</v>
      </c>
    </row>
    <row r="148" spans="1:20" ht="18" customHeight="1" thickBot="1" x14ac:dyDescent="0.3">
      <c r="A148" s="286"/>
      <c r="B148" s="326"/>
      <c r="C148" s="326"/>
      <c r="D148" s="326"/>
      <c r="E148" s="29" t="s">
        <v>22</v>
      </c>
      <c r="F148" s="15">
        <f>'12A (NS)Sem 2'!E51</f>
        <v>0</v>
      </c>
      <c r="G148" s="15">
        <f>'12A (NS)Sem 2'!F51</f>
        <v>0</v>
      </c>
      <c r="H148" s="15">
        <f>'12A (NS)Sem 2'!G51</f>
        <v>0</v>
      </c>
      <c r="I148" s="15">
        <f>'12A (NS)Sem 2'!H51</f>
        <v>0</v>
      </c>
      <c r="J148" s="15">
        <f>'12A (NS)Sem 2'!I51</f>
        <v>0</v>
      </c>
      <c r="K148" s="15">
        <f>'12A (NS)Sem 2'!J51</f>
        <v>0</v>
      </c>
      <c r="L148" s="15">
        <f>'12A (NS)Sem 2'!K51</f>
        <v>0</v>
      </c>
      <c r="M148" s="15">
        <f>'12A (NS)Sem 2'!L51</f>
        <v>0</v>
      </c>
      <c r="N148" s="15">
        <f>'12A (NS)Sem 2'!M51</f>
        <v>0</v>
      </c>
      <c r="O148" s="15">
        <f>'12A (NS)Sem 2'!N51</f>
        <v>0</v>
      </c>
      <c r="P148" s="15">
        <f>'12A (NS)Sem 2'!O51</f>
        <v>0</v>
      </c>
      <c r="Q148" s="203">
        <f>'12A (NS)Sem 2'!P51</f>
        <v>0</v>
      </c>
      <c r="R148" s="15">
        <f>'12A (NS)Sem 2'!Q51</f>
        <v>0</v>
      </c>
      <c r="S148" s="15">
        <f>'12A (NS)Sem 2'!R51</f>
        <v>0</v>
      </c>
      <c r="T148" s="38">
        <f>'12A (NS)Sem 2'!S51</f>
        <v>0</v>
      </c>
    </row>
    <row r="149" spans="1:20" ht="18" customHeight="1" thickBot="1" x14ac:dyDescent="0.3">
      <c r="A149" s="286"/>
      <c r="B149" s="326"/>
      <c r="C149" s="326"/>
      <c r="D149" s="326"/>
      <c r="E149" s="108" t="s">
        <v>16</v>
      </c>
      <c r="F149" s="15">
        <f>AVERAGE(F147:F148)</f>
        <v>0</v>
      </c>
      <c r="G149" s="15">
        <f t="shared" ref="G149:Q149" si="47">AVERAGE(G147:G148)</f>
        <v>0</v>
      </c>
      <c r="H149" s="15">
        <f t="shared" si="47"/>
        <v>0</v>
      </c>
      <c r="I149" s="15">
        <f t="shared" si="47"/>
        <v>0</v>
      </c>
      <c r="J149" s="15">
        <f t="shared" si="47"/>
        <v>0</v>
      </c>
      <c r="K149" s="15">
        <f t="shared" si="47"/>
        <v>0</v>
      </c>
      <c r="L149" s="15">
        <f t="shared" si="47"/>
        <v>0</v>
      </c>
      <c r="M149" s="15">
        <f t="shared" si="47"/>
        <v>0</v>
      </c>
      <c r="N149" s="15">
        <f t="shared" si="47"/>
        <v>0</v>
      </c>
      <c r="O149" s="15">
        <f t="shared" si="47"/>
        <v>0</v>
      </c>
      <c r="P149" s="15">
        <f t="shared" si="47"/>
        <v>0</v>
      </c>
      <c r="Q149" s="203">
        <f t="shared" si="47"/>
        <v>0</v>
      </c>
      <c r="R149" s="15">
        <f>'12A Sem avr (NS)'!$H$51</f>
        <v>0</v>
      </c>
      <c r="S149" s="15">
        <f>AVERAGE(S147:S148)</f>
        <v>0</v>
      </c>
      <c r="T149" s="38">
        <f>AVERAGE(T147:T148)</f>
        <v>0</v>
      </c>
    </row>
    <row r="150" spans="1:20" ht="18" customHeight="1" thickBot="1" x14ac:dyDescent="0.3">
      <c r="A150" s="353">
        <v>49</v>
      </c>
      <c r="B150" s="309"/>
      <c r="C150" s="309"/>
      <c r="D150" s="309"/>
      <c r="E150" s="29" t="s">
        <v>21</v>
      </c>
      <c r="F150" s="15">
        <f>'12A Sem 1'!E52</f>
        <v>0</v>
      </c>
      <c r="G150" s="15">
        <f>'12A Sem 1'!F52</f>
        <v>0</v>
      </c>
      <c r="H150" s="15">
        <f>'12A Sem 1'!G52</f>
        <v>0</v>
      </c>
      <c r="I150" s="15">
        <f>'12A Sem 1'!H52</f>
        <v>0</v>
      </c>
      <c r="J150" s="15">
        <f>'12A Sem 1'!I52</f>
        <v>0</v>
      </c>
      <c r="K150" s="15">
        <f>'12A Sem 1'!J52</f>
        <v>0</v>
      </c>
      <c r="L150" s="15">
        <f>'12A Sem 1'!K52</f>
        <v>0</v>
      </c>
      <c r="M150" s="15">
        <f>'12A Sem 1'!L52</f>
        <v>0</v>
      </c>
      <c r="N150" s="15">
        <f>'12A Sem 1'!M52</f>
        <v>0</v>
      </c>
      <c r="O150" s="15">
        <f>'12A Sem 1'!N52</f>
        <v>0</v>
      </c>
      <c r="P150" s="15">
        <f>'12A Sem 1'!O52</f>
        <v>0</v>
      </c>
      <c r="Q150" s="203">
        <f>'12A Sem 1'!P52</f>
        <v>0</v>
      </c>
      <c r="R150" s="15">
        <f>'12A Sem 1'!Q52</f>
        <v>0</v>
      </c>
      <c r="S150" s="15">
        <f>'12A Sem 1'!R52</f>
        <v>0</v>
      </c>
      <c r="T150" s="38">
        <f>'12A Sem 1'!S52</f>
        <v>0</v>
      </c>
    </row>
    <row r="151" spans="1:20" ht="18" customHeight="1" thickBot="1" x14ac:dyDescent="0.3">
      <c r="A151" s="353"/>
      <c r="B151" s="309"/>
      <c r="C151" s="309"/>
      <c r="D151" s="309"/>
      <c r="E151" s="29" t="s">
        <v>22</v>
      </c>
      <c r="F151" s="15">
        <f>'12A (NS)Sem 2'!E52</f>
        <v>0</v>
      </c>
      <c r="G151" s="15">
        <f>'12A (NS)Sem 2'!F52</f>
        <v>0</v>
      </c>
      <c r="H151" s="15">
        <f>'12A (NS)Sem 2'!G52</f>
        <v>0</v>
      </c>
      <c r="I151" s="15">
        <f>'12A (NS)Sem 2'!H52</f>
        <v>0</v>
      </c>
      <c r="J151" s="15">
        <f>'12A (NS)Sem 2'!I52</f>
        <v>0</v>
      </c>
      <c r="K151" s="15">
        <f>'12A (NS)Sem 2'!J52</f>
        <v>0</v>
      </c>
      <c r="L151" s="15">
        <f>'12A (NS)Sem 2'!K52</f>
        <v>0</v>
      </c>
      <c r="M151" s="15">
        <f>'12A (NS)Sem 2'!L52</f>
        <v>0</v>
      </c>
      <c r="N151" s="15">
        <f>'12A (NS)Sem 2'!M52</f>
        <v>0</v>
      </c>
      <c r="O151" s="15">
        <f>'12A (NS)Sem 2'!N52</f>
        <v>0</v>
      </c>
      <c r="P151" s="15">
        <f>'12A (NS)Sem 2'!O52</f>
        <v>0</v>
      </c>
      <c r="Q151" s="203">
        <f>'12A (NS)Sem 2'!P52</f>
        <v>0</v>
      </c>
      <c r="R151" s="15">
        <f>'12A (NS)Sem 2'!Q52</f>
        <v>0</v>
      </c>
      <c r="S151" s="15">
        <f>'12A (NS)Sem 2'!R52</f>
        <v>0</v>
      </c>
      <c r="T151" s="38">
        <f>'12A (NS)Sem 2'!S52</f>
        <v>0</v>
      </c>
    </row>
    <row r="152" spans="1:20" ht="18" customHeight="1" thickBot="1" x14ac:dyDescent="0.3">
      <c r="A152" s="353"/>
      <c r="B152" s="309"/>
      <c r="C152" s="309"/>
      <c r="D152" s="309"/>
      <c r="E152" s="108" t="s">
        <v>16</v>
      </c>
      <c r="F152" s="15">
        <f>AVERAGE(F150:F151)</f>
        <v>0</v>
      </c>
      <c r="G152" s="15">
        <f t="shared" ref="G152:Q152" si="48">AVERAGE(G150:G151)</f>
        <v>0</v>
      </c>
      <c r="H152" s="15">
        <f t="shared" si="48"/>
        <v>0</v>
      </c>
      <c r="I152" s="15">
        <f t="shared" si="48"/>
        <v>0</v>
      </c>
      <c r="J152" s="15">
        <f t="shared" si="48"/>
        <v>0</v>
      </c>
      <c r="K152" s="15">
        <f t="shared" si="48"/>
        <v>0</v>
      </c>
      <c r="L152" s="15">
        <f t="shared" si="48"/>
        <v>0</v>
      </c>
      <c r="M152" s="15">
        <f t="shared" si="48"/>
        <v>0</v>
      </c>
      <c r="N152" s="15">
        <f t="shared" si="48"/>
        <v>0</v>
      </c>
      <c r="O152" s="15">
        <f t="shared" si="48"/>
        <v>0</v>
      </c>
      <c r="P152" s="15">
        <f t="shared" si="48"/>
        <v>0</v>
      </c>
      <c r="Q152" s="203">
        <f t="shared" si="48"/>
        <v>0</v>
      </c>
      <c r="R152" s="15">
        <f>'12A Sem avr (NS)'!$H$52</f>
        <v>0</v>
      </c>
      <c r="S152" s="15">
        <f>AVERAGE(S150:S151)</f>
        <v>0</v>
      </c>
      <c r="T152" s="38">
        <f>AVERAGE(T150:T151)</f>
        <v>0</v>
      </c>
    </row>
    <row r="153" spans="1:20" ht="18" customHeight="1" thickBot="1" x14ac:dyDescent="0.3">
      <c r="A153" s="286">
        <v>50</v>
      </c>
      <c r="B153" s="309"/>
      <c r="C153" s="309"/>
      <c r="D153" s="309"/>
      <c r="E153" s="29" t="s">
        <v>21</v>
      </c>
      <c r="F153" s="15">
        <f>'12A Sem 1'!E53</f>
        <v>0</v>
      </c>
      <c r="G153" s="15">
        <f>'12A Sem 1'!F53</f>
        <v>0</v>
      </c>
      <c r="H153" s="15">
        <f>'12A Sem 1'!G53</f>
        <v>0</v>
      </c>
      <c r="I153" s="15">
        <f>'12A Sem 1'!H53</f>
        <v>0</v>
      </c>
      <c r="J153" s="15">
        <f>'12A Sem 1'!I53</f>
        <v>0</v>
      </c>
      <c r="K153" s="15">
        <f>'12A Sem 1'!J53</f>
        <v>0</v>
      </c>
      <c r="L153" s="15">
        <f>'12A Sem 1'!K53</f>
        <v>0</v>
      </c>
      <c r="M153" s="15">
        <f>'12A Sem 1'!L53</f>
        <v>0</v>
      </c>
      <c r="N153" s="15">
        <f>'12A Sem 1'!M53</f>
        <v>0</v>
      </c>
      <c r="O153" s="15">
        <f>'12A Sem 1'!N53</f>
        <v>0</v>
      </c>
      <c r="P153" s="15">
        <f>'12A Sem 1'!O53</f>
        <v>0</v>
      </c>
      <c r="Q153" s="203">
        <f>'12A Sem 1'!P53</f>
        <v>0</v>
      </c>
      <c r="R153" s="15">
        <f>'12A Sem 1'!Q53</f>
        <v>0</v>
      </c>
      <c r="S153" s="15">
        <f>'12A Sem 1'!R53</f>
        <v>0</v>
      </c>
      <c r="T153" s="38">
        <f>'12A Sem 1'!S53</f>
        <v>0</v>
      </c>
    </row>
    <row r="154" spans="1:20" ht="18" customHeight="1" thickBot="1" x14ac:dyDescent="0.3">
      <c r="A154" s="286"/>
      <c r="B154" s="309"/>
      <c r="C154" s="309"/>
      <c r="D154" s="309"/>
      <c r="E154" s="29" t="s">
        <v>22</v>
      </c>
      <c r="F154" s="15">
        <f>'12A (NS)Sem 2'!E53</f>
        <v>0</v>
      </c>
      <c r="G154" s="15">
        <f>'12A (NS)Sem 2'!F53</f>
        <v>0</v>
      </c>
      <c r="H154" s="15">
        <f>'12A (NS)Sem 2'!G53</f>
        <v>0</v>
      </c>
      <c r="I154" s="15">
        <f>'12A (NS)Sem 2'!H53</f>
        <v>0</v>
      </c>
      <c r="J154" s="15">
        <f>'12A (NS)Sem 2'!I53</f>
        <v>0</v>
      </c>
      <c r="K154" s="15">
        <f>'12A (NS)Sem 2'!J53</f>
        <v>0</v>
      </c>
      <c r="L154" s="15">
        <f>'12A (NS)Sem 2'!K53</f>
        <v>0</v>
      </c>
      <c r="M154" s="15">
        <f>'12A (NS)Sem 2'!L53</f>
        <v>0</v>
      </c>
      <c r="N154" s="15">
        <f>'12A (NS)Sem 2'!M53</f>
        <v>0</v>
      </c>
      <c r="O154" s="15">
        <f>'12A (NS)Sem 2'!N53</f>
        <v>0</v>
      </c>
      <c r="P154" s="15">
        <f>'12A (NS)Sem 2'!O53</f>
        <v>0</v>
      </c>
      <c r="Q154" s="203">
        <f>'12A (NS)Sem 2'!P53</f>
        <v>0</v>
      </c>
      <c r="R154" s="15">
        <f>'12A (NS)Sem 2'!Q53</f>
        <v>0</v>
      </c>
      <c r="S154" s="15">
        <f>'12A (NS)Sem 2'!R53</f>
        <v>0</v>
      </c>
      <c r="T154" s="38">
        <f>'12A (NS)Sem 2'!S53</f>
        <v>0</v>
      </c>
    </row>
    <row r="155" spans="1:20" ht="18" customHeight="1" thickBot="1" x14ac:dyDescent="0.3">
      <c r="A155" s="286"/>
      <c r="B155" s="309"/>
      <c r="C155" s="309"/>
      <c r="D155" s="309"/>
      <c r="E155" s="108" t="s">
        <v>16</v>
      </c>
      <c r="F155" s="15">
        <f>AVERAGE(F153:F154)</f>
        <v>0</v>
      </c>
      <c r="G155" s="15">
        <f t="shared" ref="G155:Q155" si="49">AVERAGE(G153:G154)</f>
        <v>0</v>
      </c>
      <c r="H155" s="15">
        <f t="shared" si="49"/>
        <v>0</v>
      </c>
      <c r="I155" s="15">
        <f t="shared" si="49"/>
        <v>0</v>
      </c>
      <c r="J155" s="15">
        <f t="shared" si="49"/>
        <v>0</v>
      </c>
      <c r="K155" s="15">
        <f t="shared" si="49"/>
        <v>0</v>
      </c>
      <c r="L155" s="15">
        <f t="shared" si="49"/>
        <v>0</v>
      </c>
      <c r="M155" s="15">
        <f t="shared" si="49"/>
        <v>0</v>
      </c>
      <c r="N155" s="15">
        <f t="shared" si="49"/>
        <v>0</v>
      </c>
      <c r="O155" s="15">
        <f t="shared" si="49"/>
        <v>0</v>
      </c>
      <c r="P155" s="15">
        <f t="shared" si="49"/>
        <v>0</v>
      </c>
      <c r="Q155" s="203">
        <f t="shared" si="49"/>
        <v>0</v>
      </c>
      <c r="R155" s="15">
        <f>'12A Sem avr (NS)'!$H$53</f>
        <v>0</v>
      </c>
      <c r="S155" s="15">
        <f>AVERAGE(S153:S154)</f>
        <v>0</v>
      </c>
      <c r="T155" s="38">
        <f>AVERAGE(T153:T154)</f>
        <v>0</v>
      </c>
    </row>
    <row r="156" spans="1:20" ht="18" customHeight="1" thickBot="1" x14ac:dyDescent="0.3">
      <c r="A156" s="353">
        <v>51</v>
      </c>
      <c r="B156" s="309"/>
      <c r="C156" s="309"/>
      <c r="D156" s="309"/>
      <c r="E156" s="29" t="s">
        <v>21</v>
      </c>
      <c r="F156" s="15">
        <f>'12A Sem 1'!E54</f>
        <v>0</v>
      </c>
      <c r="G156" s="15">
        <f>'12A Sem 1'!F54</f>
        <v>0</v>
      </c>
      <c r="H156" s="15">
        <f>'12A Sem 1'!G54</f>
        <v>0</v>
      </c>
      <c r="I156" s="15">
        <f>'12A Sem 1'!H54</f>
        <v>0</v>
      </c>
      <c r="J156" s="15">
        <f>'12A Sem 1'!I54</f>
        <v>0</v>
      </c>
      <c r="K156" s="15">
        <f>'12A Sem 1'!J54</f>
        <v>0</v>
      </c>
      <c r="L156" s="15">
        <f>'12A Sem 1'!K54</f>
        <v>0</v>
      </c>
      <c r="M156" s="15">
        <f>'12A Sem 1'!L54</f>
        <v>0</v>
      </c>
      <c r="N156" s="15">
        <f>'12A Sem 1'!M54</f>
        <v>0</v>
      </c>
      <c r="O156" s="15">
        <f>'12A Sem 1'!N54</f>
        <v>0</v>
      </c>
      <c r="P156" s="15">
        <f>'12A Sem 1'!O54</f>
        <v>0</v>
      </c>
      <c r="Q156" s="203">
        <f>'12A Sem 1'!P54</f>
        <v>0</v>
      </c>
      <c r="R156" s="15">
        <f>'12A Sem 1'!Q54</f>
        <v>0</v>
      </c>
      <c r="S156" s="15">
        <f>'12A Sem 1'!R54</f>
        <v>0</v>
      </c>
      <c r="T156" s="38">
        <f>'12A Sem 1'!S54</f>
        <v>0</v>
      </c>
    </row>
    <row r="157" spans="1:20" ht="18" customHeight="1" thickBot="1" x14ac:dyDescent="0.3">
      <c r="A157" s="353"/>
      <c r="B157" s="309"/>
      <c r="C157" s="309"/>
      <c r="D157" s="309"/>
      <c r="E157" s="29" t="s">
        <v>22</v>
      </c>
      <c r="F157" s="15">
        <f>'12A (NS)Sem 2'!E54</f>
        <v>0</v>
      </c>
      <c r="G157" s="15">
        <f>'12A (NS)Sem 2'!F54</f>
        <v>0</v>
      </c>
      <c r="H157" s="15">
        <f>'12A (NS)Sem 2'!G54</f>
        <v>0</v>
      </c>
      <c r="I157" s="15">
        <f>'12A (NS)Sem 2'!H54</f>
        <v>0</v>
      </c>
      <c r="J157" s="15">
        <f>'12A (NS)Sem 2'!I54</f>
        <v>0</v>
      </c>
      <c r="K157" s="15">
        <f>'12A (NS)Sem 2'!J54</f>
        <v>0</v>
      </c>
      <c r="L157" s="15">
        <f>'12A (NS)Sem 2'!K54</f>
        <v>0</v>
      </c>
      <c r="M157" s="15">
        <f>'12A (NS)Sem 2'!L54</f>
        <v>0</v>
      </c>
      <c r="N157" s="15">
        <f>'12A (NS)Sem 2'!M54</f>
        <v>0</v>
      </c>
      <c r="O157" s="15">
        <f>'12A (NS)Sem 2'!N54</f>
        <v>0</v>
      </c>
      <c r="P157" s="15">
        <f>'12A (NS)Sem 2'!O54</f>
        <v>0</v>
      </c>
      <c r="Q157" s="203">
        <f>'12A (NS)Sem 2'!P54</f>
        <v>0</v>
      </c>
      <c r="R157" s="15">
        <f>'12A (NS)Sem 2'!Q54</f>
        <v>0</v>
      </c>
      <c r="S157" s="15">
        <f>'12A (NS)Sem 2'!R54</f>
        <v>0</v>
      </c>
      <c r="T157" s="38">
        <f>'12A (NS)Sem 2'!S54</f>
        <v>0</v>
      </c>
    </row>
    <row r="158" spans="1:20" ht="18" customHeight="1" thickBot="1" x14ac:dyDescent="0.3">
      <c r="A158" s="353"/>
      <c r="B158" s="309"/>
      <c r="C158" s="309"/>
      <c r="D158" s="309"/>
      <c r="E158" s="108" t="s">
        <v>16</v>
      </c>
      <c r="F158" s="15">
        <f>AVERAGE(F156:F157)</f>
        <v>0</v>
      </c>
      <c r="G158" s="15">
        <f t="shared" ref="G158:Q158" si="50">AVERAGE(G156:G157)</f>
        <v>0</v>
      </c>
      <c r="H158" s="15">
        <f t="shared" si="50"/>
        <v>0</v>
      </c>
      <c r="I158" s="15">
        <f t="shared" si="50"/>
        <v>0</v>
      </c>
      <c r="J158" s="15">
        <f t="shared" si="50"/>
        <v>0</v>
      </c>
      <c r="K158" s="15">
        <f t="shared" si="50"/>
        <v>0</v>
      </c>
      <c r="L158" s="15">
        <f t="shared" si="50"/>
        <v>0</v>
      </c>
      <c r="M158" s="15">
        <f t="shared" si="50"/>
        <v>0</v>
      </c>
      <c r="N158" s="15">
        <f t="shared" si="50"/>
        <v>0</v>
      </c>
      <c r="O158" s="15">
        <f t="shared" si="50"/>
        <v>0</v>
      </c>
      <c r="P158" s="15">
        <f t="shared" si="50"/>
        <v>0</v>
      </c>
      <c r="Q158" s="203">
        <f t="shared" si="50"/>
        <v>0</v>
      </c>
      <c r="R158" s="15">
        <f>'12A Sem avr (NS)'!$H$54</f>
        <v>0</v>
      </c>
      <c r="S158" s="15">
        <f>AVERAGE(S156:S157)</f>
        <v>0</v>
      </c>
      <c r="T158" s="38">
        <f>AVERAGE(T156:T157)</f>
        <v>0</v>
      </c>
    </row>
    <row r="159" spans="1:20" ht="18" customHeight="1" thickBot="1" x14ac:dyDescent="0.3">
      <c r="A159" s="286">
        <v>52</v>
      </c>
      <c r="B159" s="309"/>
      <c r="C159" s="309"/>
      <c r="D159" s="309"/>
      <c r="E159" s="29" t="s">
        <v>21</v>
      </c>
      <c r="F159" s="15">
        <f>'12A Sem 1'!E55</f>
        <v>0</v>
      </c>
      <c r="G159" s="15">
        <f>'12A Sem 1'!F55</f>
        <v>0</v>
      </c>
      <c r="H159" s="15">
        <f>'12A Sem 1'!G55</f>
        <v>0</v>
      </c>
      <c r="I159" s="15">
        <f>'12A Sem 1'!H55</f>
        <v>0</v>
      </c>
      <c r="J159" s="15">
        <f>'12A Sem 1'!I55</f>
        <v>0</v>
      </c>
      <c r="K159" s="15">
        <f>'12A Sem 1'!J55</f>
        <v>0</v>
      </c>
      <c r="L159" s="15">
        <f>'12A Sem 1'!K55</f>
        <v>0</v>
      </c>
      <c r="M159" s="15">
        <f>'12A Sem 1'!L55</f>
        <v>0</v>
      </c>
      <c r="N159" s="15">
        <f>'12A Sem 1'!M55</f>
        <v>0</v>
      </c>
      <c r="O159" s="15">
        <f>'12A Sem 1'!N55</f>
        <v>0</v>
      </c>
      <c r="P159" s="15">
        <f>'12A Sem 1'!O55</f>
        <v>0</v>
      </c>
      <c r="Q159" s="203">
        <f>'12A Sem 1'!P55</f>
        <v>0</v>
      </c>
      <c r="R159" s="15">
        <f>'12A Sem 1'!Q55</f>
        <v>0</v>
      </c>
      <c r="S159" s="15">
        <f>'12A Sem 1'!R55</f>
        <v>0</v>
      </c>
      <c r="T159" s="38">
        <f>'12A Sem 1'!S55</f>
        <v>0</v>
      </c>
    </row>
    <row r="160" spans="1:20" ht="18" customHeight="1" thickBot="1" x14ac:dyDescent="0.3">
      <c r="A160" s="286"/>
      <c r="B160" s="309"/>
      <c r="C160" s="309"/>
      <c r="D160" s="309"/>
      <c r="E160" s="29" t="s">
        <v>22</v>
      </c>
      <c r="F160" s="15">
        <f>'12A (NS)Sem 2'!E55</f>
        <v>0</v>
      </c>
      <c r="G160" s="15">
        <f>'12A (NS)Sem 2'!F55</f>
        <v>0</v>
      </c>
      <c r="H160" s="15">
        <f>'12A (NS)Sem 2'!G55</f>
        <v>0</v>
      </c>
      <c r="I160" s="15">
        <f>'12A (NS)Sem 2'!H55</f>
        <v>0</v>
      </c>
      <c r="J160" s="15">
        <f>'12A (NS)Sem 2'!I55</f>
        <v>0</v>
      </c>
      <c r="K160" s="15">
        <f>'12A (NS)Sem 2'!J55</f>
        <v>0</v>
      </c>
      <c r="L160" s="15">
        <f>'12A (NS)Sem 2'!K55</f>
        <v>0</v>
      </c>
      <c r="M160" s="15">
        <f>'12A (NS)Sem 2'!L55</f>
        <v>0</v>
      </c>
      <c r="N160" s="15">
        <f>'12A (NS)Sem 2'!M55</f>
        <v>0</v>
      </c>
      <c r="O160" s="15">
        <f>'12A (NS)Sem 2'!N55</f>
        <v>0</v>
      </c>
      <c r="P160" s="15">
        <f>'12A (NS)Sem 2'!O55</f>
        <v>0</v>
      </c>
      <c r="Q160" s="203">
        <f>'12A (NS)Sem 2'!P55</f>
        <v>0</v>
      </c>
      <c r="R160" s="15">
        <f>'12A (NS)Sem 2'!Q55</f>
        <v>0</v>
      </c>
      <c r="S160" s="15">
        <f>'12A (NS)Sem 2'!R55</f>
        <v>0</v>
      </c>
      <c r="T160" s="38">
        <f>'12A (NS)Sem 2'!S55</f>
        <v>0</v>
      </c>
    </row>
    <row r="161" spans="1:20" ht="18" customHeight="1" thickBot="1" x14ac:dyDescent="0.3">
      <c r="A161" s="286"/>
      <c r="B161" s="309"/>
      <c r="C161" s="309"/>
      <c r="D161" s="309"/>
      <c r="E161" s="108" t="s">
        <v>16</v>
      </c>
      <c r="F161" s="15">
        <f>AVERAGE(F159:F160)</f>
        <v>0</v>
      </c>
      <c r="G161" s="15">
        <f t="shared" ref="G161:Q161" si="51">AVERAGE(G159:G160)</f>
        <v>0</v>
      </c>
      <c r="H161" s="15">
        <f t="shared" si="51"/>
        <v>0</v>
      </c>
      <c r="I161" s="15">
        <f t="shared" si="51"/>
        <v>0</v>
      </c>
      <c r="J161" s="15">
        <f t="shared" si="51"/>
        <v>0</v>
      </c>
      <c r="K161" s="15">
        <f t="shared" si="51"/>
        <v>0</v>
      </c>
      <c r="L161" s="15">
        <f t="shared" si="51"/>
        <v>0</v>
      </c>
      <c r="M161" s="15">
        <f t="shared" si="51"/>
        <v>0</v>
      </c>
      <c r="N161" s="15">
        <f t="shared" si="51"/>
        <v>0</v>
      </c>
      <c r="O161" s="15">
        <f t="shared" si="51"/>
        <v>0</v>
      </c>
      <c r="P161" s="15">
        <f t="shared" si="51"/>
        <v>0</v>
      </c>
      <c r="Q161" s="203">
        <f t="shared" si="51"/>
        <v>0</v>
      </c>
      <c r="R161" s="15"/>
      <c r="S161" s="15">
        <f>AVERAGE(S159:S160)</f>
        <v>0</v>
      </c>
      <c r="T161" s="38">
        <f>AVERAGE(T159:T160)</f>
        <v>0</v>
      </c>
    </row>
    <row r="162" spans="1:20" ht="18" customHeight="1" thickBot="1" x14ac:dyDescent="0.3">
      <c r="A162" s="353">
        <v>53</v>
      </c>
      <c r="B162" s="309"/>
      <c r="C162" s="309"/>
      <c r="D162" s="309"/>
      <c r="E162" s="29" t="s">
        <v>21</v>
      </c>
      <c r="F162" s="15">
        <f>'12A Sem 1'!E56</f>
        <v>0</v>
      </c>
      <c r="G162" s="15">
        <f>'12A Sem 1'!F56</f>
        <v>0</v>
      </c>
      <c r="H162" s="15">
        <f>'12A Sem 1'!G56</f>
        <v>0</v>
      </c>
      <c r="I162" s="15">
        <f>'12A Sem 1'!H56</f>
        <v>0</v>
      </c>
      <c r="J162" s="15">
        <f>'12A Sem 1'!I56</f>
        <v>0</v>
      </c>
      <c r="K162" s="15">
        <f>'12A Sem 1'!J56</f>
        <v>0</v>
      </c>
      <c r="L162" s="15">
        <f>'12A Sem 1'!K56</f>
        <v>0</v>
      </c>
      <c r="M162" s="15">
        <f>'12A Sem 1'!L56</f>
        <v>0</v>
      </c>
      <c r="N162" s="15">
        <f>'12A Sem 1'!M56</f>
        <v>0</v>
      </c>
      <c r="O162" s="15">
        <f>'12A Sem 1'!N56</f>
        <v>0</v>
      </c>
      <c r="P162" s="15">
        <f>'12A Sem 1'!O56</f>
        <v>0</v>
      </c>
      <c r="Q162" s="203">
        <f>'12A Sem 1'!P56</f>
        <v>0</v>
      </c>
      <c r="R162" s="15">
        <f>'12A Sem 1'!Q56</f>
        <v>0</v>
      </c>
      <c r="S162" s="15">
        <f>'12A Sem 1'!R56</f>
        <v>0</v>
      </c>
      <c r="T162" s="38">
        <f>'12A Sem 1'!S56</f>
        <v>0</v>
      </c>
    </row>
    <row r="163" spans="1:20" ht="18" customHeight="1" thickBot="1" x14ac:dyDescent="0.3">
      <c r="A163" s="353"/>
      <c r="B163" s="309"/>
      <c r="C163" s="309"/>
      <c r="D163" s="309"/>
      <c r="E163" s="29" t="s">
        <v>22</v>
      </c>
      <c r="F163" s="15">
        <f>'12A (NS)Sem 2'!E56</f>
        <v>0</v>
      </c>
      <c r="G163" s="15">
        <f>'12A (NS)Sem 2'!F56</f>
        <v>0</v>
      </c>
      <c r="H163" s="15">
        <f>'12A (NS)Sem 2'!G56</f>
        <v>0</v>
      </c>
      <c r="I163" s="15">
        <f>'12A (NS)Sem 2'!H56</f>
        <v>0</v>
      </c>
      <c r="J163" s="15">
        <f>'12A (NS)Sem 2'!I56</f>
        <v>0</v>
      </c>
      <c r="K163" s="15">
        <f>'12A (NS)Sem 2'!J56</f>
        <v>0</v>
      </c>
      <c r="L163" s="15">
        <f>'12A (NS)Sem 2'!K56</f>
        <v>0</v>
      </c>
      <c r="M163" s="15">
        <f>'12A (NS)Sem 2'!L56</f>
        <v>0</v>
      </c>
      <c r="N163" s="15">
        <f>'12A (NS)Sem 2'!M56</f>
        <v>0</v>
      </c>
      <c r="O163" s="15">
        <f>'12A (NS)Sem 2'!N56</f>
        <v>0</v>
      </c>
      <c r="P163" s="15">
        <f>'12A (NS)Sem 2'!O56</f>
        <v>0</v>
      </c>
      <c r="Q163" s="203">
        <f>'12A (NS)Sem 2'!P56</f>
        <v>0</v>
      </c>
      <c r="R163" s="15">
        <f>'12A (NS)Sem 2'!Q56</f>
        <v>0</v>
      </c>
      <c r="S163" s="15">
        <f>'12A (NS)Sem 2'!R56</f>
        <v>0</v>
      </c>
      <c r="T163" s="38">
        <f>'12A (NS)Sem 2'!S56</f>
        <v>0</v>
      </c>
    </row>
    <row r="164" spans="1:20" ht="18" customHeight="1" thickBot="1" x14ac:dyDescent="0.3">
      <c r="A164" s="353"/>
      <c r="B164" s="309"/>
      <c r="C164" s="309"/>
      <c r="D164" s="309"/>
      <c r="E164" s="108" t="s">
        <v>16</v>
      </c>
      <c r="F164" s="15">
        <f>AVERAGE(F162:F163)</f>
        <v>0</v>
      </c>
      <c r="G164" s="15">
        <f t="shared" ref="G164:Q164" si="52">AVERAGE(G162:G163)</f>
        <v>0</v>
      </c>
      <c r="H164" s="15">
        <f t="shared" si="52"/>
        <v>0</v>
      </c>
      <c r="I164" s="15">
        <f t="shared" si="52"/>
        <v>0</v>
      </c>
      <c r="J164" s="15">
        <f t="shared" si="52"/>
        <v>0</v>
      </c>
      <c r="K164" s="15">
        <f t="shared" si="52"/>
        <v>0</v>
      </c>
      <c r="L164" s="15">
        <f t="shared" si="52"/>
        <v>0</v>
      </c>
      <c r="M164" s="15">
        <f t="shared" si="52"/>
        <v>0</v>
      </c>
      <c r="N164" s="15">
        <f t="shared" si="52"/>
        <v>0</v>
      </c>
      <c r="O164" s="15">
        <f t="shared" si="52"/>
        <v>0</v>
      </c>
      <c r="P164" s="15">
        <f t="shared" si="52"/>
        <v>0</v>
      </c>
      <c r="Q164" s="203">
        <f t="shared" si="52"/>
        <v>0</v>
      </c>
      <c r="R164" s="15">
        <f>'12A Sem avr (NS)'!$H$55</f>
        <v>0</v>
      </c>
      <c r="S164" s="15">
        <f>AVERAGE(S162:S163)</f>
        <v>0</v>
      </c>
      <c r="T164" s="38">
        <f>AVERAGE(T162:T163)</f>
        <v>0</v>
      </c>
    </row>
    <row r="165" spans="1:20" ht="18" customHeight="1" thickBot="1" x14ac:dyDescent="0.3">
      <c r="A165" s="286">
        <v>54</v>
      </c>
      <c r="B165" s="309"/>
      <c r="C165" s="309"/>
      <c r="D165" s="309"/>
      <c r="E165" s="29" t="s">
        <v>21</v>
      </c>
      <c r="F165" s="15">
        <f>'12A Sem 1'!E57</f>
        <v>0</v>
      </c>
      <c r="G165" s="15">
        <f>'12A Sem 1'!F57</f>
        <v>0</v>
      </c>
      <c r="H165" s="15">
        <f>'12A Sem 1'!G57</f>
        <v>0</v>
      </c>
      <c r="I165" s="15">
        <f>'12A Sem 1'!H57</f>
        <v>0</v>
      </c>
      <c r="J165" s="15">
        <f>'12A Sem 1'!I57</f>
        <v>0</v>
      </c>
      <c r="K165" s="15">
        <f>'12A Sem 1'!J57</f>
        <v>0</v>
      </c>
      <c r="L165" s="15">
        <f>'12A Sem 1'!K57</f>
        <v>0</v>
      </c>
      <c r="M165" s="15">
        <f>'12A Sem 1'!L57</f>
        <v>0</v>
      </c>
      <c r="N165" s="15">
        <f>'12A Sem 1'!M57</f>
        <v>0</v>
      </c>
      <c r="O165" s="15">
        <f>'12A Sem 1'!N57</f>
        <v>0</v>
      </c>
      <c r="P165" s="15">
        <f>'12A Sem 1'!O57</f>
        <v>0</v>
      </c>
      <c r="Q165" s="203">
        <f>'12A Sem 1'!P57</f>
        <v>0</v>
      </c>
      <c r="R165" s="15">
        <f>'12A Sem 1'!Q57</f>
        <v>0</v>
      </c>
      <c r="S165" s="15">
        <f>'12A Sem 1'!R57</f>
        <v>0</v>
      </c>
      <c r="T165" s="38">
        <f>'12A Sem 1'!S57</f>
        <v>0</v>
      </c>
    </row>
    <row r="166" spans="1:20" ht="18" customHeight="1" thickBot="1" x14ac:dyDescent="0.3">
      <c r="A166" s="286"/>
      <c r="B166" s="309"/>
      <c r="C166" s="309"/>
      <c r="D166" s="309"/>
      <c r="E166" s="29" t="s">
        <v>22</v>
      </c>
      <c r="F166" s="15">
        <f>'12A (NS)Sem 2'!E57</f>
        <v>0</v>
      </c>
      <c r="G166" s="15">
        <f>'12A (NS)Sem 2'!F57</f>
        <v>0</v>
      </c>
      <c r="H166" s="15">
        <f>'12A (NS)Sem 2'!G57</f>
        <v>0</v>
      </c>
      <c r="I166" s="15">
        <f>'12A (NS)Sem 2'!H57</f>
        <v>0</v>
      </c>
      <c r="J166" s="15">
        <f>'12A (NS)Sem 2'!I57</f>
        <v>0</v>
      </c>
      <c r="K166" s="15">
        <f>'12A (NS)Sem 2'!J57</f>
        <v>0</v>
      </c>
      <c r="L166" s="15">
        <f>'12A (NS)Sem 2'!K57</f>
        <v>0</v>
      </c>
      <c r="M166" s="15">
        <f>'12A (NS)Sem 2'!L57</f>
        <v>0</v>
      </c>
      <c r="N166" s="15">
        <f>'12A (NS)Sem 2'!M57</f>
        <v>0</v>
      </c>
      <c r="O166" s="15">
        <f>'12A (NS)Sem 2'!N57</f>
        <v>0</v>
      </c>
      <c r="P166" s="15">
        <f>'12A (NS)Sem 2'!O57</f>
        <v>0</v>
      </c>
      <c r="Q166" s="203">
        <f>'12A (NS)Sem 2'!P57</f>
        <v>0</v>
      </c>
      <c r="R166" s="15">
        <f>'12A (NS)Sem 2'!Q57</f>
        <v>0</v>
      </c>
      <c r="S166" s="15">
        <f>'12A (NS)Sem 2'!R57</f>
        <v>0</v>
      </c>
      <c r="T166" s="38">
        <f>'12A (NS)Sem 2'!S57</f>
        <v>0</v>
      </c>
    </row>
    <row r="167" spans="1:20" ht="18" customHeight="1" thickBot="1" x14ac:dyDescent="0.3">
      <c r="A167" s="286"/>
      <c r="B167" s="309"/>
      <c r="C167" s="309"/>
      <c r="D167" s="309"/>
      <c r="E167" s="108" t="s">
        <v>16</v>
      </c>
      <c r="F167" s="15">
        <f>AVERAGE(F165:F166)</f>
        <v>0</v>
      </c>
      <c r="G167" s="15">
        <f t="shared" ref="G167:Q167" si="53">AVERAGE(G165:G166)</f>
        <v>0</v>
      </c>
      <c r="H167" s="15">
        <f t="shared" si="53"/>
        <v>0</v>
      </c>
      <c r="I167" s="15">
        <f t="shared" si="53"/>
        <v>0</v>
      </c>
      <c r="J167" s="15">
        <f t="shared" si="53"/>
        <v>0</v>
      </c>
      <c r="K167" s="15">
        <f t="shared" si="53"/>
        <v>0</v>
      </c>
      <c r="L167" s="15">
        <f t="shared" si="53"/>
        <v>0</v>
      </c>
      <c r="M167" s="15">
        <f t="shared" si="53"/>
        <v>0</v>
      </c>
      <c r="N167" s="15">
        <f t="shared" si="53"/>
        <v>0</v>
      </c>
      <c r="O167" s="15">
        <f t="shared" si="53"/>
        <v>0</v>
      </c>
      <c r="P167" s="15">
        <f t="shared" si="53"/>
        <v>0</v>
      </c>
      <c r="Q167" s="203">
        <f t="shared" si="53"/>
        <v>0</v>
      </c>
      <c r="R167" s="15">
        <f>'12A Sem avr (NS)'!$H$57</f>
        <v>0</v>
      </c>
      <c r="S167" s="15">
        <f>AVERAGE(S165:S166)</f>
        <v>0</v>
      </c>
      <c r="T167" s="38">
        <f>AVERAGE(T165:T166)</f>
        <v>0</v>
      </c>
    </row>
    <row r="168" spans="1:20" ht="18" customHeight="1" thickBot="1" x14ac:dyDescent="0.3">
      <c r="A168" s="353">
        <v>55</v>
      </c>
      <c r="B168" s="309"/>
      <c r="C168" s="309"/>
      <c r="D168" s="309"/>
      <c r="E168" s="29" t="s">
        <v>21</v>
      </c>
      <c r="F168" s="15">
        <f>'12A Sem 1'!E58</f>
        <v>0</v>
      </c>
      <c r="G168" s="15">
        <f>'12A Sem 1'!F58</f>
        <v>0</v>
      </c>
      <c r="H168" s="15">
        <f>'12A Sem 1'!G58</f>
        <v>0</v>
      </c>
      <c r="I168" s="15">
        <f>'12A Sem 1'!H58</f>
        <v>0</v>
      </c>
      <c r="J168" s="15">
        <f>'12A Sem 1'!I58</f>
        <v>0</v>
      </c>
      <c r="K168" s="15">
        <f>'12A Sem 1'!J58</f>
        <v>0</v>
      </c>
      <c r="L168" s="15">
        <f>'12A Sem 1'!K58</f>
        <v>0</v>
      </c>
      <c r="M168" s="15">
        <f>'12A Sem 1'!L58</f>
        <v>0</v>
      </c>
      <c r="N168" s="15">
        <f>'12A Sem 1'!M58</f>
        <v>0</v>
      </c>
      <c r="O168" s="15">
        <f>'12A Sem 1'!N58</f>
        <v>0</v>
      </c>
      <c r="P168" s="15">
        <f>'12A Sem 1'!O58</f>
        <v>0</v>
      </c>
      <c r="Q168" s="203">
        <f>'12A Sem 1'!P58</f>
        <v>0</v>
      </c>
      <c r="R168" s="15">
        <f>'12A Sem 1'!Q58</f>
        <v>0</v>
      </c>
      <c r="S168" s="15">
        <f>'12A Sem 1'!R58</f>
        <v>0</v>
      </c>
      <c r="T168" s="38">
        <f>'12A Sem 1'!S58</f>
        <v>0</v>
      </c>
    </row>
    <row r="169" spans="1:20" ht="18" customHeight="1" thickBot="1" x14ac:dyDescent="0.3">
      <c r="A169" s="353"/>
      <c r="B169" s="309"/>
      <c r="C169" s="309"/>
      <c r="D169" s="309"/>
      <c r="E169" s="29" t="s">
        <v>22</v>
      </c>
      <c r="F169" s="15">
        <f>'12A (NS)Sem 2'!E58</f>
        <v>0</v>
      </c>
      <c r="G169" s="15">
        <f>'12A (NS)Sem 2'!F58</f>
        <v>0</v>
      </c>
      <c r="H169" s="15">
        <f>'12A (NS)Sem 2'!G58</f>
        <v>0</v>
      </c>
      <c r="I169" s="15">
        <f>'12A (NS)Sem 2'!H58</f>
        <v>0</v>
      </c>
      <c r="J169" s="15">
        <f>'12A (NS)Sem 2'!I58</f>
        <v>0</v>
      </c>
      <c r="K169" s="15">
        <f>'12A (NS)Sem 2'!J58</f>
        <v>0</v>
      </c>
      <c r="L169" s="15">
        <f>'12A (NS)Sem 2'!K58</f>
        <v>0</v>
      </c>
      <c r="M169" s="15">
        <f>'12A (NS)Sem 2'!L58</f>
        <v>0</v>
      </c>
      <c r="N169" s="15">
        <f>'12A (NS)Sem 2'!M58</f>
        <v>0</v>
      </c>
      <c r="O169" s="15">
        <f>'12A (NS)Sem 2'!N58</f>
        <v>0</v>
      </c>
      <c r="P169" s="15">
        <f>'12A (NS)Sem 2'!O58</f>
        <v>0</v>
      </c>
      <c r="Q169" s="203">
        <f>'12A (NS)Sem 2'!P58</f>
        <v>0</v>
      </c>
      <c r="R169" s="15">
        <f>'12A (NS)Sem 2'!Q58</f>
        <v>0</v>
      </c>
      <c r="S169" s="15">
        <f>'12A (NS)Sem 2'!R58</f>
        <v>0</v>
      </c>
      <c r="T169" s="38">
        <f>'12A (NS)Sem 2'!S58</f>
        <v>0</v>
      </c>
    </row>
    <row r="170" spans="1:20" ht="18" customHeight="1" thickBot="1" x14ac:dyDescent="0.3">
      <c r="A170" s="353"/>
      <c r="B170" s="309"/>
      <c r="C170" s="309"/>
      <c r="D170" s="309"/>
      <c r="E170" s="29" t="s">
        <v>16</v>
      </c>
      <c r="F170" s="15">
        <f>AVERAGE(F168:F169)</f>
        <v>0</v>
      </c>
      <c r="G170" s="15">
        <f t="shared" ref="G170:Q170" si="54">AVERAGE(G168:G169)</f>
        <v>0</v>
      </c>
      <c r="H170" s="15">
        <f t="shared" si="54"/>
        <v>0</v>
      </c>
      <c r="I170" s="15">
        <f t="shared" si="54"/>
        <v>0</v>
      </c>
      <c r="J170" s="15">
        <f t="shared" si="54"/>
        <v>0</v>
      </c>
      <c r="K170" s="15">
        <f t="shared" si="54"/>
        <v>0</v>
      </c>
      <c r="L170" s="15">
        <f t="shared" si="54"/>
        <v>0</v>
      </c>
      <c r="M170" s="15">
        <f t="shared" si="54"/>
        <v>0</v>
      </c>
      <c r="N170" s="15">
        <f t="shared" si="54"/>
        <v>0</v>
      </c>
      <c r="O170" s="15">
        <f t="shared" si="54"/>
        <v>0</v>
      </c>
      <c r="P170" s="15">
        <f t="shared" si="54"/>
        <v>0</v>
      </c>
      <c r="Q170" s="203">
        <f t="shared" si="54"/>
        <v>0</v>
      </c>
      <c r="R170" s="15">
        <f>'12A Sem avr (NS)'!$H$58</f>
        <v>0</v>
      </c>
      <c r="S170" s="15">
        <f>AVERAGE(S168:S169)</f>
        <v>0</v>
      </c>
      <c r="T170" s="38">
        <f>AVERAGE(T168:T169)</f>
        <v>0</v>
      </c>
    </row>
    <row r="171" spans="1:20" ht="18" customHeight="1" x14ac:dyDescent="0.25">
      <c r="B171" s="6"/>
      <c r="C171" s="6"/>
      <c r="D171" s="6"/>
      <c r="E171" s="6"/>
    </row>
    <row r="172" spans="1:20" ht="18" customHeight="1" x14ac:dyDescent="0.25">
      <c r="B172" s="6"/>
      <c r="C172" s="6"/>
      <c r="D172" s="6"/>
      <c r="E172" s="6"/>
    </row>
    <row r="173" spans="1:20" ht="18" customHeight="1" x14ac:dyDescent="0.25">
      <c r="B173" s="6"/>
      <c r="C173" s="6"/>
      <c r="D173" s="6"/>
      <c r="E173" s="6"/>
    </row>
    <row r="174" spans="1:20" ht="18" customHeight="1" x14ac:dyDescent="0.25">
      <c r="B174" s="6"/>
      <c r="C174"/>
      <c r="D174"/>
    </row>
    <row r="175" spans="1:20" ht="18" customHeight="1" x14ac:dyDescent="0.25">
      <c r="C175"/>
      <c r="D175"/>
    </row>
    <row r="176" spans="1:20" ht="19.5" customHeight="1" x14ac:dyDescent="0.25">
      <c r="C176"/>
      <c r="D176"/>
    </row>
    <row r="177" spans="3:4" ht="18.75" customHeight="1" x14ac:dyDescent="0.25">
      <c r="C177"/>
      <c r="D177"/>
    </row>
    <row r="178" spans="3:4" ht="18" customHeight="1" x14ac:dyDescent="0.25">
      <c r="C178"/>
      <c r="D178"/>
    </row>
    <row r="179" spans="3:4" ht="18" customHeight="1" x14ac:dyDescent="0.25">
      <c r="C179"/>
      <c r="D179"/>
    </row>
    <row r="180" spans="3:4" ht="18" customHeight="1" x14ac:dyDescent="0.25">
      <c r="C180"/>
      <c r="D180"/>
    </row>
    <row r="181" spans="3:4" ht="18" customHeight="1" x14ac:dyDescent="0.25">
      <c r="C181"/>
      <c r="D181"/>
    </row>
    <row r="182" spans="3:4" ht="18" customHeight="1" x14ac:dyDescent="0.25">
      <c r="C182"/>
      <c r="D182"/>
    </row>
    <row r="183" spans="3:4" ht="18" customHeight="1" x14ac:dyDescent="0.25">
      <c r="C183"/>
      <c r="D183"/>
    </row>
    <row r="184" spans="3:4" ht="18" customHeight="1" x14ac:dyDescent="0.25">
      <c r="C184"/>
      <c r="D184"/>
    </row>
    <row r="185" spans="3:4" ht="18" customHeight="1" x14ac:dyDescent="0.25">
      <c r="C185"/>
      <c r="D185"/>
    </row>
    <row r="186" spans="3:4" ht="18" customHeight="1" x14ac:dyDescent="0.25">
      <c r="C186"/>
      <c r="D186"/>
    </row>
    <row r="187" spans="3:4" ht="18" customHeight="1" x14ac:dyDescent="0.25">
      <c r="C187"/>
      <c r="D187"/>
    </row>
    <row r="188" spans="3:4" ht="18" customHeight="1" x14ac:dyDescent="0.25">
      <c r="C188"/>
      <c r="D188"/>
    </row>
    <row r="189" spans="3:4" ht="18" customHeight="1" x14ac:dyDescent="0.25">
      <c r="C189"/>
      <c r="D189"/>
    </row>
    <row r="190" spans="3:4" ht="18" customHeight="1" x14ac:dyDescent="0.25">
      <c r="C190"/>
      <c r="D190"/>
    </row>
    <row r="191" spans="3:4" ht="18" customHeight="1" x14ac:dyDescent="0.25">
      <c r="C191"/>
      <c r="D191"/>
    </row>
    <row r="192" spans="3:4" ht="18" customHeight="1" x14ac:dyDescent="0.25">
      <c r="C192"/>
      <c r="D192"/>
    </row>
    <row r="193" spans="3:4" ht="18" customHeight="1" x14ac:dyDescent="0.25">
      <c r="C193"/>
      <c r="D193"/>
    </row>
    <row r="194" spans="3:4" ht="18" customHeight="1" x14ac:dyDescent="0.25">
      <c r="C194"/>
      <c r="D194"/>
    </row>
    <row r="195" spans="3:4" ht="18" customHeight="1" x14ac:dyDescent="0.25">
      <c r="C195"/>
      <c r="D195"/>
    </row>
    <row r="196" spans="3:4" ht="18" customHeight="1" x14ac:dyDescent="0.25">
      <c r="C196"/>
      <c r="D196"/>
    </row>
    <row r="197" spans="3:4" ht="18" customHeight="1" x14ac:dyDescent="0.25">
      <c r="C197"/>
      <c r="D197"/>
    </row>
    <row r="198" spans="3:4" ht="18" customHeight="1" x14ac:dyDescent="0.25">
      <c r="C198"/>
      <c r="D198"/>
    </row>
    <row r="199" spans="3:4" ht="18" customHeight="1" x14ac:dyDescent="0.25">
      <c r="C199"/>
      <c r="D199"/>
    </row>
    <row r="200" spans="3:4" ht="18" customHeight="1" x14ac:dyDescent="0.25">
      <c r="C200"/>
      <c r="D200"/>
    </row>
    <row r="201" spans="3:4" ht="18" customHeight="1" x14ac:dyDescent="0.25"/>
    <row r="202" spans="3:4" ht="18" customHeight="1" x14ac:dyDescent="0.25"/>
    <row r="203" spans="3:4" ht="18" customHeight="1" x14ac:dyDescent="0.25"/>
    <row r="204" spans="3:4" ht="18.75" customHeight="1" x14ac:dyDescent="0.25"/>
    <row r="205" spans="3:4" ht="18.75" customHeight="1" x14ac:dyDescent="0.25"/>
    <row r="206" spans="3:4" ht="18.75" customHeight="1" x14ac:dyDescent="0.25"/>
    <row r="207" spans="3:4" ht="18.75" customHeight="1" x14ac:dyDescent="0.25"/>
    <row r="208" spans="3:4" ht="18.75" customHeight="1" x14ac:dyDescent="0.25"/>
    <row r="209" ht="18.75" customHeight="1" x14ac:dyDescent="0.25"/>
    <row r="210" ht="18.75" customHeight="1" x14ac:dyDescent="0.25"/>
    <row r="211" ht="18.75" customHeight="1" x14ac:dyDescent="0.25"/>
    <row r="212" ht="18.75" customHeight="1" x14ac:dyDescent="0.25"/>
    <row r="213" ht="18.75" customHeight="1" x14ac:dyDescent="0.25"/>
    <row r="214" ht="18.75" customHeight="1" x14ac:dyDescent="0.25"/>
    <row r="215" ht="18.75" customHeight="1" x14ac:dyDescent="0.25"/>
    <row r="216" ht="18.75" customHeight="1" x14ac:dyDescent="0.25"/>
    <row r="217" ht="18.75" customHeight="1" x14ac:dyDescent="0.25"/>
    <row r="218" ht="18.75" customHeight="1" x14ac:dyDescent="0.25"/>
    <row r="219" ht="18.75" customHeight="1" x14ac:dyDescent="0.25"/>
    <row r="220" ht="18.75" customHeight="1" x14ac:dyDescent="0.25"/>
    <row r="221" ht="18.75" customHeight="1" x14ac:dyDescent="0.25"/>
    <row r="222" ht="18.75" customHeight="1" x14ac:dyDescent="0.25"/>
    <row r="223" ht="18.75" customHeight="1" x14ac:dyDescent="0.25"/>
    <row r="224" ht="18.75" customHeight="1" x14ac:dyDescent="0.25"/>
    <row r="225" ht="18.75" customHeight="1" x14ac:dyDescent="0.25"/>
    <row r="229" ht="19.5" customHeight="1" x14ac:dyDescent="0.25"/>
    <row r="232" ht="16.5" customHeight="1" x14ac:dyDescent="0.25"/>
    <row r="241" ht="17.25" customHeight="1" x14ac:dyDescent="0.25"/>
    <row r="244" ht="19.5" customHeight="1" x14ac:dyDescent="0.25"/>
  </sheetData>
  <mergeCells count="222">
    <mergeCell ref="A168:A170"/>
    <mergeCell ref="B168:B170"/>
    <mergeCell ref="C168:C170"/>
    <mergeCell ref="D168:D170"/>
    <mergeCell ref="D144:D146"/>
    <mergeCell ref="A159:A161"/>
    <mergeCell ref="B159:B161"/>
    <mergeCell ref="C159:C161"/>
    <mergeCell ref="D159:D161"/>
    <mergeCell ref="A162:A164"/>
    <mergeCell ref="B162:B164"/>
    <mergeCell ref="C162:C164"/>
    <mergeCell ref="D162:D164"/>
    <mergeCell ref="A165:A167"/>
    <mergeCell ref="B165:B167"/>
    <mergeCell ref="C165:C167"/>
    <mergeCell ref="D165:D167"/>
    <mergeCell ref="A150:A152"/>
    <mergeCell ref="B150:B152"/>
    <mergeCell ref="C150:C152"/>
    <mergeCell ref="D150:D152"/>
    <mergeCell ref="A153:A155"/>
    <mergeCell ref="B153:B155"/>
    <mergeCell ref="C153:C155"/>
    <mergeCell ref="D153:D155"/>
    <mergeCell ref="A156:A158"/>
    <mergeCell ref="B156:B158"/>
    <mergeCell ref="C156:C158"/>
    <mergeCell ref="D156:D158"/>
    <mergeCell ref="A141:A143"/>
    <mergeCell ref="B141:B143"/>
    <mergeCell ref="C141:C143"/>
    <mergeCell ref="D141:D143"/>
    <mergeCell ref="A144:A146"/>
    <mergeCell ref="B144:B146"/>
    <mergeCell ref="C144:C146"/>
    <mergeCell ref="A147:A149"/>
    <mergeCell ref="B147:B149"/>
    <mergeCell ref="C147:C149"/>
    <mergeCell ref="D147:D149"/>
    <mergeCell ref="A132:A134"/>
    <mergeCell ref="B132:B134"/>
    <mergeCell ref="C132:C134"/>
    <mergeCell ref="D132:D134"/>
    <mergeCell ref="A135:A137"/>
    <mergeCell ref="B135:B137"/>
    <mergeCell ref="C135:C137"/>
    <mergeCell ref="D135:D137"/>
    <mergeCell ref="A138:A140"/>
    <mergeCell ref="B138:B140"/>
    <mergeCell ref="C138:C140"/>
    <mergeCell ref="D138:D140"/>
    <mergeCell ref="A123:A125"/>
    <mergeCell ref="B123:B125"/>
    <mergeCell ref="C123:C125"/>
    <mergeCell ref="D123:D125"/>
    <mergeCell ref="A126:A128"/>
    <mergeCell ref="B126:B128"/>
    <mergeCell ref="C126:C128"/>
    <mergeCell ref="D126:D128"/>
    <mergeCell ref="A129:A131"/>
    <mergeCell ref="B129:B131"/>
    <mergeCell ref="C129:C131"/>
    <mergeCell ref="D129:D131"/>
    <mergeCell ref="A114:A116"/>
    <mergeCell ref="B114:B116"/>
    <mergeCell ref="C114:C116"/>
    <mergeCell ref="D114:D116"/>
    <mergeCell ref="A117:A119"/>
    <mergeCell ref="B117:B119"/>
    <mergeCell ref="C117:C119"/>
    <mergeCell ref="D117:D119"/>
    <mergeCell ref="A120:A122"/>
    <mergeCell ref="B120:B122"/>
    <mergeCell ref="C120:C122"/>
    <mergeCell ref="D120:D122"/>
    <mergeCell ref="A105:A107"/>
    <mergeCell ref="B105:B107"/>
    <mergeCell ref="C105:C107"/>
    <mergeCell ref="D105:D107"/>
    <mergeCell ref="A108:A110"/>
    <mergeCell ref="B108:B110"/>
    <mergeCell ref="C108:C110"/>
    <mergeCell ref="D108:D110"/>
    <mergeCell ref="A111:A113"/>
    <mergeCell ref="B111:B113"/>
    <mergeCell ref="C111:C113"/>
    <mergeCell ref="D111:D113"/>
    <mergeCell ref="A96:A98"/>
    <mergeCell ref="B96:B98"/>
    <mergeCell ref="C96:C98"/>
    <mergeCell ref="D96:D98"/>
    <mergeCell ref="A99:A101"/>
    <mergeCell ref="B99:B101"/>
    <mergeCell ref="C99:C101"/>
    <mergeCell ref="D99:D101"/>
    <mergeCell ref="A102:A104"/>
    <mergeCell ref="B102:B104"/>
    <mergeCell ref="C102:C104"/>
    <mergeCell ref="D102:D104"/>
    <mergeCell ref="A93:A95"/>
    <mergeCell ref="B93:B95"/>
    <mergeCell ref="C93:C95"/>
    <mergeCell ref="D93:D95"/>
    <mergeCell ref="A87:A89"/>
    <mergeCell ref="B87:B89"/>
    <mergeCell ref="C87:C89"/>
    <mergeCell ref="D87:D89"/>
    <mergeCell ref="A90:A92"/>
    <mergeCell ref="B90:B92"/>
    <mergeCell ref="C90:C92"/>
    <mergeCell ref="D90:D92"/>
    <mergeCell ref="A81:A83"/>
    <mergeCell ref="B81:B83"/>
    <mergeCell ref="C81:C83"/>
    <mergeCell ref="D81:D83"/>
    <mergeCell ref="A84:A86"/>
    <mergeCell ref="B84:B86"/>
    <mergeCell ref="C84:C86"/>
    <mergeCell ref="D84:D86"/>
    <mergeCell ref="A75:A77"/>
    <mergeCell ref="B75:B77"/>
    <mergeCell ref="C75:C77"/>
    <mergeCell ref="D75:D77"/>
    <mergeCell ref="A78:A80"/>
    <mergeCell ref="B78:B80"/>
    <mergeCell ref="C78:C80"/>
    <mergeCell ref="D78:D80"/>
    <mergeCell ref="A69:A71"/>
    <mergeCell ref="B69:B71"/>
    <mergeCell ref="C69:C71"/>
    <mergeCell ref="D69:D71"/>
    <mergeCell ref="A72:A74"/>
    <mergeCell ref="B72:B74"/>
    <mergeCell ref="C72:C74"/>
    <mergeCell ref="D72:D74"/>
    <mergeCell ref="D60:D62"/>
    <mergeCell ref="A63:A65"/>
    <mergeCell ref="B63:B65"/>
    <mergeCell ref="C63:C65"/>
    <mergeCell ref="D63:D65"/>
    <mergeCell ref="A66:A68"/>
    <mergeCell ref="B66:B68"/>
    <mergeCell ref="C66:C68"/>
    <mergeCell ref="D66:D68"/>
    <mergeCell ref="A57:A59"/>
    <mergeCell ref="B57:B59"/>
    <mergeCell ref="C57:C59"/>
    <mergeCell ref="A60:A62"/>
    <mergeCell ref="B60:B62"/>
    <mergeCell ref="C60:C62"/>
    <mergeCell ref="A51:A53"/>
    <mergeCell ref="B51:B53"/>
    <mergeCell ref="C51:C53"/>
    <mergeCell ref="D51:D53"/>
    <mergeCell ref="A54:A56"/>
    <mergeCell ref="B54:B56"/>
    <mergeCell ref="C54:C56"/>
    <mergeCell ref="D54:D56"/>
    <mergeCell ref="A45:A47"/>
    <mergeCell ref="B45:B47"/>
    <mergeCell ref="C45:C47"/>
    <mergeCell ref="D45:D47"/>
    <mergeCell ref="A48:A50"/>
    <mergeCell ref="B48:B50"/>
    <mergeCell ref="C48:C50"/>
    <mergeCell ref="D48:D50"/>
    <mergeCell ref="A39:A41"/>
    <mergeCell ref="B39:B41"/>
    <mergeCell ref="C39:C41"/>
    <mergeCell ref="D39:D41"/>
    <mergeCell ref="A42:A44"/>
    <mergeCell ref="B42:B44"/>
    <mergeCell ref="C42:C44"/>
    <mergeCell ref="D42:D44"/>
    <mergeCell ref="A33:A35"/>
    <mergeCell ref="B33:B35"/>
    <mergeCell ref="C33:C35"/>
    <mergeCell ref="D33:D35"/>
    <mergeCell ref="A36:A38"/>
    <mergeCell ref="B36:B38"/>
    <mergeCell ref="C36:C38"/>
    <mergeCell ref="D36:D38"/>
    <mergeCell ref="B27:B29"/>
    <mergeCell ref="C27:C29"/>
    <mergeCell ref="D27:D29"/>
    <mergeCell ref="A30:A32"/>
    <mergeCell ref="B30:B32"/>
    <mergeCell ref="C30:C32"/>
    <mergeCell ref="D30:D32"/>
    <mergeCell ref="A21:A23"/>
    <mergeCell ref="B21:B23"/>
    <mergeCell ref="C21:C23"/>
    <mergeCell ref="D21:D23"/>
    <mergeCell ref="A24:A26"/>
    <mergeCell ref="B24:B26"/>
    <mergeCell ref="C24:C26"/>
    <mergeCell ref="D24:D26"/>
    <mergeCell ref="D57:D59"/>
    <mergeCell ref="A1:U1"/>
    <mergeCell ref="A3:U3"/>
    <mergeCell ref="A6:A8"/>
    <mergeCell ref="B6:B8"/>
    <mergeCell ref="C6:C8"/>
    <mergeCell ref="D6:D8"/>
    <mergeCell ref="A15:A17"/>
    <mergeCell ref="B15:B17"/>
    <mergeCell ref="C15:C17"/>
    <mergeCell ref="D15:D17"/>
    <mergeCell ref="A18:A20"/>
    <mergeCell ref="B18:B20"/>
    <mergeCell ref="C18:C20"/>
    <mergeCell ref="D18:D20"/>
    <mergeCell ref="A9:A11"/>
    <mergeCell ref="B9:B11"/>
    <mergeCell ref="C9:C11"/>
    <mergeCell ref="D9:D11"/>
    <mergeCell ref="A12:A14"/>
    <mergeCell ref="B12:B14"/>
    <mergeCell ref="C12:C14"/>
    <mergeCell ref="D12:D14"/>
    <mergeCell ref="A27:A29"/>
  </mergeCells>
  <pageMargins left="0.7" right="0.7" top="0.75" bottom="0.75" header="0.3" footer="0.3"/>
  <pageSetup paperSize="9" scale="83" fitToHeight="0" orientation="landscape" verticalDpi="4294967295" r:id="rId1"/>
  <rowBreaks count="2" manualBreakCount="2">
    <brk id="26" max="16383" man="1"/>
    <brk id="83" max="16383" man="1"/>
  </rowBreaks>
  <ignoredErrors>
    <ignoredError sqref="R6:R170" formula="1"/>
  </ignoredError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58"/>
  <sheetViews>
    <sheetView workbookViewId="0">
      <selection activeCell="B4" sqref="B4:B48"/>
    </sheetView>
  </sheetViews>
  <sheetFormatPr defaultRowHeight="15" x14ac:dyDescent="0.25"/>
  <cols>
    <col min="1" max="1" width="6.7109375" style="14" customWidth="1"/>
    <col min="2" max="2" width="35.140625" bestFit="1" customWidth="1"/>
    <col min="3" max="3" width="4.7109375" customWidth="1"/>
    <col min="4" max="4" width="4.140625" customWidth="1"/>
    <col min="5" max="15" width="7.7109375" customWidth="1"/>
    <col min="16" max="20" width="7.7109375" style="14" customWidth="1"/>
  </cols>
  <sheetData>
    <row r="1" spans="1:20" ht="20.25" x14ac:dyDescent="0.25">
      <c r="A1" s="272" t="s">
        <v>66</v>
      </c>
      <c r="B1" s="273"/>
      <c r="C1" s="273"/>
      <c r="D1" s="273"/>
      <c r="E1" s="273"/>
      <c r="F1" s="273"/>
      <c r="G1" s="273"/>
      <c r="H1" s="273"/>
      <c r="I1" s="273"/>
      <c r="J1" s="273"/>
      <c r="K1" s="273"/>
      <c r="L1" s="273"/>
      <c r="M1" s="273"/>
      <c r="N1" s="273"/>
      <c r="O1" s="273"/>
      <c r="P1" s="273"/>
      <c r="Q1" s="273"/>
      <c r="R1" s="273"/>
      <c r="S1" s="273"/>
      <c r="T1" s="274"/>
    </row>
    <row r="2" spans="1:20" ht="15.75" thickBot="1" x14ac:dyDescent="0.3">
      <c r="A2" s="275" t="s">
        <v>65</v>
      </c>
      <c r="B2" s="275"/>
      <c r="C2" s="275"/>
      <c r="D2" s="275"/>
      <c r="E2" s="275"/>
      <c r="F2" s="275"/>
      <c r="G2" s="275"/>
      <c r="H2" s="275"/>
      <c r="I2" s="275"/>
      <c r="J2" s="275"/>
      <c r="K2" s="275"/>
      <c r="L2" s="275"/>
      <c r="M2" s="275"/>
      <c r="N2" s="275"/>
      <c r="O2" s="275"/>
      <c r="P2" s="275"/>
      <c r="Q2" s="275"/>
      <c r="R2" s="275"/>
      <c r="S2" s="275"/>
      <c r="T2" s="275"/>
    </row>
    <row r="3" spans="1:20" ht="67.5" customHeight="1" thickBot="1" x14ac:dyDescent="0.3">
      <c r="A3" s="21" t="s">
        <v>24</v>
      </c>
      <c r="B3" s="22" t="s">
        <v>1</v>
      </c>
      <c r="C3" s="23" t="s">
        <v>2</v>
      </c>
      <c r="D3" s="22" t="s">
        <v>3</v>
      </c>
      <c r="E3" s="18" t="s">
        <v>4</v>
      </c>
      <c r="F3" s="18" t="s">
        <v>5</v>
      </c>
      <c r="G3" s="18" t="s">
        <v>6</v>
      </c>
      <c r="H3" s="18" t="s">
        <v>7</v>
      </c>
      <c r="I3" s="18" t="s">
        <v>8</v>
      </c>
      <c r="J3" s="18" t="s">
        <v>9</v>
      </c>
      <c r="K3" s="18" t="s">
        <v>12</v>
      </c>
      <c r="L3" s="19" t="s">
        <v>31</v>
      </c>
      <c r="M3" s="19" t="s">
        <v>13</v>
      </c>
      <c r="N3" s="18" t="s">
        <v>14</v>
      </c>
      <c r="O3" s="19" t="s">
        <v>15</v>
      </c>
      <c r="P3" s="18" t="s">
        <v>16</v>
      </c>
      <c r="Q3" s="18" t="s">
        <v>17</v>
      </c>
      <c r="R3" s="18" t="s">
        <v>18</v>
      </c>
      <c r="S3" s="34" t="s">
        <v>19</v>
      </c>
      <c r="T3"/>
    </row>
    <row r="4" spans="1:20" ht="20.100000000000001" customHeight="1" x14ac:dyDescent="0.25">
      <c r="A4" s="136">
        <v>1</v>
      </c>
      <c r="B4" s="142"/>
      <c r="C4" s="180">
        <v>17</v>
      </c>
      <c r="D4" s="180" t="s">
        <v>20</v>
      </c>
      <c r="E4" s="138">
        <v>67</v>
      </c>
      <c r="F4" s="30">
        <v>88</v>
      </c>
      <c r="G4" s="30">
        <v>51</v>
      </c>
      <c r="H4" s="30">
        <v>62</v>
      </c>
      <c r="I4" s="30">
        <v>59</v>
      </c>
      <c r="J4" s="30">
        <v>75</v>
      </c>
      <c r="K4" s="30">
        <v>71</v>
      </c>
      <c r="L4" s="30">
        <v>86</v>
      </c>
      <c r="M4" s="30">
        <v>82</v>
      </c>
      <c r="N4" s="30">
        <v>94</v>
      </c>
      <c r="O4" s="15">
        <f>SUM(E4:N4)</f>
        <v>735</v>
      </c>
      <c r="P4" s="33">
        <f>AVERAGE(E4:N4)</f>
        <v>73.5</v>
      </c>
      <c r="Q4" s="15">
        <f>RANK(P4,$P$4:$P$48)</f>
        <v>37</v>
      </c>
      <c r="R4" s="15"/>
      <c r="S4" s="15"/>
      <c r="T4"/>
    </row>
    <row r="5" spans="1:20" ht="20.100000000000001" customHeight="1" x14ac:dyDescent="0.25">
      <c r="A5" s="121">
        <v>2</v>
      </c>
      <c r="B5" s="142"/>
      <c r="C5" s="180">
        <v>17</v>
      </c>
      <c r="D5" s="180" t="s">
        <v>23</v>
      </c>
      <c r="E5" s="138">
        <v>76</v>
      </c>
      <c r="F5" s="30">
        <v>95</v>
      </c>
      <c r="G5" s="30">
        <v>78</v>
      </c>
      <c r="H5" s="30">
        <v>88</v>
      </c>
      <c r="I5" s="30">
        <v>81</v>
      </c>
      <c r="J5" s="30">
        <v>97</v>
      </c>
      <c r="K5" s="30">
        <v>83</v>
      </c>
      <c r="L5" s="30">
        <v>91</v>
      </c>
      <c r="M5" s="30">
        <v>91</v>
      </c>
      <c r="N5" s="30">
        <v>99</v>
      </c>
      <c r="O5" s="15">
        <f t="shared" ref="O5:O48" si="0">SUM(E5:N5)</f>
        <v>879</v>
      </c>
      <c r="P5" s="33">
        <f t="shared" ref="P5:P48" si="1">AVERAGE(E5:N5)</f>
        <v>87.9</v>
      </c>
      <c r="Q5" s="15">
        <f t="shared" ref="Q5:Q48" si="2">RANK(P5,$P$4:$P$48)</f>
        <v>10</v>
      </c>
      <c r="R5" s="15"/>
      <c r="S5" s="15"/>
      <c r="T5"/>
    </row>
    <row r="6" spans="1:20" ht="20.100000000000001" customHeight="1" x14ac:dyDescent="0.25">
      <c r="A6" s="137">
        <v>3</v>
      </c>
      <c r="B6" s="142"/>
      <c r="C6" s="180">
        <v>18</v>
      </c>
      <c r="D6" s="180" t="s">
        <v>23</v>
      </c>
      <c r="E6" s="138">
        <v>85</v>
      </c>
      <c r="F6" s="30">
        <v>86</v>
      </c>
      <c r="G6" s="30">
        <v>90</v>
      </c>
      <c r="H6" s="30">
        <v>94</v>
      </c>
      <c r="I6" s="30">
        <v>89</v>
      </c>
      <c r="J6" s="30">
        <v>96</v>
      </c>
      <c r="K6" s="30">
        <v>75</v>
      </c>
      <c r="L6" s="30">
        <v>91</v>
      </c>
      <c r="M6" s="30">
        <v>100</v>
      </c>
      <c r="N6" s="30">
        <v>99</v>
      </c>
      <c r="O6" s="15">
        <f t="shared" si="0"/>
        <v>905</v>
      </c>
      <c r="P6" s="33">
        <f t="shared" si="1"/>
        <v>90.5</v>
      </c>
      <c r="Q6" s="15">
        <f t="shared" si="2"/>
        <v>8</v>
      </c>
      <c r="R6" s="15"/>
      <c r="S6" s="15"/>
      <c r="T6"/>
    </row>
    <row r="7" spans="1:20" ht="20.100000000000001" customHeight="1" x14ac:dyDescent="0.25">
      <c r="A7" s="121">
        <v>4</v>
      </c>
      <c r="B7" s="142"/>
      <c r="C7" s="180">
        <v>17</v>
      </c>
      <c r="D7" s="180" t="s">
        <v>23</v>
      </c>
      <c r="E7" s="138">
        <v>76</v>
      </c>
      <c r="F7" s="30">
        <v>75</v>
      </c>
      <c r="G7" s="30">
        <v>50</v>
      </c>
      <c r="H7" s="30">
        <v>60</v>
      </c>
      <c r="I7" s="30">
        <v>62</v>
      </c>
      <c r="J7" s="30">
        <v>75</v>
      </c>
      <c r="K7" s="30">
        <v>59</v>
      </c>
      <c r="L7" s="30">
        <v>75</v>
      </c>
      <c r="M7" s="30">
        <v>89</v>
      </c>
      <c r="N7" s="30">
        <v>89</v>
      </c>
      <c r="O7" s="15">
        <f t="shared" si="0"/>
        <v>710</v>
      </c>
      <c r="P7" s="33">
        <f t="shared" si="1"/>
        <v>71</v>
      </c>
      <c r="Q7" s="15">
        <f t="shared" si="2"/>
        <v>44</v>
      </c>
      <c r="R7" s="15"/>
      <c r="S7" s="15"/>
      <c r="T7"/>
    </row>
    <row r="8" spans="1:20" ht="20.100000000000001" customHeight="1" x14ac:dyDescent="0.25">
      <c r="A8" s="121">
        <v>5</v>
      </c>
      <c r="B8" s="142"/>
      <c r="C8" s="180">
        <v>16</v>
      </c>
      <c r="D8" s="180" t="s">
        <v>20</v>
      </c>
      <c r="E8" s="138">
        <v>78</v>
      </c>
      <c r="F8" s="30">
        <v>70</v>
      </c>
      <c r="G8" s="30">
        <v>65</v>
      </c>
      <c r="H8" s="30">
        <v>80</v>
      </c>
      <c r="I8" s="30">
        <v>69</v>
      </c>
      <c r="J8" s="30">
        <v>89</v>
      </c>
      <c r="K8" s="30">
        <v>82</v>
      </c>
      <c r="L8" s="30">
        <v>96</v>
      </c>
      <c r="M8" s="30">
        <v>95</v>
      </c>
      <c r="N8" s="30">
        <v>96</v>
      </c>
      <c r="O8" s="15">
        <f t="shared" si="0"/>
        <v>820</v>
      </c>
      <c r="P8" s="33">
        <f t="shared" si="1"/>
        <v>82</v>
      </c>
      <c r="Q8" s="15">
        <f t="shared" si="2"/>
        <v>18</v>
      </c>
      <c r="R8" s="15"/>
      <c r="S8" s="15"/>
      <c r="T8"/>
    </row>
    <row r="9" spans="1:20" ht="20.100000000000001" customHeight="1" x14ac:dyDescent="0.25">
      <c r="A9" s="137">
        <v>6</v>
      </c>
      <c r="B9" s="142"/>
      <c r="C9" s="180">
        <v>16</v>
      </c>
      <c r="D9" s="180" t="s">
        <v>20</v>
      </c>
      <c r="E9" s="138">
        <v>57</v>
      </c>
      <c r="F9" s="30">
        <v>72</v>
      </c>
      <c r="G9" s="30">
        <v>50</v>
      </c>
      <c r="H9" s="30">
        <v>54</v>
      </c>
      <c r="I9" s="30">
        <v>51</v>
      </c>
      <c r="J9" s="30">
        <v>62</v>
      </c>
      <c r="K9" s="30">
        <v>58</v>
      </c>
      <c r="L9" s="30">
        <v>85</v>
      </c>
      <c r="M9" s="30">
        <v>83</v>
      </c>
      <c r="N9" s="30">
        <v>87</v>
      </c>
      <c r="O9" s="15">
        <f t="shared" si="0"/>
        <v>659</v>
      </c>
      <c r="P9" s="33">
        <f t="shared" si="1"/>
        <v>65.900000000000006</v>
      </c>
      <c r="Q9" s="15">
        <f t="shared" si="2"/>
        <v>45</v>
      </c>
      <c r="R9" s="15"/>
      <c r="S9" s="15"/>
      <c r="T9"/>
    </row>
    <row r="10" spans="1:20" ht="20.100000000000001" customHeight="1" x14ac:dyDescent="0.25">
      <c r="A10" s="121">
        <v>7</v>
      </c>
      <c r="B10" s="142"/>
      <c r="C10" s="180">
        <v>17</v>
      </c>
      <c r="D10" s="180" t="s">
        <v>20</v>
      </c>
      <c r="E10" s="138">
        <v>85</v>
      </c>
      <c r="F10" s="30">
        <v>84</v>
      </c>
      <c r="G10" s="30">
        <v>62</v>
      </c>
      <c r="H10" s="30">
        <v>77</v>
      </c>
      <c r="I10" s="30">
        <v>76</v>
      </c>
      <c r="J10" s="30">
        <v>93</v>
      </c>
      <c r="K10" s="30">
        <v>85</v>
      </c>
      <c r="L10" s="30">
        <v>95</v>
      </c>
      <c r="M10" s="30">
        <v>88</v>
      </c>
      <c r="N10" s="30">
        <v>88</v>
      </c>
      <c r="O10" s="15">
        <f t="shared" si="0"/>
        <v>833</v>
      </c>
      <c r="P10" s="33">
        <f t="shared" si="1"/>
        <v>83.3</v>
      </c>
      <c r="Q10" s="15">
        <f t="shared" si="2"/>
        <v>15</v>
      </c>
      <c r="R10" s="15"/>
      <c r="S10" s="15"/>
      <c r="T10"/>
    </row>
    <row r="11" spans="1:20" ht="20.100000000000001" customHeight="1" x14ac:dyDescent="0.25">
      <c r="A11" s="121">
        <v>8</v>
      </c>
      <c r="B11" s="142"/>
      <c r="C11" s="180">
        <v>18</v>
      </c>
      <c r="D11" s="180" t="s">
        <v>23</v>
      </c>
      <c r="E11" s="138">
        <v>86</v>
      </c>
      <c r="F11" s="30">
        <v>86</v>
      </c>
      <c r="G11" s="30">
        <v>67</v>
      </c>
      <c r="H11" s="30">
        <v>76</v>
      </c>
      <c r="I11" s="30">
        <v>91</v>
      </c>
      <c r="J11" s="30">
        <v>84</v>
      </c>
      <c r="K11" s="30">
        <v>90</v>
      </c>
      <c r="L11" s="30">
        <v>99</v>
      </c>
      <c r="M11" s="30">
        <v>92</v>
      </c>
      <c r="N11" s="30">
        <v>97</v>
      </c>
      <c r="O11" s="15">
        <f t="shared" si="0"/>
        <v>868</v>
      </c>
      <c r="P11" s="33">
        <f t="shared" si="1"/>
        <v>86.8</v>
      </c>
      <c r="Q11" s="15">
        <f t="shared" si="2"/>
        <v>11</v>
      </c>
      <c r="R11" s="15"/>
      <c r="S11" s="15"/>
      <c r="T11"/>
    </row>
    <row r="12" spans="1:20" ht="20.100000000000001" customHeight="1" x14ac:dyDescent="0.25">
      <c r="A12" s="137">
        <v>9</v>
      </c>
      <c r="B12" s="142"/>
      <c r="C12" s="180">
        <v>18</v>
      </c>
      <c r="D12" s="180" t="s">
        <v>23</v>
      </c>
      <c r="E12" s="138">
        <v>86</v>
      </c>
      <c r="F12" s="30">
        <v>74</v>
      </c>
      <c r="G12" s="30">
        <v>54</v>
      </c>
      <c r="H12" s="30">
        <v>72</v>
      </c>
      <c r="I12" s="30">
        <v>64</v>
      </c>
      <c r="J12" s="30">
        <v>82</v>
      </c>
      <c r="K12" s="30">
        <v>69</v>
      </c>
      <c r="L12" s="30">
        <v>81</v>
      </c>
      <c r="M12" s="30">
        <v>91</v>
      </c>
      <c r="N12" s="30">
        <v>91</v>
      </c>
      <c r="O12" s="15">
        <f t="shared" si="0"/>
        <v>764</v>
      </c>
      <c r="P12" s="33">
        <f t="shared" si="1"/>
        <v>76.400000000000006</v>
      </c>
      <c r="Q12" s="15">
        <f t="shared" si="2"/>
        <v>30</v>
      </c>
      <c r="R12" s="15"/>
      <c r="S12" s="15"/>
      <c r="T12"/>
    </row>
    <row r="13" spans="1:20" ht="20.100000000000001" customHeight="1" x14ac:dyDescent="0.25">
      <c r="A13" s="121">
        <v>10</v>
      </c>
      <c r="B13" s="142"/>
      <c r="C13" s="180">
        <v>18</v>
      </c>
      <c r="D13" s="180" t="s">
        <v>23</v>
      </c>
      <c r="E13" s="138">
        <v>86</v>
      </c>
      <c r="F13" s="30">
        <v>79</v>
      </c>
      <c r="G13" s="30">
        <v>52</v>
      </c>
      <c r="H13" s="30">
        <v>68</v>
      </c>
      <c r="I13" s="30">
        <v>53</v>
      </c>
      <c r="J13" s="30">
        <v>71</v>
      </c>
      <c r="K13" s="30">
        <v>62</v>
      </c>
      <c r="L13" s="30">
        <v>90</v>
      </c>
      <c r="M13" s="30">
        <v>89</v>
      </c>
      <c r="N13" s="30">
        <v>90</v>
      </c>
      <c r="O13" s="15">
        <f t="shared" si="0"/>
        <v>740</v>
      </c>
      <c r="P13" s="33">
        <f t="shared" si="1"/>
        <v>74</v>
      </c>
      <c r="Q13" s="15">
        <f t="shared" si="2"/>
        <v>36</v>
      </c>
      <c r="R13" s="15"/>
      <c r="S13" s="15"/>
      <c r="T13"/>
    </row>
    <row r="14" spans="1:20" ht="20.100000000000001" customHeight="1" x14ac:dyDescent="0.25">
      <c r="A14" s="137">
        <v>11</v>
      </c>
      <c r="B14" s="142"/>
      <c r="C14" s="180">
        <v>18</v>
      </c>
      <c r="D14" s="180" t="s">
        <v>23</v>
      </c>
      <c r="E14" s="138">
        <v>86</v>
      </c>
      <c r="F14" s="30">
        <v>91</v>
      </c>
      <c r="G14" s="30">
        <v>53</v>
      </c>
      <c r="H14" s="30">
        <v>69</v>
      </c>
      <c r="I14" s="30">
        <v>62</v>
      </c>
      <c r="J14" s="30">
        <v>85</v>
      </c>
      <c r="K14" s="30">
        <v>82</v>
      </c>
      <c r="L14" s="30">
        <v>97</v>
      </c>
      <c r="M14" s="30">
        <v>98</v>
      </c>
      <c r="N14" s="30">
        <v>99</v>
      </c>
      <c r="O14" s="15">
        <f t="shared" si="0"/>
        <v>822</v>
      </c>
      <c r="P14" s="33">
        <f t="shared" si="1"/>
        <v>82.2</v>
      </c>
      <c r="Q14" s="15">
        <f t="shared" si="2"/>
        <v>17</v>
      </c>
      <c r="R14" s="15"/>
      <c r="S14" s="15"/>
      <c r="T14"/>
    </row>
    <row r="15" spans="1:20" ht="20.100000000000001" customHeight="1" x14ac:dyDescent="0.25">
      <c r="A15" s="137">
        <v>12</v>
      </c>
      <c r="B15" s="142"/>
      <c r="C15" s="180">
        <v>16</v>
      </c>
      <c r="D15" s="180" t="s">
        <v>20</v>
      </c>
      <c r="E15" s="138">
        <v>77</v>
      </c>
      <c r="F15" s="30">
        <v>82</v>
      </c>
      <c r="G15" s="30">
        <v>53</v>
      </c>
      <c r="H15" s="30">
        <v>74</v>
      </c>
      <c r="I15" s="30">
        <v>79</v>
      </c>
      <c r="J15" s="30">
        <v>90</v>
      </c>
      <c r="K15" s="30">
        <v>81</v>
      </c>
      <c r="L15" s="30">
        <v>94</v>
      </c>
      <c r="M15" s="30">
        <v>89</v>
      </c>
      <c r="N15" s="30">
        <v>97</v>
      </c>
      <c r="O15" s="15">
        <f t="shared" si="0"/>
        <v>816</v>
      </c>
      <c r="P15" s="33">
        <f t="shared" si="1"/>
        <v>81.599999999999994</v>
      </c>
      <c r="Q15" s="15">
        <f t="shared" si="2"/>
        <v>19</v>
      </c>
      <c r="R15" s="15"/>
      <c r="S15" s="15"/>
      <c r="T15"/>
    </row>
    <row r="16" spans="1:20" ht="20.100000000000001" customHeight="1" x14ac:dyDescent="0.25">
      <c r="A16" s="137">
        <v>13</v>
      </c>
      <c r="B16" s="142"/>
      <c r="C16" s="180">
        <v>17</v>
      </c>
      <c r="D16" s="180" t="s">
        <v>23</v>
      </c>
      <c r="E16" s="138">
        <v>77</v>
      </c>
      <c r="F16" s="30">
        <v>83</v>
      </c>
      <c r="G16" s="30">
        <v>53</v>
      </c>
      <c r="H16" s="30">
        <v>66</v>
      </c>
      <c r="I16" s="30">
        <v>72</v>
      </c>
      <c r="J16" s="30">
        <v>86</v>
      </c>
      <c r="K16" s="30">
        <v>72</v>
      </c>
      <c r="L16" s="30">
        <v>99</v>
      </c>
      <c r="M16" s="30">
        <v>98</v>
      </c>
      <c r="N16" s="30">
        <v>95</v>
      </c>
      <c r="O16" s="15">
        <f t="shared" si="0"/>
        <v>801</v>
      </c>
      <c r="P16" s="33">
        <f t="shared" si="1"/>
        <v>80.099999999999994</v>
      </c>
      <c r="Q16" s="15">
        <f t="shared" si="2"/>
        <v>25</v>
      </c>
      <c r="R16" s="15"/>
      <c r="S16" s="15"/>
      <c r="T16"/>
    </row>
    <row r="17" spans="1:20" ht="20.100000000000001" customHeight="1" x14ac:dyDescent="0.25">
      <c r="A17" s="121">
        <v>14</v>
      </c>
      <c r="B17" s="142"/>
      <c r="C17" s="180">
        <v>17</v>
      </c>
      <c r="D17" s="180" t="s">
        <v>23</v>
      </c>
      <c r="E17" s="138">
        <v>73</v>
      </c>
      <c r="F17" s="30">
        <v>72</v>
      </c>
      <c r="G17" s="30">
        <v>51</v>
      </c>
      <c r="H17" s="30">
        <v>70</v>
      </c>
      <c r="I17" s="30">
        <v>73</v>
      </c>
      <c r="J17" s="30">
        <v>89</v>
      </c>
      <c r="K17" s="30">
        <v>70</v>
      </c>
      <c r="L17" s="30">
        <v>81</v>
      </c>
      <c r="M17" s="30">
        <v>94</v>
      </c>
      <c r="N17" s="30">
        <v>92</v>
      </c>
      <c r="O17" s="15">
        <f t="shared" si="0"/>
        <v>765</v>
      </c>
      <c r="P17" s="33">
        <f t="shared" si="1"/>
        <v>76.5</v>
      </c>
      <c r="Q17" s="15">
        <f t="shared" si="2"/>
        <v>29</v>
      </c>
      <c r="R17" s="15"/>
      <c r="S17" s="15"/>
      <c r="T17"/>
    </row>
    <row r="18" spans="1:20" ht="20.100000000000001" customHeight="1" x14ac:dyDescent="0.25">
      <c r="A18" s="137">
        <v>15</v>
      </c>
      <c r="B18" s="142"/>
      <c r="C18" s="180">
        <v>17</v>
      </c>
      <c r="D18" s="180" t="s">
        <v>23</v>
      </c>
      <c r="E18" s="138">
        <v>87</v>
      </c>
      <c r="F18" s="30">
        <v>85</v>
      </c>
      <c r="G18" s="31">
        <v>84</v>
      </c>
      <c r="H18" s="30">
        <v>89</v>
      </c>
      <c r="I18" s="30">
        <v>78</v>
      </c>
      <c r="J18" s="30">
        <v>96</v>
      </c>
      <c r="K18" s="30">
        <v>77</v>
      </c>
      <c r="L18" s="30">
        <v>95</v>
      </c>
      <c r="M18" s="30">
        <v>97</v>
      </c>
      <c r="N18" s="30">
        <v>93</v>
      </c>
      <c r="O18" s="15">
        <f t="shared" si="0"/>
        <v>881</v>
      </c>
      <c r="P18" s="33">
        <f t="shared" si="1"/>
        <v>88.1</v>
      </c>
      <c r="Q18" s="15">
        <f t="shared" si="2"/>
        <v>9</v>
      </c>
      <c r="R18" s="15"/>
      <c r="S18" s="15"/>
      <c r="T18"/>
    </row>
    <row r="19" spans="1:20" ht="20.100000000000001" customHeight="1" x14ac:dyDescent="0.25">
      <c r="A19" s="121">
        <v>16</v>
      </c>
      <c r="B19" s="142"/>
      <c r="C19" s="180">
        <v>17</v>
      </c>
      <c r="D19" s="180" t="s">
        <v>23</v>
      </c>
      <c r="E19" s="138">
        <v>82</v>
      </c>
      <c r="F19" s="30">
        <v>86</v>
      </c>
      <c r="G19" s="30">
        <v>52</v>
      </c>
      <c r="H19" s="30">
        <v>76</v>
      </c>
      <c r="I19" s="30">
        <v>68</v>
      </c>
      <c r="J19" s="30">
        <v>84</v>
      </c>
      <c r="K19" s="30">
        <v>78</v>
      </c>
      <c r="L19" s="30">
        <v>99</v>
      </c>
      <c r="M19" s="30">
        <v>95</v>
      </c>
      <c r="N19" s="30">
        <v>96</v>
      </c>
      <c r="O19" s="15">
        <f t="shared" si="0"/>
        <v>816</v>
      </c>
      <c r="P19" s="33">
        <f t="shared" si="1"/>
        <v>81.599999999999994</v>
      </c>
      <c r="Q19" s="15">
        <f t="shared" si="2"/>
        <v>19</v>
      </c>
      <c r="R19" s="15"/>
      <c r="S19" s="15"/>
      <c r="T19"/>
    </row>
    <row r="20" spans="1:20" ht="20.100000000000001" customHeight="1" x14ac:dyDescent="0.25">
      <c r="A20" s="121">
        <v>17</v>
      </c>
      <c r="B20" s="142"/>
      <c r="C20" s="180">
        <v>18</v>
      </c>
      <c r="D20" s="180" t="s">
        <v>23</v>
      </c>
      <c r="E20" s="138">
        <v>83</v>
      </c>
      <c r="F20" s="30">
        <v>69</v>
      </c>
      <c r="G20" s="30">
        <v>50</v>
      </c>
      <c r="H20" s="30">
        <v>62</v>
      </c>
      <c r="I20" s="30">
        <v>62</v>
      </c>
      <c r="J20" s="30">
        <v>67</v>
      </c>
      <c r="K20" s="30">
        <v>54</v>
      </c>
      <c r="L20" s="30">
        <v>99</v>
      </c>
      <c r="M20" s="30">
        <v>84</v>
      </c>
      <c r="N20" s="30">
        <v>89</v>
      </c>
      <c r="O20" s="15">
        <f t="shared" si="0"/>
        <v>719</v>
      </c>
      <c r="P20" s="33">
        <f t="shared" si="1"/>
        <v>71.900000000000006</v>
      </c>
      <c r="Q20" s="15">
        <f t="shared" si="2"/>
        <v>42</v>
      </c>
      <c r="R20" s="15"/>
      <c r="S20" s="15"/>
      <c r="T20"/>
    </row>
    <row r="21" spans="1:20" ht="20.100000000000001" customHeight="1" x14ac:dyDescent="0.25">
      <c r="A21" s="121">
        <v>18</v>
      </c>
      <c r="B21" s="142"/>
      <c r="C21" s="180">
        <v>17</v>
      </c>
      <c r="D21" s="180" t="s">
        <v>23</v>
      </c>
      <c r="E21" s="138">
        <v>77</v>
      </c>
      <c r="F21" s="30">
        <v>85</v>
      </c>
      <c r="G21" s="31">
        <v>63</v>
      </c>
      <c r="H21" s="30">
        <v>84</v>
      </c>
      <c r="I21" s="30">
        <v>73</v>
      </c>
      <c r="J21" s="30">
        <v>90</v>
      </c>
      <c r="K21" s="30">
        <v>76</v>
      </c>
      <c r="L21" s="30">
        <v>97</v>
      </c>
      <c r="M21" s="30">
        <v>79</v>
      </c>
      <c r="N21" s="30">
        <v>89</v>
      </c>
      <c r="O21" s="15">
        <f t="shared" si="0"/>
        <v>813</v>
      </c>
      <c r="P21" s="33">
        <f t="shared" si="1"/>
        <v>81.3</v>
      </c>
      <c r="Q21" s="15">
        <f t="shared" si="2"/>
        <v>22</v>
      </c>
      <c r="R21" s="15"/>
      <c r="S21" s="15"/>
      <c r="T21"/>
    </row>
    <row r="22" spans="1:20" ht="20.100000000000001" customHeight="1" x14ac:dyDescent="0.25">
      <c r="A22" s="137">
        <v>19</v>
      </c>
      <c r="B22" s="142"/>
      <c r="C22" s="180">
        <v>17</v>
      </c>
      <c r="D22" s="180" t="s">
        <v>20</v>
      </c>
      <c r="E22" s="138">
        <v>67</v>
      </c>
      <c r="F22" s="30">
        <v>76</v>
      </c>
      <c r="G22" s="30">
        <v>51</v>
      </c>
      <c r="H22" s="30">
        <v>71</v>
      </c>
      <c r="I22" s="30">
        <v>53</v>
      </c>
      <c r="J22" s="30">
        <v>66</v>
      </c>
      <c r="K22" s="30">
        <v>69</v>
      </c>
      <c r="L22" s="30">
        <v>100</v>
      </c>
      <c r="M22" s="30">
        <v>93</v>
      </c>
      <c r="N22" s="30">
        <v>89</v>
      </c>
      <c r="O22" s="15">
        <f t="shared" si="0"/>
        <v>735</v>
      </c>
      <c r="P22" s="33">
        <f t="shared" si="1"/>
        <v>73.5</v>
      </c>
      <c r="Q22" s="15">
        <f t="shared" si="2"/>
        <v>37</v>
      </c>
      <c r="R22" s="15"/>
      <c r="S22" s="15"/>
      <c r="T22"/>
    </row>
    <row r="23" spans="1:20" ht="20.100000000000001" customHeight="1" x14ac:dyDescent="0.25">
      <c r="A23" s="137">
        <v>20</v>
      </c>
      <c r="B23" s="142"/>
      <c r="C23" s="180">
        <v>17</v>
      </c>
      <c r="D23" s="180" t="s">
        <v>23</v>
      </c>
      <c r="E23" s="138">
        <v>87</v>
      </c>
      <c r="F23" s="30">
        <v>96</v>
      </c>
      <c r="G23" s="30">
        <v>56</v>
      </c>
      <c r="H23" s="30">
        <v>82</v>
      </c>
      <c r="I23" s="30">
        <v>73</v>
      </c>
      <c r="J23" s="30">
        <v>83</v>
      </c>
      <c r="K23" s="30">
        <v>85</v>
      </c>
      <c r="L23" s="30">
        <v>99</v>
      </c>
      <c r="M23" s="30">
        <v>97</v>
      </c>
      <c r="N23" s="30">
        <v>96</v>
      </c>
      <c r="O23" s="15">
        <f t="shared" si="0"/>
        <v>854</v>
      </c>
      <c r="P23" s="33">
        <f t="shared" si="1"/>
        <v>85.4</v>
      </c>
      <c r="Q23" s="15">
        <f t="shared" si="2"/>
        <v>13</v>
      </c>
      <c r="R23" s="15"/>
      <c r="S23" s="15"/>
      <c r="T23"/>
    </row>
    <row r="24" spans="1:20" ht="20.100000000000001" customHeight="1" x14ac:dyDescent="0.25">
      <c r="A24" s="137">
        <v>21</v>
      </c>
      <c r="B24" s="142"/>
      <c r="C24" s="180">
        <v>16</v>
      </c>
      <c r="D24" s="180" t="s">
        <v>23</v>
      </c>
      <c r="E24" s="138">
        <v>83</v>
      </c>
      <c r="F24" s="30">
        <v>82</v>
      </c>
      <c r="G24" s="30">
        <v>42</v>
      </c>
      <c r="H24" s="30">
        <v>73</v>
      </c>
      <c r="I24" s="30">
        <v>63</v>
      </c>
      <c r="J24" s="30">
        <v>76</v>
      </c>
      <c r="K24" s="30">
        <v>70</v>
      </c>
      <c r="L24" s="30">
        <v>88</v>
      </c>
      <c r="M24" s="30">
        <v>95</v>
      </c>
      <c r="N24" s="30">
        <v>90</v>
      </c>
      <c r="O24" s="15">
        <f t="shared" si="0"/>
        <v>762</v>
      </c>
      <c r="P24" s="33">
        <f t="shared" si="1"/>
        <v>76.2</v>
      </c>
      <c r="Q24" s="15">
        <f t="shared" si="2"/>
        <v>32</v>
      </c>
      <c r="R24" s="15"/>
      <c r="S24" s="15"/>
      <c r="T24"/>
    </row>
    <row r="25" spans="1:20" ht="20.100000000000001" customHeight="1" x14ac:dyDescent="0.25">
      <c r="A25" s="121">
        <v>22</v>
      </c>
      <c r="B25" s="142"/>
      <c r="C25" s="180">
        <v>16</v>
      </c>
      <c r="D25" s="180" t="s">
        <v>23</v>
      </c>
      <c r="E25" s="138">
        <v>71</v>
      </c>
      <c r="F25" s="30">
        <v>74</v>
      </c>
      <c r="G25" s="30">
        <v>50</v>
      </c>
      <c r="H25" s="30">
        <v>65</v>
      </c>
      <c r="I25" s="30">
        <v>54</v>
      </c>
      <c r="J25" s="30">
        <v>75</v>
      </c>
      <c r="K25" s="30">
        <v>57</v>
      </c>
      <c r="L25" s="30">
        <v>97</v>
      </c>
      <c r="M25" s="30">
        <v>92</v>
      </c>
      <c r="N25" s="30">
        <v>90</v>
      </c>
      <c r="O25" s="15">
        <f t="shared" si="0"/>
        <v>725</v>
      </c>
      <c r="P25" s="33">
        <f t="shared" si="1"/>
        <v>72.5</v>
      </c>
      <c r="Q25" s="15">
        <f t="shared" si="2"/>
        <v>40</v>
      </c>
      <c r="R25" s="15"/>
      <c r="S25" s="15"/>
      <c r="T25"/>
    </row>
    <row r="26" spans="1:20" ht="20.100000000000001" customHeight="1" x14ac:dyDescent="0.25">
      <c r="A26" s="121">
        <v>23</v>
      </c>
      <c r="B26" s="142"/>
      <c r="C26" s="180">
        <v>17</v>
      </c>
      <c r="D26" s="180" t="s">
        <v>23</v>
      </c>
      <c r="E26" s="138">
        <v>87</v>
      </c>
      <c r="F26" s="30">
        <v>80</v>
      </c>
      <c r="G26" s="30">
        <v>62</v>
      </c>
      <c r="H26" s="30">
        <v>75</v>
      </c>
      <c r="I26" s="30">
        <v>70</v>
      </c>
      <c r="J26" s="30">
        <v>85</v>
      </c>
      <c r="K26" s="30">
        <v>70</v>
      </c>
      <c r="L26" s="30">
        <v>93</v>
      </c>
      <c r="M26" s="30">
        <v>95</v>
      </c>
      <c r="N26" s="30">
        <v>99</v>
      </c>
      <c r="O26" s="15">
        <f t="shared" si="0"/>
        <v>816</v>
      </c>
      <c r="P26" s="33">
        <f t="shared" si="1"/>
        <v>81.599999999999994</v>
      </c>
      <c r="Q26" s="15">
        <f t="shared" si="2"/>
        <v>19</v>
      </c>
      <c r="R26" s="15"/>
      <c r="S26" s="15"/>
      <c r="T26"/>
    </row>
    <row r="27" spans="1:20" ht="20.100000000000001" customHeight="1" x14ac:dyDescent="0.25">
      <c r="A27" s="137">
        <v>24</v>
      </c>
      <c r="B27" s="142"/>
      <c r="C27" s="180">
        <v>17</v>
      </c>
      <c r="D27" s="180" t="s">
        <v>23</v>
      </c>
      <c r="E27" s="138">
        <v>85</v>
      </c>
      <c r="F27" s="30">
        <v>73</v>
      </c>
      <c r="G27" s="31">
        <v>51</v>
      </c>
      <c r="H27" s="31">
        <v>77</v>
      </c>
      <c r="I27" s="30">
        <v>77</v>
      </c>
      <c r="J27" s="31">
        <v>89</v>
      </c>
      <c r="K27" s="30">
        <v>85</v>
      </c>
      <c r="L27" s="30">
        <v>79</v>
      </c>
      <c r="M27" s="30">
        <v>95</v>
      </c>
      <c r="N27" s="30">
        <v>92</v>
      </c>
      <c r="O27" s="15">
        <f t="shared" si="0"/>
        <v>803</v>
      </c>
      <c r="P27" s="33">
        <f t="shared" si="1"/>
        <v>80.3</v>
      </c>
      <c r="Q27" s="15">
        <f t="shared" si="2"/>
        <v>24</v>
      </c>
      <c r="R27" s="15"/>
      <c r="S27" s="15"/>
      <c r="T27"/>
    </row>
    <row r="28" spans="1:20" ht="20.100000000000001" customHeight="1" x14ac:dyDescent="0.25">
      <c r="A28" s="121">
        <v>25</v>
      </c>
      <c r="B28" s="181"/>
      <c r="C28" s="182">
        <v>17</v>
      </c>
      <c r="D28" s="182" t="s">
        <v>23</v>
      </c>
      <c r="E28" s="138">
        <v>83</v>
      </c>
      <c r="F28" s="31">
        <v>92</v>
      </c>
      <c r="G28" s="31">
        <v>91</v>
      </c>
      <c r="H28" s="30">
        <v>97</v>
      </c>
      <c r="I28" s="31">
        <v>100</v>
      </c>
      <c r="J28" s="30">
        <v>100</v>
      </c>
      <c r="K28" s="30">
        <v>91</v>
      </c>
      <c r="L28" s="30">
        <v>100</v>
      </c>
      <c r="M28" s="30">
        <v>100</v>
      </c>
      <c r="N28" s="30">
        <v>100</v>
      </c>
      <c r="O28" s="15">
        <f t="shared" si="0"/>
        <v>954</v>
      </c>
      <c r="P28" s="33">
        <f t="shared" si="1"/>
        <v>95.4</v>
      </c>
      <c r="Q28" s="15">
        <f t="shared" si="2"/>
        <v>3</v>
      </c>
      <c r="R28" s="15"/>
      <c r="S28" s="15"/>
      <c r="T28"/>
    </row>
    <row r="29" spans="1:20" ht="20.100000000000001" customHeight="1" x14ac:dyDescent="0.25">
      <c r="A29" s="137">
        <v>26</v>
      </c>
      <c r="B29" s="142"/>
      <c r="C29" s="180">
        <v>18</v>
      </c>
      <c r="D29" s="180" t="s">
        <v>20</v>
      </c>
      <c r="E29" s="138">
        <v>77</v>
      </c>
      <c r="F29" s="30">
        <v>73</v>
      </c>
      <c r="G29" s="30">
        <v>48</v>
      </c>
      <c r="H29" s="30">
        <v>59</v>
      </c>
      <c r="I29" s="30">
        <v>50</v>
      </c>
      <c r="J29" s="30">
        <v>75</v>
      </c>
      <c r="K29" s="30">
        <v>67</v>
      </c>
      <c r="L29" s="30">
        <v>99</v>
      </c>
      <c r="M29" s="30">
        <v>97</v>
      </c>
      <c r="N29" s="30">
        <v>90</v>
      </c>
      <c r="O29" s="15">
        <f t="shared" si="0"/>
        <v>735</v>
      </c>
      <c r="P29" s="33">
        <f t="shared" si="1"/>
        <v>73.5</v>
      </c>
      <c r="Q29" s="15">
        <f t="shared" si="2"/>
        <v>37</v>
      </c>
      <c r="R29" s="15"/>
      <c r="S29" s="15"/>
      <c r="T29"/>
    </row>
    <row r="30" spans="1:20" ht="20.100000000000001" customHeight="1" x14ac:dyDescent="0.25">
      <c r="A30" s="137">
        <v>27</v>
      </c>
      <c r="B30" s="142"/>
      <c r="C30" s="180">
        <v>18</v>
      </c>
      <c r="D30" s="180" t="s">
        <v>23</v>
      </c>
      <c r="E30" s="138">
        <v>88</v>
      </c>
      <c r="F30" s="30">
        <v>80</v>
      </c>
      <c r="G30" s="31">
        <v>50</v>
      </c>
      <c r="H30" s="30">
        <v>74</v>
      </c>
      <c r="I30" s="30">
        <v>69</v>
      </c>
      <c r="J30" s="30">
        <v>89</v>
      </c>
      <c r="K30" s="30">
        <v>74</v>
      </c>
      <c r="L30" s="30">
        <v>98</v>
      </c>
      <c r="M30" s="30">
        <v>96</v>
      </c>
      <c r="N30" s="30">
        <v>92</v>
      </c>
      <c r="O30" s="15">
        <f t="shared" si="0"/>
        <v>810</v>
      </c>
      <c r="P30" s="33">
        <f t="shared" si="1"/>
        <v>81</v>
      </c>
      <c r="Q30" s="15">
        <f t="shared" si="2"/>
        <v>23</v>
      </c>
      <c r="R30" s="15"/>
      <c r="S30" s="15"/>
      <c r="T30"/>
    </row>
    <row r="31" spans="1:20" ht="20.100000000000001" customHeight="1" x14ac:dyDescent="0.25">
      <c r="A31" s="137">
        <v>28</v>
      </c>
      <c r="B31" s="142"/>
      <c r="C31" s="180">
        <v>17</v>
      </c>
      <c r="D31" s="180" t="s">
        <v>23</v>
      </c>
      <c r="E31" s="138">
        <v>79</v>
      </c>
      <c r="F31" s="30">
        <v>74</v>
      </c>
      <c r="G31" s="30">
        <v>50</v>
      </c>
      <c r="H31" s="30">
        <v>76</v>
      </c>
      <c r="I31" s="30">
        <v>71</v>
      </c>
      <c r="J31" s="30">
        <v>80</v>
      </c>
      <c r="K31" s="30">
        <v>78</v>
      </c>
      <c r="L31" s="30">
        <v>94</v>
      </c>
      <c r="M31" s="30">
        <v>99</v>
      </c>
      <c r="N31" s="30">
        <v>81</v>
      </c>
      <c r="O31" s="15">
        <f t="shared" si="0"/>
        <v>782</v>
      </c>
      <c r="P31" s="33">
        <f t="shared" si="1"/>
        <v>78.2</v>
      </c>
      <c r="Q31" s="15">
        <f t="shared" si="2"/>
        <v>26</v>
      </c>
      <c r="R31" s="15"/>
      <c r="S31" s="15"/>
      <c r="T31"/>
    </row>
    <row r="32" spans="1:20" ht="20.100000000000001" customHeight="1" x14ac:dyDescent="0.25">
      <c r="A32" s="121">
        <v>29</v>
      </c>
      <c r="B32" s="142"/>
      <c r="C32" s="180">
        <v>17</v>
      </c>
      <c r="D32" s="180" t="s">
        <v>23</v>
      </c>
      <c r="E32" s="138">
        <v>84</v>
      </c>
      <c r="F32" s="30">
        <v>76</v>
      </c>
      <c r="G32" s="30">
        <v>77</v>
      </c>
      <c r="H32" s="30">
        <v>81</v>
      </c>
      <c r="I32" s="30">
        <v>79</v>
      </c>
      <c r="J32" s="30">
        <v>94</v>
      </c>
      <c r="K32" s="30">
        <v>74</v>
      </c>
      <c r="L32" s="30">
        <v>97</v>
      </c>
      <c r="M32" s="30">
        <v>87</v>
      </c>
      <c r="N32" s="30">
        <v>93</v>
      </c>
      <c r="O32" s="15">
        <f t="shared" si="0"/>
        <v>842</v>
      </c>
      <c r="P32" s="33">
        <f t="shared" si="1"/>
        <v>84.2</v>
      </c>
      <c r="Q32" s="15">
        <f t="shared" si="2"/>
        <v>14</v>
      </c>
      <c r="R32" s="15"/>
      <c r="S32" s="15"/>
      <c r="T32"/>
    </row>
    <row r="33" spans="1:20" ht="20.100000000000001" customHeight="1" x14ac:dyDescent="0.25">
      <c r="A33" s="137">
        <v>30</v>
      </c>
      <c r="B33" s="142"/>
      <c r="C33" s="180">
        <v>18</v>
      </c>
      <c r="D33" s="180" t="s">
        <v>23</v>
      </c>
      <c r="E33" s="138">
        <v>67</v>
      </c>
      <c r="F33" s="31">
        <v>70</v>
      </c>
      <c r="G33" s="31">
        <v>74</v>
      </c>
      <c r="H33" s="31">
        <v>64</v>
      </c>
      <c r="I33" s="30">
        <v>74</v>
      </c>
      <c r="J33" s="30">
        <v>82</v>
      </c>
      <c r="K33" s="30">
        <v>62</v>
      </c>
      <c r="L33" s="30">
        <v>98</v>
      </c>
      <c r="M33" s="30">
        <v>84</v>
      </c>
      <c r="N33" s="31">
        <v>87</v>
      </c>
      <c r="O33" s="15">
        <f t="shared" si="0"/>
        <v>762</v>
      </c>
      <c r="P33" s="33">
        <f t="shared" si="1"/>
        <v>76.2</v>
      </c>
      <c r="Q33" s="15">
        <f t="shared" si="2"/>
        <v>32</v>
      </c>
      <c r="R33" s="15"/>
      <c r="S33" s="15"/>
      <c r="T33"/>
    </row>
    <row r="34" spans="1:20" ht="20.100000000000001" customHeight="1" x14ac:dyDescent="0.25">
      <c r="A34" s="121">
        <v>31</v>
      </c>
      <c r="B34" s="159"/>
      <c r="C34" s="188">
        <v>17</v>
      </c>
      <c r="D34" s="188" t="s">
        <v>23</v>
      </c>
      <c r="E34" s="138">
        <v>91</v>
      </c>
      <c r="F34" s="30">
        <v>95</v>
      </c>
      <c r="G34" s="31">
        <v>86</v>
      </c>
      <c r="H34" s="30">
        <v>100</v>
      </c>
      <c r="I34" s="30">
        <v>100</v>
      </c>
      <c r="J34" s="30">
        <v>100</v>
      </c>
      <c r="K34" s="30">
        <v>95</v>
      </c>
      <c r="L34" s="30">
        <v>99</v>
      </c>
      <c r="M34" s="30">
        <v>99</v>
      </c>
      <c r="N34" s="30">
        <v>100</v>
      </c>
      <c r="O34" s="15">
        <f t="shared" si="0"/>
        <v>965</v>
      </c>
      <c r="P34" s="33">
        <f t="shared" si="1"/>
        <v>96.5</v>
      </c>
      <c r="Q34" s="15">
        <f t="shared" si="2"/>
        <v>1</v>
      </c>
      <c r="R34" s="15"/>
      <c r="S34" s="15"/>
      <c r="T34"/>
    </row>
    <row r="35" spans="1:20" ht="20.100000000000001" customHeight="1" x14ac:dyDescent="0.25">
      <c r="A35" s="137">
        <v>32</v>
      </c>
      <c r="B35" s="142"/>
      <c r="C35" s="180">
        <v>17</v>
      </c>
      <c r="D35" s="180" t="s">
        <v>23</v>
      </c>
      <c r="E35" s="192">
        <v>77</v>
      </c>
      <c r="F35" s="134">
        <v>79</v>
      </c>
      <c r="G35" s="134">
        <v>50</v>
      </c>
      <c r="H35" s="134">
        <v>64</v>
      </c>
      <c r="I35" s="134">
        <v>63</v>
      </c>
      <c r="J35" s="134">
        <v>79</v>
      </c>
      <c r="K35" s="134">
        <v>71</v>
      </c>
      <c r="L35" s="134">
        <v>91</v>
      </c>
      <c r="M35" s="134">
        <v>92</v>
      </c>
      <c r="N35" s="134">
        <v>95</v>
      </c>
      <c r="O35" s="15">
        <f t="shared" si="0"/>
        <v>761</v>
      </c>
      <c r="P35" s="33">
        <f t="shared" si="1"/>
        <v>76.099999999999994</v>
      </c>
      <c r="Q35" s="15">
        <f t="shared" si="2"/>
        <v>34</v>
      </c>
      <c r="R35" s="134"/>
      <c r="S35" s="134"/>
      <c r="T35"/>
    </row>
    <row r="36" spans="1:20" ht="20.100000000000001" customHeight="1" x14ac:dyDescent="0.25">
      <c r="A36" s="121">
        <v>33</v>
      </c>
      <c r="B36" s="142"/>
      <c r="C36" s="180">
        <v>18</v>
      </c>
      <c r="D36" s="180" t="s">
        <v>23</v>
      </c>
      <c r="E36" s="192">
        <v>75</v>
      </c>
      <c r="F36" s="134">
        <v>77</v>
      </c>
      <c r="G36" s="134">
        <v>47</v>
      </c>
      <c r="H36" s="134">
        <v>70</v>
      </c>
      <c r="I36" s="134">
        <v>64</v>
      </c>
      <c r="J36" s="134">
        <v>91</v>
      </c>
      <c r="K36" s="134">
        <v>75</v>
      </c>
      <c r="L36" s="134">
        <v>94</v>
      </c>
      <c r="M36" s="134">
        <v>86</v>
      </c>
      <c r="N36" s="134">
        <v>89</v>
      </c>
      <c r="O36" s="15">
        <f t="shared" si="0"/>
        <v>768</v>
      </c>
      <c r="P36" s="33">
        <f t="shared" si="1"/>
        <v>76.8</v>
      </c>
      <c r="Q36" s="15">
        <f t="shared" si="2"/>
        <v>28</v>
      </c>
      <c r="R36" s="134"/>
      <c r="S36" s="134"/>
      <c r="T36"/>
    </row>
    <row r="37" spans="1:20" ht="20.100000000000001" customHeight="1" x14ac:dyDescent="0.25">
      <c r="A37" s="137">
        <v>34</v>
      </c>
      <c r="B37" s="181"/>
      <c r="C37" s="182">
        <v>17</v>
      </c>
      <c r="D37" s="182" t="s">
        <v>23</v>
      </c>
      <c r="E37" s="192">
        <v>73</v>
      </c>
      <c r="F37" s="134">
        <v>78</v>
      </c>
      <c r="G37" s="134">
        <v>69</v>
      </c>
      <c r="H37" s="134">
        <v>84</v>
      </c>
      <c r="I37" s="134">
        <v>77</v>
      </c>
      <c r="J37" s="134">
        <v>87</v>
      </c>
      <c r="K37" s="134">
        <v>76</v>
      </c>
      <c r="L37" s="134">
        <v>100</v>
      </c>
      <c r="M37" s="134">
        <v>91</v>
      </c>
      <c r="N37" s="134">
        <v>96</v>
      </c>
      <c r="O37" s="15">
        <f t="shared" si="0"/>
        <v>831</v>
      </c>
      <c r="P37" s="33">
        <f t="shared" si="1"/>
        <v>83.1</v>
      </c>
      <c r="Q37" s="15">
        <f t="shared" si="2"/>
        <v>16</v>
      </c>
      <c r="R37" s="134"/>
      <c r="S37" s="134"/>
      <c r="T37"/>
    </row>
    <row r="38" spans="1:20" ht="20.100000000000001" customHeight="1" x14ac:dyDescent="0.25">
      <c r="A38" s="121">
        <v>35</v>
      </c>
      <c r="B38" s="142"/>
      <c r="C38" s="180">
        <v>18</v>
      </c>
      <c r="D38" s="180" t="s">
        <v>23</v>
      </c>
      <c r="E38" s="192">
        <v>78</v>
      </c>
      <c r="F38" s="134">
        <v>78</v>
      </c>
      <c r="G38" s="134">
        <v>43</v>
      </c>
      <c r="H38" s="134">
        <v>61</v>
      </c>
      <c r="I38" s="134">
        <v>67</v>
      </c>
      <c r="J38" s="134">
        <v>77</v>
      </c>
      <c r="K38" s="134">
        <v>68</v>
      </c>
      <c r="L38" s="134">
        <v>77</v>
      </c>
      <c r="M38" s="134">
        <v>89</v>
      </c>
      <c r="N38" s="134">
        <v>87</v>
      </c>
      <c r="O38" s="15">
        <f t="shared" si="0"/>
        <v>725</v>
      </c>
      <c r="P38" s="33">
        <f t="shared" si="1"/>
        <v>72.5</v>
      </c>
      <c r="Q38" s="15">
        <f t="shared" si="2"/>
        <v>40</v>
      </c>
      <c r="R38" s="134"/>
      <c r="S38" s="134"/>
      <c r="T38"/>
    </row>
    <row r="39" spans="1:20" ht="20.100000000000001" customHeight="1" x14ac:dyDescent="0.25">
      <c r="A39" s="137">
        <v>36</v>
      </c>
      <c r="B39" s="142"/>
      <c r="C39" s="180">
        <v>17</v>
      </c>
      <c r="D39" s="180" t="s">
        <v>20</v>
      </c>
      <c r="E39" s="192">
        <v>66</v>
      </c>
      <c r="F39" s="134">
        <v>67</v>
      </c>
      <c r="G39" s="134">
        <v>50</v>
      </c>
      <c r="H39" s="134">
        <v>77</v>
      </c>
      <c r="I39" s="134">
        <v>64</v>
      </c>
      <c r="J39" s="134">
        <v>69</v>
      </c>
      <c r="K39" s="134">
        <v>62</v>
      </c>
      <c r="L39" s="134">
        <v>84</v>
      </c>
      <c r="M39" s="134">
        <v>89</v>
      </c>
      <c r="N39" s="134">
        <v>90</v>
      </c>
      <c r="O39" s="15">
        <f t="shared" si="0"/>
        <v>718</v>
      </c>
      <c r="P39" s="33">
        <f t="shared" si="1"/>
        <v>71.8</v>
      </c>
      <c r="Q39" s="15">
        <f t="shared" si="2"/>
        <v>43</v>
      </c>
      <c r="R39" s="134"/>
      <c r="S39" s="134"/>
      <c r="T39"/>
    </row>
    <row r="40" spans="1:20" ht="20.100000000000001" customHeight="1" x14ac:dyDescent="0.25">
      <c r="A40" s="121">
        <v>37</v>
      </c>
      <c r="B40" s="142"/>
      <c r="C40" s="180">
        <v>18</v>
      </c>
      <c r="D40" s="180" t="s">
        <v>23</v>
      </c>
      <c r="E40" s="192">
        <v>90</v>
      </c>
      <c r="F40" s="134">
        <v>92</v>
      </c>
      <c r="G40" s="134">
        <v>81</v>
      </c>
      <c r="H40" s="134">
        <v>94</v>
      </c>
      <c r="I40" s="134">
        <v>94</v>
      </c>
      <c r="J40" s="134">
        <v>100</v>
      </c>
      <c r="K40" s="134">
        <v>94</v>
      </c>
      <c r="L40" s="134">
        <v>97</v>
      </c>
      <c r="M40" s="134">
        <v>100</v>
      </c>
      <c r="N40" s="134">
        <v>100</v>
      </c>
      <c r="O40" s="15">
        <f t="shared" si="0"/>
        <v>942</v>
      </c>
      <c r="P40" s="33">
        <f t="shared" si="1"/>
        <v>94.2</v>
      </c>
      <c r="Q40" s="15">
        <f t="shared" si="2"/>
        <v>4</v>
      </c>
      <c r="R40" s="134"/>
      <c r="S40" s="134"/>
      <c r="T40"/>
    </row>
    <row r="41" spans="1:20" ht="20.100000000000001" customHeight="1" x14ac:dyDescent="0.25">
      <c r="A41" s="137">
        <v>38</v>
      </c>
      <c r="B41" s="142"/>
      <c r="C41" s="180">
        <v>17</v>
      </c>
      <c r="D41" s="180" t="s">
        <v>20</v>
      </c>
      <c r="E41" s="192">
        <v>74</v>
      </c>
      <c r="F41" s="134">
        <v>85</v>
      </c>
      <c r="G41" s="134">
        <v>51</v>
      </c>
      <c r="H41" s="134">
        <v>69</v>
      </c>
      <c r="I41" s="134">
        <v>52</v>
      </c>
      <c r="J41" s="134">
        <v>70</v>
      </c>
      <c r="K41" s="134">
        <v>61</v>
      </c>
      <c r="L41" s="134">
        <v>96</v>
      </c>
      <c r="M41" s="134">
        <v>97</v>
      </c>
      <c r="N41" s="134">
        <v>90</v>
      </c>
      <c r="O41" s="15">
        <f t="shared" si="0"/>
        <v>745</v>
      </c>
      <c r="P41" s="33">
        <f t="shared" si="1"/>
        <v>74.5</v>
      </c>
      <c r="Q41" s="15">
        <f t="shared" si="2"/>
        <v>35</v>
      </c>
      <c r="R41" s="134"/>
      <c r="S41" s="134"/>
      <c r="T41"/>
    </row>
    <row r="42" spans="1:20" ht="20.100000000000001" customHeight="1" x14ac:dyDescent="0.25">
      <c r="A42" s="121">
        <v>39</v>
      </c>
      <c r="B42" s="142"/>
      <c r="C42" s="180">
        <v>18</v>
      </c>
      <c r="D42" s="180" t="s">
        <v>23</v>
      </c>
      <c r="E42" s="192">
        <v>84</v>
      </c>
      <c r="F42" s="134">
        <v>79</v>
      </c>
      <c r="G42" s="134">
        <v>73</v>
      </c>
      <c r="H42" s="134">
        <v>86</v>
      </c>
      <c r="I42" s="134">
        <v>78</v>
      </c>
      <c r="J42" s="134">
        <v>96</v>
      </c>
      <c r="K42" s="134">
        <v>85</v>
      </c>
      <c r="L42" s="134">
        <v>95</v>
      </c>
      <c r="M42" s="134">
        <v>99</v>
      </c>
      <c r="N42" s="134">
        <v>93</v>
      </c>
      <c r="O42" s="15">
        <f t="shared" si="0"/>
        <v>868</v>
      </c>
      <c r="P42" s="33">
        <f t="shared" si="1"/>
        <v>86.8</v>
      </c>
      <c r="Q42" s="15">
        <f t="shared" si="2"/>
        <v>11</v>
      </c>
      <c r="R42" s="134"/>
      <c r="S42" s="134"/>
      <c r="T42"/>
    </row>
    <row r="43" spans="1:20" ht="20.100000000000001" customHeight="1" x14ac:dyDescent="0.25">
      <c r="A43" s="137">
        <v>40</v>
      </c>
      <c r="B43" s="142"/>
      <c r="C43" s="180">
        <v>17</v>
      </c>
      <c r="D43" s="180" t="s">
        <v>20</v>
      </c>
      <c r="E43" s="192">
        <v>73</v>
      </c>
      <c r="F43" s="134">
        <v>88</v>
      </c>
      <c r="G43" s="134">
        <v>53</v>
      </c>
      <c r="H43" s="134">
        <v>78</v>
      </c>
      <c r="I43" s="134">
        <v>58</v>
      </c>
      <c r="J43" s="134">
        <v>75</v>
      </c>
      <c r="K43" s="134">
        <v>78</v>
      </c>
      <c r="L43" s="134">
        <v>85</v>
      </c>
      <c r="M43" s="134">
        <v>99</v>
      </c>
      <c r="N43" s="134">
        <v>88</v>
      </c>
      <c r="O43" s="15">
        <f t="shared" si="0"/>
        <v>775</v>
      </c>
      <c r="P43" s="33">
        <f t="shared" si="1"/>
        <v>77.5</v>
      </c>
      <c r="Q43" s="15">
        <f t="shared" si="2"/>
        <v>27</v>
      </c>
      <c r="R43" s="134"/>
      <c r="S43" s="134"/>
      <c r="T43"/>
    </row>
    <row r="44" spans="1:20" ht="20.100000000000001" customHeight="1" x14ac:dyDescent="0.25">
      <c r="A44" s="121">
        <v>41</v>
      </c>
      <c r="B44" s="142"/>
      <c r="C44" s="180">
        <v>17</v>
      </c>
      <c r="D44" s="180" t="s">
        <v>23</v>
      </c>
      <c r="E44" s="192">
        <v>85</v>
      </c>
      <c r="F44" s="134">
        <v>81</v>
      </c>
      <c r="G44" s="134">
        <v>91</v>
      </c>
      <c r="H44" s="134">
        <v>95</v>
      </c>
      <c r="I44" s="134">
        <v>92</v>
      </c>
      <c r="J44" s="134">
        <v>92</v>
      </c>
      <c r="K44" s="134">
        <v>87</v>
      </c>
      <c r="L44" s="134">
        <v>95</v>
      </c>
      <c r="M44" s="134">
        <v>98</v>
      </c>
      <c r="N44" s="134">
        <v>96</v>
      </c>
      <c r="O44" s="15">
        <f t="shared" si="0"/>
        <v>912</v>
      </c>
      <c r="P44" s="33">
        <f t="shared" si="1"/>
        <v>91.2</v>
      </c>
      <c r="Q44" s="15">
        <f t="shared" si="2"/>
        <v>7</v>
      </c>
      <c r="R44" s="134"/>
      <c r="S44" s="134"/>
      <c r="T44"/>
    </row>
    <row r="45" spans="1:20" ht="20.100000000000001" customHeight="1" x14ac:dyDescent="0.25">
      <c r="A45" s="137">
        <v>42</v>
      </c>
      <c r="B45" s="142"/>
      <c r="C45" s="180">
        <v>18</v>
      </c>
      <c r="D45" s="180" t="s">
        <v>23</v>
      </c>
      <c r="E45" s="192">
        <v>69</v>
      </c>
      <c r="F45" s="134">
        <v>70</v>
      </c>
      <c r="G45" s="134">
        <v>50</v>
      </c>
      <c r="H45" s="134">
        <v>75</v>
      </c>
      <c r="I45" s="134">
        <v>77</v>
      </c>
      <c r="J45" s="134">
        <v>85</v>
      </c>
      <c r="K45" s="134">
        <v>69</v>
      </c>
      <c r="L45" s="134">
        <v>85</v>
      </c>
      <c r="M45" s="134">
        <v>94</v>
      </c>
      <c r="N45" s="134">
        <v>90</v>
      </c>
      <c r="O45" s="15">
        <f t="shared" si="0"/>
        <v>764</v>
      </c>
      <c r="P45" s="33">
        <f t="shared" si="1"/>
        <v>76.400000000000006</v>
      </c>
      <c r="Q45" s="15">
        <f t="shared" si="2"/>
        <v>30</v>
      </c>
      <c r="R45" s="134"/>
      <c r="S45" s="134"/>
      <c r="T45"/>
    </row>
    <row r="46" spans="1:20" ht="20.100000000000001" customHeight="1" x14ac:dyDescent="0.25">
      <c r="A46" s="121">
        <v>43</v>
      </c>
      <c r="B46" s="142"/>
      <c r="C46" s="180">
        <v>17</v>
      </c>
      <c r="D46" s="180" t="s">
        <v>20</v>
      </c>
      <c r="E46" s="192">
        <v>84</v>
      </c>
      <c r="F46" s="134">
        <v>94</v>
      </c>
      <c r="G46" s="134">
        <v>93</v>
      </c>
      <c r="H46" s="134">
        <v>99</v>
      </c>
      <c r="I46" s="134">
        <v>100</v>
      </c>
      <c r="J46" s="134">
        <v>100</v>
      </c>
      <c r="K46" s="134">
        <v>92</v>
      </c>
      <c r="L46" s="134">
        <v>99</v>
      </c>
      <c r="M46" s="134">
        <v>100</v>
      </c>
      <c r="N46" s="134">
        <v>100</v>
      </c>
      <c r="O46" s="15">
        <f t="shared" si="0"/>
        <v>961</v>
      </c>
      <c r="P46" s="33">
        <f t="shared" si="1"/>
        <v>96.1</v>
      </c>
      <c r="Q46" s="15">
        <f t="shared" si="2"/>
        <v>2</v>
      </c>
      <c r="R46" s="134"/>
      <c r="S46" s="134"/>
      <c r="T46"/>
    </row>
    <row r="47" spans="1:20" ht="20.100000000000001" customHeight="1" x14ac:dyDescent="0.25">
      <c r="A47" s="137">
        <v>44</v>
      </c>
      <c r="B47" s="142"/>
      <c r="C47" s="180">
        <v>17</v>
      </c>
      <c r="D47" s="180" t="s">
        <v>20</v>
      </c>
      <c r="E47" s="192">
        <v>87</v>
      </c>
      <c r="F47" s="134">
        <v>86</v>
      </c>
      <c r="G47" s="134">
        <v>87</v>
      </c>
      <c r="H47" s="134">
        <v>92</v>
      </c>
      <c r="I47" s="134">
        <v>86</v>
      </c>
      <c r="J47" s="134">
        <v>92</v>
      </c>
      <c r="K47" s="134">
        <v>90</v>
      </c>
      <c r="L47" s="134">
        <v>100</v>
      </c>
      <c r="M47" s="134">
        <v>97</v>
      </c>
      <c r="N47" s="134">
        <v>99</v>
      </c>
      <c r="O47" s="15">
        <f t="shared" si="0"/>
        <v>916</v>
      </c>
      <c r="P47" s="33">
        <f t="shared" si="1"/>
        <v>91.6</v>
      </c>
      <c r="Q47" s="15">
        <f t="shared" si="2"/>
        <v>6</v>
      </c>
      <c r="R47" s="134"/>
      <c r="S47" s="134"/>
      <c r="T47"/>
    </row>
    <row r="48" spans="1:20" ht="20.100000000000001" customHeight="1" x14ac:dyDescent="0.25">
      <c r="A48" s="121">
        <v>45</v>
      </c>
      <c r="B48" s="142"/>
      <c r="C48" s="180">
        <v>18</v>
      </c>
      <c r="D48" s="180" t="s">
        <v>20</v>
      </c>
      <c r="E48" s="192">
        <v>72</v>
      </c>
      <c r="F48" s="134">
        <v>94</v>
      </c>
      <c r="G48" s="134">
        <v>94</v>
      </c>
      <c r="H48" s="134">
        <v>91</v>
      </c>
      <c r="I48" s="134">
        <v>91</v>
      </c>
      <c r="J48" s="134">
        <v>97</v>
      </c>
      <c r="K48" s="134">
        <v>87</v>
      </c>
      <c r="L48" s="134">
        <v>99</v>
      </c>
      <c r="M48" s="134">
        <v>100</v>
      </c>
      <c r="N48" s="134">
        <v>99</v>
      </c>
      <c r="O48" s="15">
        <f t="shared" si="0"/>
        <v>924</v>
      </c>
      <c r="P48" s="33">
        <f t="shared" si="1"/>
        <v>92.4</v>
      </c>
      <c r="Q48" s="15">
        <f t="shared" si="2"/>
        <v>5</v>
      </c>
      <c r="R48" s="134"/>
      <c r="S48" s="134"/>
      <c r="T48"/>
    </row>
    <row r="49" spans="1:20" ht="20.100000000000001" customHeight="1" x14ac:dyDescent="0.25">
      <c r="A49" s="137">
        <v>46</v>
      </c>
      <c r="B49" s="69"/>
      <c r="C49" s="69"/>
      <c r="D49" s="69"/>
      <c r="E49" s="134"/>
      <c r="F49" s="134"/>
      <c r="G49" s="134"/>
      <c r="H49" s="134"/>
      <c r="I49" s="134"/>
      <c r="J49" s="134"/>
      <c r="K49" s="134"/>
      <c r="L49" s="134"/>
      <c r="M49" s="134"/>
      <c r="N49" s="134"/>
      <c r="O49" s="134"/>
      <c r="P49" s="134"/>
      <c r="Q49" s="134"/>
      <c r="R49" s="134"/>
      <c r="S49" s="134"/>
      <c r="T49"/>
    </row>
    <row r="50" spans="1:20" ht="20.100000000000001" customHeight="1" x14ac:dyDescent="0.25">
      <c r="A50" s="121">
        <v>47</v>
      </c>
      <c r="B50" s="20"/>
      <c r="C50" s="20"/>
      <c r="D50" s="20"/>
      <c r="E50" s="134"/>
      <c r="F50" s="134"/>
      <c r="G50" s="134"/>
      <c r="H50" s="134"/>
      <c r="I50" s="134"/>
      <c r="J50" s="134"/>
      <c r="K50" s="134"/>
      <c r="L50" s="134"/>
      <c r="M50" s="134"/>
      <c r="N50" s="134"/>
      <c r="O50" s="134"/>
      <c r="P50" s="134"/>
      <c r="Q50" s="134"/>
      <c r="R50" s="134"/>
      <c r="S50" s="134"/>
      <c r="T50"/>
    </row>
    <row r="51" spans="1:20" ht="20.100000000000001" customHeight="1" x14ac:dyDescent="0.25">
      <c r="A51" s="137">
        <v>48</v>
      </c>
      <c r="B51" s="20"/>
      <c r="C51" s="20"/>
      <c r="D51" s="20"/>
      <c r="E51" s="134"/>
      <c r="F51" s="134"/>
      <c r="G51" s="134"/>
      <c r="H51" s="134"/>
      <c r="I51" s="134"/>
      <c r="J51" s="134"/>
      <c r="K51" s="134"/>
      <c r="L51" s="134"/>
      <c r="M51" s="134"/>
      <c r="N51" s="134"/>
      <c r="O51" s="134"/>
      <c r="P51" s="134"/>
      <c r="Q51" s="134"/>
      <c r="R51" s="134"/>
      <c r="S51" s="134"/>
      <c r="T51"/>
    </row>
    <row r="52" spans="1:20" ht="20.100000000000001" customHeight="1" x14ac:dyDescent="0.25">
      <c r="A52" s="121">
        <v>49</v>
      </c>
      <c r="B52" s="20"/>
      <c r="C52" s="20"/>
      <c r="D52" s="20"/>
      <c r="E52" s="134"/>
      <c r="F52" s="134"/>
      <c r="G52" s="134"/>
      <c r="H52" s="134"/>
      <c r="I52" s="134"/>
      <c r="J52" s="134"/>
      <c r="K52" s="134"/>
      <c r="L52" s="134"/>
      <c r="M52" s="134"/>
      <c r="N52" s="134"/>
      <c r="O52" s="134"/>
      <c r="P52" s="134"/>
      <c r="Q52" s="134"/>
      <c r="R52" s="134"/>
      <c r="S52" s="134"/>
      <c r="T52"/>
    </row>
    <row r="53" spans="1:20" ht="20.100000000000001" customHeight="1" x14ac:dyDescent="0.25">
      <c r="A53" s="137">
        <v>50</v>
      </c>
      <c r="B53" s="20"/>
      <c r="C53" s="20"/>
      <c r="D53" s="20"/>
      <c r="E53" s="134"/>
      <c r="F53" s="134"/>
      <c r="G53" s="134"/>
      <c r="H53" s="134"/>
      <c r="I53" s="134"/>
      <c r="J53" s="134"/>
      <c r="K53" s="134"/>
      <c r="L53" s="134"/>
      <c r="M53" s="134"/>
      <c r="N53" s="134"/>
      <c r="O53" s="134"/>
      <c r="P53" s="134"/>
      <c r="Q53" s="134"/>
      <c r="R53" s="134"/>
      <c r="S53" s="134"/>
      <c r="T53"/>
    </row>
    <row r="54" spans="1:20" ht="20.100000000000001" customHeight="1" x14ac:dyDescent="0.25">
      <c r="A54" s="121">
        <v>51</v>
      </c>
      <c r="B54" s="20"/>
      <c r="C54" s="20"/>
      <c r="D54" s="20"/>
      <c r="E54" s="134"/>
      <c r="F54" s="134"/>
      <c r="G54" s="134"/>
      <c r="H54" s="134"/>
      <c r="I54" s="134"/>
      <c r="J54" s="134"/>
      <c r="K54" s="134"/>
      <c r="L54" s="134"/>
      <c r="M54" s="134"/>
      <c r="N54" s="134"/>
      <c r="O54" s="134"/>
      <c r="P54" s="134"/>
      <c r="Q54" s="134"/>
      <c r="R54" s="134"/>
      <c r="S54" s="134"/>
      <c r="T54"/>
    </row>
    <row r="55" spans="1:20" ht="20.100000000000001" customHeight="1" x14ac:dyDescent="0.25">
      <c r="A55" s="137">
        <v>52</v>
      </c>
      <c r="B55" s="20"/>
      <c r="C55" s="20"/>
      <c r="D55" s="20"/>
      <c r="E55" s="134"/>
      <c r="F55" s="134"/>
      <c r="G55" s="134"/>
      <c r="H55" s="134"/>
      <c r="I55" s="134"/>
      <c r="J55" s="134"/>
      <c r="K55" s="134"/>
      <c r="L55" s="134"/>
      <c r="M55" s="134"/>
      <c r="N55" s="134"/>
      <c r="O55" s="134"/>
      <c r="P55" s="15"/>
      <c r="Q55" s="15"/>
      <c r="R55" s="15"/>
      <c r="S55" s="15"/>
    </row>
    <row r="56" spans="1:20" ht="20.100000000000001" customHeight="1" x14ac:dyDescent="0.25">
      <c r="A56" s="121">
        <v>53</v>
      </c>
      <c r="B56" s="20"/>
      <c r="C56" s="20"/>
      <c r="D56" s="20"/>
      <c r="E56" s="134"/>
      <c r="F56" s="134"/>
      <c r="G56" s="134"/>
      <c r="H56" s="134"/>
      <c r="I56" s="134"/>
      <c r="J56" s="134"/>
      <c r="K56" s="134"/>
      <c r="L56" s="134"/>
      <c r="M56" s="134"/>
      <c r="N56" s="134"/>
      <c r="O56" s="134"/>
      <c r="P56" s="15"/>
      <c r="Q56" s="15"/>
      <c r="R56" s="15"/>
      <c r="S56" s="15"/>
    </row>
    <row r="57" spans="1:20" ht="20.100000000000001" customHeight="1" x14ac:dyDescent="0.25">
      <c r="A57" s="137">
        <v>54</v>
      </c>
      <c r="B57" s="20"/>
      <c r="C57" s="20"/>
      <c r="D57" s="20"/>
      <c r="E57" s="134"/>
      <c r="F57" s="134"/>
      <c r="G57" s="134"/>
      <c r="H57" s="134"/>
      <c r="I57" s="134"/>
      <c r="J57" s="134"/>
      <c r="K57" s="134"/>
      <c r="L57" s="134"/>
      <c r="M57" s="134"/>
      <c r="N57" s="134"/>
      <c r="O57" s="134"/>
      <c r="P57" s="15"/>
      <c r="Q57" s="15"/>
      <c r="R57" s="15"/>
      <c r="S57" s="15"/>
    </row>
    <row r="58" spans="1:20" ht="20.100000000000001" customHeight="1" x14ac:dyDescent="0.25">
      <c r="A58" s="121">
        <v>55</v>
      </c>
      <c r="B58" s="20"/>
      <c r="C58" s="20"/>
      <c r="D58" s="20"/>
      <c r="E58" s="134"/>
      <c r="F58" s="134"/>
      <c r="G58" s="134"/>
      <c r="H58" s="134"/>
      <c r="I58" s="134"/>
      <c r="J58" s="134"/>
      <c r="K58" s="134"/>
      <c r="L58" s="134"/>
      <c r="M58" s="134"/>
      <c r="N58" s="134"/>
      <c r="O58" s="134"/>
      <c r="P58" s="15"/>
      <c r="Q58" s="15"/>
      <c r="R58" s="15"/>
      <c r="S58" s="15"/>
    </row>
  </sheetData>
  <mergeCells count="2">
    <mergeCell ref="A1:T1"/>
    <mergeCell ref="A2:T2"/>
  </mergeCells>
  <conditionalFormatting sqref="E4:N48">
    <cfRule type="cellIs" dxfId="1" priority="1" operator="lessThan">
      <formula>50</formula>
    </cfRule>
  </conditionalFormatting>
  <pageMargins left="0.7" right="0.7" top="0.75" bottom="0.75" header="0.3" footer="0.3"/>
  <pageSetup paperSize="9" scale="75" fitToHeight="0" orientation="landscape" verticalDpi="0"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58"/>
  <sheetViews>
    <sheetView workbookViewId="0">
      <selection activeCell="B4" sqref="B4:B48"/>
    </sheetView>
  </sheetViews>
  <sheetFormatPr defaultRowHeight="15" x14ac:dyDescent="0.25"/>
  <cols>
    <col min="1" max="1" width="6.7109375" style="14" customWidth="1"/>
    <col min="2" max="2" width="35.140625" bestFit="1" customWidth="1"/>
    <col min="3" max="3" width="4.7109375" customWidth="1"/>
    <col min="4" max="4" width="4.140625" customWidth="1"/>
    <col min="5" max="15" width="7.7109375" customWidth="1"/>
    <col min="16" max="20" width="7.7109375" style="14" customWidth="1"/>
  </cols>
  <sheetData>
    <row r="1" spans="1:20" ht="20.25" x14ac:dyDescent="0.25">
      <c r="A1" s="272" t="s">
        <v>66</v>
      </c>
      <c r="B1" s="273"/>
      <c r="C1" s="273"/>
      <c r="D1" s="273"/>
      <c r="E1" s="273"/>
      <c r="F1" s="273"/>
      <c r="G1" s="273"/>
      <c r="H1" s="273"/>
      <c r="I1" s="273"/>
      <c r="J1" s="273"/>
      <c r="K1" s="273"/>
      <c r="L1" s="273"/>
      <c r="M1" s="273"/>
      <c r="N1" s="273"/>
      <c r="O1" s="273"/>
      <c r="P1" s="273"/>
      <c r="Q1" s="273"/>
      <c r="R1" s="273"/>
      <c r="S1" s="273"/>
      <c r="T1" s="274"/>
    </row>
    <row r="2" spans="1:20" ht="15.75" thickBot="1" x14ac:dyDescent="0.3">
      <c r="A2" s="275" t="s">
        <v>67</v>
      </c>
      <c r="B2" s="275"/>
      <c r="C2" s="275"/>
      <c r="D2" s="275"/>
      <c r="E2" s="275"/>
      <c r="F2" s="275"/>
      <c r="G2" s="275"/>
      <c r="H2" s="275"/>
      <c r="I2" s="275"/>
      <c r="J2" s="275"/>
      <c r="K2" s="275"/>
      <c r="L2" s="275"/>
      <c r="M2" s="275"/>
      <c r="N2" s="275"/>
      <c r="O2" s="275"/>
      <c r="P2" s="275"/>
      <c r="Q2" s="275"/>
      <c r="R2" s="275"/>
      <c r="S2" s="275"/>
      <c r="T2" s="275"/>
    </row>
    <row r="3" spans="1:20" ht="67.5" customHeight="1" thickBot="1" x14ac:dyDescent="0.3">
      <c r="A3" s="21" t="s">
        <v>24</v>
      </c>
      <c r="B3" s="22" t="s">
        <v>1</v>
      </c>
      <c r="C3" s="23" t="s">
        <v>2</v>
      </c>
      <c r="D3" s="22" t="s">
        <v>3</v>
      </c>
      <c r="E3" s="25" t="s">
        <v>4</v>
      </c>
      <c r="F3" s="25" t="s">
        <v>5</v>
      </c>
      <c r="G3" s="25" t="s">
        <v>6</v>
      </c>
      <c r="H3" s="25" t="s">
        <v>7</v>
      </c>
      <c r="I3" s="25" t="s">
        <v>8</v>
      </c>
      <c r="J3" s="25" t="s">
        <v>9</v>
      </c>
      <c r="K3" s="25" t="s">
        <v>12</v>
      </c>
      <c r="L3" s="27" t="s">
        <v>31</v>
      </c>
      <c r="M3" s="27" t="s">
        <v>13</v>
      </c>
      <c r="N3" s="25" t="s">
        <v>14</v>
      </c>
      <c r="O3" s="27" t="s">
        <v>15</v>
      </c>
      <c r="P3" s="25" t="s">
        <v>16</v>
      </c>
      <c r="Q3" s="25" t="s">
        <v>17</v>
      </c>
      <c r="R3" s="25" t="s">
        <v>18</v>
      </c>
      <c r="S3" s="82" t="s">
        <v>19</v>
      </c>
      <c r="T3"/>
    </row>
    <row r="4" spans="1:20" ht="20.100000000000001" customHeight="1" x14ac:dyDescent="0.25">
      <c r="A4" s="136">
        <v>1</v>
      </c>
      <c r="B4" s="142"/>
      <c r="C4" s="180">
        <v>17</v>
      </c>
      <c r="D4" s="180" t="s">
        <v>20</v>
      </c>
      <c r="E4" s="30">
        <v>75</v>
      </c>
      <c r="F4" s="30">
        <v>89</v>
      </c>
      <c r="G4" s="30">
        <v>73</v>
      </c>
      <c r="H4" s="30">
        <v>79</v>
      </c>
      <c r="I4" s="30">
        <v>70</v>
      </c>
      <c r="J4" s="30">
        <v>69</v>
      </c>
      <c r="K4" s="239">
        <v>72</v>
      </c>
      <c r="L4" s="244">
        <v>86</v>
      </c>
      <c r="M4" s="243">
        <v>95</v>
      </c>
      <c r="N4" s="138">
        <v>96</v>
      </c>
      <c r="O4" s="15">
        <f>SUM(E4:N4)</f>
        <v>804</v>
      </c>
      <c r="P4" s="33">
        <f>AVERAGE(E4:N4)</f>
        <v>80.400000000000006</v>
      </c>
      <c r="Q4" s="15">
        <f>RANK(P4,$P$4:$P$48)</f>
        <v>33</v>
      </c>
      <c r="R4" s="15"/>
      <c r="S4" s="15"/>
      <c r="T4"/>
    </row>
    <row r="5" spans="1:20" ht="20.100000000000001" customHeight="1" x14ac:dyDescent="0.25">
      <c r="A5" s="121">
        <v>2</v>
      </c>
      <c r="B5" s="142"/>
      <c r="C5" s="180">
        <v>17</v>
      </c>
      <c r="D5" s="180" t="s">
        <v>23</v>
      </c>
      <c r="E5" s="30">
        <v>85</v>
      </c>
      <c r="F5" s="30">
        <v>93</v>
      </c>
      <c r="G5" s="30">
        <v>83</v>
      </c>
      <c r="H5" s="30">
        <v>86</v>
      </c>
      <c r="I5" s="30">
        <v>86</v>
      </c>
      <c r="J5" s="30">
        <v>89</v>
      </c>
      <c r="K5" s="239">
        <v>84</v>
      </c>
      <c r="L5" s="244">
        <v>91</v>
      </c>
      <c r="M5" s="243">
        <v>95</v>
      </c>
      <c r="N5" s="138">
        <v>100</v>
      </c>
      <c r="O5" s="15">
        <f t="shared" ref="O5:O48" si="0">SUM(E5:N5)</f>
        <v>892</v>
      </c>
      <c r="P5" s="33">
        <f t="shared" ref="P5:P48" si="1">AVERAGE(E5:N5)</f>
        <v>89.2</v>
      </c>
      <c r="Q5" s="15">
        <f t="shared" ref="Q5:Q48" si="2">RANK(P5,$P$4:$P$48)</f>
        <v>10</v>
      </c>
      <c r="R5" s="15"/>
      <c r="S5" s="15"/>
      <c r="T5"/>
    </row>
    <row r="6" spans="1:20" ht="20.100000000000001" customHeight="1" x14ac:dyDescent="0.25">
      <c r="A6" s="137">
        <v>3</v>
      </c>
      <c r="B6" s="142"/>
      <c r="C6" s="180">
        <v>18</v>
      </c>
      <c r="D6" s="180" t="s">
        <v>23</v>
      </c>
      <c r="E6" s="30">
        <v>90</v>
      </c>
      <c r="F6" s="30">
        <v>87</v>
      </c>
      <c r="G6" s="30">
        <v>96</v>
      </c>
      <c r="H6" s="30">
        <v>93</v>
      </c>
      <c r="I6" s="30">
        <v>85</v>
      </c>
      <c r="J6" s="30">
        <v>85</v>
      </c>
      <c r="K6" s="239">
        <v>87</v>
      </c>
      <c r="L6" s="244">
        <v>91</v>
      </c>
      <c r="M6" s="243">
        <v>100</v>
      </c>
      <c r="N6" s="138">
        <v>100</v>
      </c>
      <c r="O6" s="15">
        <f t="shared" si="0"/>
        <v>914</v>
      </c>
      <c r="P6" s="33">
        <f t="shared" si="1"/>
        <v>91.4</v>
      </c>
      <c r="Q6" s="15">
        <f t="shared" si="2"/>
        <v>8</v>
      </c>
      <c r="R6" s="15"/>
      <c r="S6" s="15"/>
      <c r="T6"/>
    </row>
    <row r="7" spans="1:20" ht="20.100000000000001" customHeight="1" x14ac:dyDescent="0.25">
      <c r="A7" s="121">
        <v>4</v>
      </c>
      <c r="B7" s="142"/>
      <c r="C7" s="180">
        <v>17</v>
      </c>
      <c r="D7" s="180" t="s">
        <v>23</v>
      </c>
      <c r="E7" s="30">
        <v>80</v>
      </c>
      <c r="F7" s="30">
        <v>82</v>
      </c>
      <c r="G7" s="30">
        <v>65</v>
      </c>
      <c r="H7" s="30">
        <v>83</v>
      </c>
      <c r="I7" s="30">
        <v>66</v>
      </c>
      <c r="J7" s="30">
        <v>79</v>
      </c>
      <c r="K7" s="239">
        <v>68</v>
      </c>
      <c r="L7" s="244">
        <v>75</v>
      </c>
      <c r="M7" s="243">
        <v>95</v>
      </c>
      <c r="N7" s="138">
        <v>92</v>
      </c>
      <c r="O7" s="15">
        <f t="shared" si="0"/>
        <v>785</v>
      </c>
      <c r="P7" s="33">
        <f t="shared" si="1"/>
        <v>78.5</v>
      </c>
      <c r="Q7" s="15">
        <f t="shared" si="2"/>
        <v>40</v>
      </c>
      <c r="R7" s="15"/>
      <c r="S7" s="15"/>
      <c r="T7"/>
    </row>
    <row r="8" spans="1:20" ht="20.100000000000001" customHeight="1" x14ac:dyDescent="0.25">
      <c r="A8" s="121">
        <v>5</v>
      </c>
      <c r="B8" s="142"/>
      <c r="C8" s="180">
        <v>16</v>
      </c>
      <c r="D8" s="180" t="s">
        <v>20</v>
      </c>
      <c r="E8" s="30">
        <v>84</v>
      </c>
      <c r="F8" s="30">
        <v>80</v>
      </c>
      <c r="G8" s="30">
        <v>85</v>
      </c>
      <c r="H8" s="30">
        <v>81</v>
      </c>
      <c r="I8" s="30">
        <v>78</v>
      </c>
      <c r="J8" s="30">
        <v>81</v>
      </c>
      <c r="K8" s="239">
        <v>83</v>
      </c>
      <c r="L8" s="244">
        <v>96</v>
      </c>
      <c r="M8" s="243">
        <v>90</v>
      </c>
      <c r="N8" s="138">
        <v>100</v>
      </c>
      <c r="O8" s="15">
        <f t="shared" si="0"/>
        <v>858</v>
      </c>
      <c r="P8" s="33">
        <f t="shared" si="1"/>
        <v>85.8</v>
      </c>
      <c r="Q8" s="15">
        <f t="shared" si="2"/>
        <v>16</v>
      </c>
      <c r="R8" s="15"/>
      <c r="S8" s="15"/>
      <c r="T8"/>
    </row>
    <row r="9" spans="1:20" ht="20.100000000000001" customHeight="1" x14ac:dyDescent="0.25">
      <c r="A9" s="137">
        <v>6</v>
      </c>
      <c r="B9" s="142"/>
      <c r="C9" s="180">
        <v>16</v>
      </c>
      <c r="D9" s="180" t="s">
        <v>20</v>
      </c>
      <c r="E9" s="30">
        <v>70</v>
      </c>
      <c r="F9" s="30">
        <v>76</v>
      </c>
      <c r="G9" s="30">
        <v>60</v>
      </c>
      <c r="H9" s="30">
        <v>73</v>
      </c>
      <c r="I9" s="30">
        <v>60</v>
      </c>
      <c r="J9" s="30">
        <v>66</v>
      </c>
      <c r="K9" s="239">
        <v>73</v>
      </c>
      <c r="L9" s="244">
        <v>85</v>
      </c>
      <c r="M9" s="243">
        <v>93</v>
      </c>
      <c r="N9" s="138">
        <v>92</v>
      </c>
      <c r="O9" s="15">
        <f t="shared" si="0"/>
        <v>748</v>
      </c>
      <c r="P9" s="33">
        <f t="shared" si="1"/>
        <v>74.8</v>
      </c>
      <c r="Q9" s="15">
        <f t="shared" si="2"/>
        <v>45</v>
      </c>
      <c r="R9" s="15"/>
      <c r="S9" s="15"/>
      <c r="T9"/>
    </row>
    <row r="10" spans="1:20" ht="20.100000000000001" customHeight="1" x14ac:dyDescent="0.25">
      <c r="A10" s="121">
        <v>7</v>
      </c>
      <c r="B10" s="142"/>
      <c r="C10" s="180">
        <v>17</v>
      </c>
      <c r="D10" s="180" t="s">
        <v>20</v>
      </c>
      <c r="E10" s="30">
        <v>90</v>
      </c>
      <c r="F10" s="30">
        <v>87</v>
      </c>
      <c r="G10" s="30">
        <v>60</v>
      </c>
      <c r="H10" s="30">
        <v>85</v>
      </c>
      <c r="I10" s="30">
        <v>69</v>
      </c>
      <c r="J10" s="30">
        <v>83</v>
      </c>
      <c r="K10" s="239">
        <v>85</v>
      </c>
      <c r="L10" s="244">
        <v>95</v>
      </c>
      <c r="M10" s="243">
        <v>94</v>
      </c>
      <c r="N10" s="138">
        <v>93</v>
      </c>
      <c r="O10" s="15">
        <f t="shared" si="0"/>
        <v>841</v>
      </c>
      <c r="P10" s="33">
        <f t="shared" si="1"/>
        <v>84.1</v>
      </c>
      <c r="Q10" s="15">
        <f t="shared" si="2"/>
        <v>20</v>
      </c>
      <c r="R10" s="15"/>
      <c r="S10" s="15"/>
      <c r="T10"/>
    </row>
    <row r="11" spans="1:20" ht="20.100000000000001" customHeight="1" x14ac:dyDescent="0.25">
      <c r="A11" s="121">
        <v>8</v>
      </c>
      <c r="B11" s="142"/>
      <c r="C11" s="180">
        <v>18</v>
      </c>
      <c r="D11" s="180" t="s">
        <v>23</v>
      </c>
      <c r="E11" s="30">
        <v>90</v>
      </c>
      <c r="F11" s="30">
        <v>89</v>
      </c>
      <c r="G11" s="30">
        <v>88</v>
      </c>
      <c r="H11" s="30">
        <v>82</v>
      </c>
      <c r="I11" s="30">
        <v>75</v>
      </c>
      <c r="J11" s="30">
        <v>81</v>
      </c>
      <c r="K11" s="239">
        <v>85</v>
      </c>
      <c r="L11" s="244">
        <v>99</v>
      </c>
      <c r="M11" s="243">
        <v>92</v>
      </c>
      <c r="N11" s="138">
        <v>100</v>
      </c>
      <c r="O11" s="15">
        <f t="shared" si="0"/>
        <v>881</v>
      </c>
      <c r="P11" s="33">
        <f t="shared" si="1"/>
        <v>88.1</v>
      </c>
      <c r="Q11" s="15">
        <f t="shared" si="2"/>
        <v>13</v>
      </c>
      <c r="R11" s="15"/>
      <c r="S11" s="15"/>
      <c r="T11"/>
    </row>
    <row r="12" spans="1:20" ht="20.100000000000001" customHeight="1" x14ac:dyDescent="0.25">
      <c r="A12" s="137">
        <v>9</v>
      </c>
      <c r="B12" s="142"/>
      <c r="C12" s="180">
        <v>18</v>
      </c>
      <c r="D12" s="180" t="s">
        <v>23</v>
      </c>
      <c r="E12" s="30">
        <v>90</v>
      </c>
      <c r="F12" s="30">
        <v>80</v>
      </c>
      <c r="G12" s="30">
        <v>75</v>
      </c>
      <c r="H12" s="30">
        <v>77</v>
      </c>
      <c r="I12" s="30">
        <v>71</v>
      </c>
      <c r="J12" s="30">
        <v>71</v>
      </c>
      <c r="K12" s="239">
        <v>73</v>
      </c>
      <c r="L12" s="244">
        <v>81</v>
      </c>
      <c r="M12" s="243">
        <v>95</v>
      </c>
      <c r="N12" s="138">
        <v>100</v>
      </c>
      <c r="O12" s="15">
        <f t="shared" si="0"/>
        <v>813</v>
      </c>
      <c r="P12" s="33">
        <f t="shared" si="1"/>
        <v>81.3</v>
      </c>
      <c r="Q12" s="15">
        <f t="shared" si="2"/>
        <v>29</v>
      </c>
      <c r="R12" s="15"/>
      <c r="S12" s="15"/>
      <c r="T12"/>
    </row>
    <row r="13" spans="1:20" ht="20.100000000000001" customHeight="1" x14ac:dyDescent="0.25">
      <c r="A13" s="121">
        <v>10</v>
      </c>
      <c r="B13" s="142"/>
      <c r="C13" s="180">
        <v>18</v>
      </c>
      <c r="D13" s="180" t="s">
        <v>23</v>
      </c>
      <c r="E13" s="30">
        <v>89</v>
      </c>
      <c r="F13" s="30">
        <v>82</v>
      </c>
      <c r="G13" s="30">
        <v>65</v>
      </c>
      <c r="H13" s="30">
        <v>74</v>
      </c>
      <c r="I13" s="30">
        <v>66</v>
      </c>
      <c r="J13" s="30">
        <v>63</v>
      </c>
      <c r="K13" s="239">
        <v>57</v>
      </c>
      <c r="L13" s="244">
        <v>90</v>
      </c>
      <c r="M13" s="243">
        <v>93</v>
      </c>
      <c r="N13" s="138">
        <v>94</v>
      </c>
      <c r="O13" s="15">
        <f t="shared" si="0"/>
        <v>773</v>
      </c>
      <c r="P13" s="33">
        <f t="shared" si="1"/>
        <v>77.3</v>
      </c>
      <c r="Q13" s="15">
        <f t="shared" si="2"/>
        <v>43</v>
      </c>
      <c r="R13" s="15"/>
      <c r="S13" s="15"/>
      <c r="T13"/>
    </row>
    <row r="14" spans="1:20" ht="20.100000000000001" customHeight="1" x14ac:dyDescent="0.25">
      <c r="A14" s="137">
        <v>11</v>
      </c>
      <c r="B14" s="142"/>
      <c r="C14" s="180">
        <v>18</v>
      </c>
      <c r="D14" s="180" t="s">
        <v>23</v>
      </c>
      <c r="E14" s="30">
        <v>88</v>
      </c>
      <c r="F14" s="30">
        <v>88</v>
      </c>
      <c r="G14" s="30">
        <v>65</v>
      </c>
      <c r="H14" s="30">
        <v>77</v>
      </c>
      <c r="I14" s="30">
        <v>67</v>
      </c>
      <c r="J14" s="30">
        <v>76</v>
      </c>
      <c r="K14" s="239">
        <v>86</v>
      </c>
      <c r="L14" s="244">
        <v>97</v>
      </c>
      <c r="M14" s="243">
        <v>98</v>
      </c>
      <c r="N14" s="138">
        <v>100</v>
      </c>
      <c r="O14" s="15">
        <f t="shared" si="0"/>
        <v>842</v>
      </c>
      <c r="P14" s="33">
        <f t="shared" si="1"/>
        <v>84.2</v>
      </c>
      <c r="Q14" s="15">
        <f t="shared" si="2"/>
        <v>19</v>
      </c>
      <c r="R14" s="15"/>
      <c r="S14" s="15"/>
      <c r="T14"/>
    </row>
    <row r="15" spans="1:20" ht="20.100000000000001" customHeight="1" x14ac:dyDescent="0.25">
      <c r="A15" s="137">
        <v>12</v>
      </c>
      <c r="B15" s="142"/>
      <c r="C15" s="180">
        <v>16</v>
      </c>
      <c r="D15" s="180" t="s">
        <v>20</v>
      </c>
      <c r="E15" s="30">
        <v>80</v>
      </c>
      <c r="F15" s="30">
        <v>85</v>
      </c>
      <c r="G15" s="30">
        <v>65</v>
      </c>
      <c r="H15" s="30">
        <v>87</v>
      </c>
      <c r="I15" s="30">
        <v>75</v>
      </c>
      <c r="J15" s="30">
        <v>83</v>
      </c>
      <c r="K15" s="239">
        <v>79</v>
      </c>
      <c r="L15" s="244">
        <v>94</v>
      </c>
      <c r="M15" s="243">
        <v>90</v>
      </c>
      <c r="N15" s="138">
        <v>100</v>
      </c>
      <c r="O15" s="15">
        <f t="shared" si="0"/>
        <v>838</v>
      </c>
      <c r="P15" s="33">
        <f t="shared" si="1"/>
        <v>83.8</v>
      </c>
      <c r="Q15" s="15">
        <f t="shared" si="2"/>
        <v>21</v>
      </c>
      <c r="R15" s="15"/>
      <c r="S15" s="15"/>
      <c r="T15"/>
    </row>
    <row r="16" spans="1:20" ht="20.100000000000001" customHeight="1" x14ac:dyDescent="0.25">
      <c r="A16" s="137">
        <v>13</v>
      </c>
      <c r="B16" s="142"/>
      <c r="C16" s="180">
        <v>17</v>
      </c>
      <c r="D16" s="180" t="s">
        <v>23</v>
      </c>
      <c r="E16" s="30">
        <v>82</v>
      </c>
      <c r="F16" s="30">
        <v>85</v>
      </c>
      <c r="G16" s="30">
        <v>63</v>
      </c>
      <c r="H16" s="30">
        <v>73</v>
      </c>
      <c r="I16" s="30">
        <v>64</v>
      </c>
      <c r="J16" s="30">
        <v>79</v>
      </c>
      <c r="K16" s="239">
        <v>78</v>
      </c>
      <c r="L16" s="244">
        <v>99</v>
      </c>
      <c r="M16" s="243">
        <v>93</v>
      </c>
      <c r="N16" s="138">
        <v>99</v>
      </c>
      <c r="O16" s="15">
        <f t="shared" si="0"/>
        <v>815</v>
      </c>
      <c r="P16" s="33">
        <f t="shared" si="1"/>
        <v>81.5</v>
      </c>
      <c r="Q16" s="15">
        <f t="shared" si="2"/>
        <v>28</v>
      </c>
      <c r="R16" s="15"/>
      <c r="S16" s="15"/>
      <c r="T16"/>
    </row>
    <row r="17" spans="1:20" ht="20.100000000000001" customHeight="1" x14ac:dyDescent="0.25">
      <c r="A17" s="121">
        <v>14</v>
      </c>
      <c r="B17" s="142"/>
      <c r="C17" s="180">
        <v>17</v>
      </c>
      <c r="D17" s="180" t="s">
        <v>23</v>
      </c>
      <c r="E17" s="30">
        <v>81</v>
      </c>
      <c r="F17" s="30">
        <v>77</v>
      </c>
      <c r="G17" s="30">
        <v>65</v>
      </c>
      <c r="H17" s="30">
        <v>72</v>
      </c>
      <c r="I17" s="30">
        <v>79</v>
      </c>
      <c r="J17" s="30">
        <v>82</v>
      </c>
      <c r="K17" s="239"/>
      <c r="L17" s="244">
        <v>81</v>
      </c>
      <c r="M17" s="243">
        <v>91</v>
      </c>
      <c r="N17" s="138">
        <v>96</v>
      </c>
      <c r="O17" s="15">
        <f t="shared" si="0"/>
        <v>724</v>
      </c>
      <c r="P17" s="33">
        <f t="shared" si="1"/>
        <v>80.444444444444443</v>
      </c>
      <c r="Q17" s="15">
        <f t="shared" si="2"/>
        <v>32</v>
      </c>
      <c r="R17" s="15"/>
      <c r="S17" s="15"/>
      <c r="T17"/>
    </row>
    <row r="18" spans="1:20" ht="20.100000000000001" customHeight="1" x14ac:dyDescent="0.25">
      <c r="A18" s="137">
        <v>15</v>
      </c>
      <c r="B18" s="142"/>
      <c r="C18" s="180">
        <v>17</v>
      </c>
      <c r="D18" s="180" t="s">
        <v>23</v>
      </c>
      <c r="E18" s="30">
        <v>87</v>
      </c>
      <c r="F18" s="30">
        <v>86</v>
      </c>
      <c r="G18" s="31">
        <v>93</v>
      </c>
      <c r="H18" s="30">
        <v>85</v>
      </c>
      <c r="I18" s="30">
        <v>79</v>
      </c>
      <c r="J18" s="30">
        <v>84</v>
      </c>
      <c r="K18" s="239">
        <v>78</v>
      </c>
      <c r="L18" s="244">
        <v>95</v>
      </c>
      <c r="M18" s="243">
        <v>100</v>
      </c>
      <c r="N18" s="138">
        <v>97</v>
      </c>
      <c r="O18" s="15">
        <f t="shared" si="0"/>
        <v>884</v>
      </c>
      <c r="P18" s="33">
        <f t="shared" si="1"/>
        <v>88.4</v>
      </c>
      <c r="Q18" s="15">
        <f t="shared" si="2"/>
        <v>11</v>
      </c>
      <c r="R18" s="15"/>
      <c r="S18" s="15"/>
      <c r="T18"/>
    </row>
    <row r="19" spans="1:20" ht="20.100000000000001" customHeight="1" x14ac:dyDescent="0.25">
      <c r="A19" s="121">
        <v>16</v>
      </c>
      <c r="B19" s="142"/>
      <c r="C19" s="180">
        <v>17</v>
      </c>
      <c r="D19" s="180" t="s">
        <v>23</v>
      </c>
      <c r="E19" s="30">
        <v>85</v>
      </c>
      <c r="F19" s="30">
        <v>88</v>
      </c>
      <c r="G19" s="30">
        <v>70</v>
      </c>
      <c r="H19" s="30">
        <v>82</v>
      </c>
      <c r="I19" s="30">
        <v>68</v>
      </c>
      <c r="J19" s="30">
        <v>74</v>
      </c>
      <c r="K19" s="239">
        <v>79</v>
      </c>
      <c r="L19" s="244">
        <v>99</v>
      </c>
      <c r="M19" s="243">
        <v>93</v>
      </c>
      <c r="N19" s="138">
        <v>100</v>
      </c>
      <c r="O19" s="15">
        <f t="shared" si="0"/>
        <v>838</v>
      </c>
      <c r="P19" s="33">
        <f t="shared" si="1"/>
        <v>83.8</v>
      </c>
      <c r="Q19" s="15">
        <f t="shared" si="2"/>
        <v>21</v>
      </c>
      <c r="R19" s="15"/>
      <c r="S19" s="15"/>
      <c r="T19"/>
    </row>
    <row r="20" spans="1:20" ht="20.100000000000001" customHeight="1" x14ac:dyDescent="0.25">
      <c r="A20" s="121">
        <v>17</v>
      </c>
      <c r="B20" s="142"/>
      <c r="C20" s="180">
        <v>18</v>
      </c>
      <c r="D20" s="180" t="s">
        <v>23</v>
      </c>
      <c r="E20" s="30">
        <v>83</v>
      </c>
      <c r="F20" s="30">
        <v>74</v>
      </c>
      <c r="G20" s="30">
        <v>70</v>
      </c>
      <c r="H20" s="30">
        <v>73</v>
      </c>
      <c r="I20" s="30">
        <v>66</v>
      </c>
      <c r="J20" s="30">
        <v>61</v>
      </c>
      <c r="K20" s="239">
        <v>65</v>
      </c>
      <c r="L20" s="244">
        <v>99</v>
      </c>
      <c r="M20" s="243">
        <v>92</v>
      </c>
      <c r="N20" s="138">
        <v>94</v>
      </c>
      <c r="O20" s="15">
        <f t="shared" si="0"/>
        <v>777</v>
      </c>
      <c r="P20" s="33">
        <f t="shared" si="1"/>
        <v>77.7</v>
      </c>
      <c r="Q20" s="15">
        <f t="shared" si="2"/>
        <v>41</v>
      </c>
      <c r="R20" s="15"/>
      <c r="S20" s="15"/>
      <c r="T20"/>
    </row>
    <row r="21" spans="1:20" ht="20.100000000000001" customHeight="1" x14ac:dyDescent="0.25">
      <c r="A21" s="121">
        <v>18</v>
      </c>
      <c r="B21" s="142"/>
      <c r="C21" s="180">
        <v>17</v>
      </c>
      <c r="D21" s="180" t="s">
        <v>23</v>
      </c>
      <c r="E21" s="30">
        <v>82</v>
      </c>
      <c r="F21" s="30">
        <v>88</v>
      </c>
      <c r="G21" s="31">
        <v>80</v>
      </c>
      <c r="H21" s="30">
        <v>79</v>
      </c>
      <c r="I21" s="30">
        <v>76</v>
      </c>
      <c r="J21" s="30">
        <v>80</v>
      </c>
      <c r="K21" s="239">
        <v>82</v>
      </c>
      <c r="L21" s="244">
        <v>97</v>
      </c>
      <c r="M21" s="243">
        <v>92</v>
      </c>
      <c r="N21" s="138">
        <v>94</v>
      </c>
      <c r="O21" s="15">
        <f t="shared" si="0"/>
        <v>850</v>
      </c>
      <c r="P21" s="33">
        <f t="shared" si="1"/>
        <v>85</v>
      </c>
      <c r="Q21" s="15">
        <f t="shared" si="2"/>
        <v>18</v>
      </c>
      <c r="R21" s="15"/>
      <c r="S21" s="15"/>
      <c r="T21"/>
    </row>
    <row r="22" spans="1:20" ht="20.100000000000001" customHeight="1" x14ac:dyDescent="0.25">
      <c r="A22" s="137">
        <v>19</v>
      </c>
      <c r="B22" s="142"/>
      <c r="C22" s="180">
        <v>17</v>
      </c>
      <c r="D22" s="180" t="s">
        <v>20</v>
      </c>
      <c r="E22" s="30">
        <v>82</v>
      </c>
      <c r="F22" s="30">
        <v>80</v>
      </c>
      <c r="G22" s="30">
        <v>69</v>
      </c>
      <c r="H22" s="30">
        <v>68</v>
      </c>
      <c r="I22" s="30">
        <v>65</v>
      </c>
      <c r="J22" s="30">
        <v>62</v>
      </c>
      <c r="K22" s="239">
        <v>77</v>
      </c>
      <c r="L22" s="244">
        <v>100</v>
      </c>
      <c r="M22" s="243">
        <v>92</v>
      </c>
      <c r="N22" s="138">
        <v>94</v>
      </c>
      <c r="O22" s="15">
        <f t="shared" si="0"/>
        <v>789</v>
      </c>
      <c r="P22" s="33">
        <f t="shared" si="1"/>
        <v>78.900000000000006</v>
      </c>
      <c r="Q22" s="15">
        <f t="shared" si="2"/>
        <v>38</v>
      </c>
      <c r="R22" s="15"/>
      <c r="S22" s="15"/>
      <c r="T22"/>
    </row>
    <row r="23" spans="1:20" ht="20.100000000000001" customHeight="1" x14ac:dyDescent="0.25">
      <c r="A23" s="137">
        <v>20</v>
      </c>
      <c r="B23" s="142"/>
      <c r="C23" s="180">
        <v>17</v>
      </c>
      <c r="D23" s="180" t="s">
        <v>23</v>
      </c>
      <c r="E23" s="30">
        <v>87</v>
      </c>
      <c r="F23" s="30">
        <v>95</v>
      </c>
      <c r="G23" s="30">
        <v>68</v>
      </c>
      <c r="H23" s="30">
        <v>78</v>
      </c>
      <c r="I23" s="30">
        <v>70</v>
      </c>
      <c r="J23" s="30">
        <v>73</v>
      </c>
      <c r="K23" s="239">
        <v>89</v>
      </c>
      <c r="L23" s="244">
        <v>99</v>
      </c>
      <c r="M23" s="243">
        <v>93</v>
      </c>
      <c r="N23" s="138">
        <v>99</v>
      </c>
      <c r="O23" s="15">
        <f t="shared" si="0"/>
        <v>851</v>
      </c>
      <c r="P23" s="33">
        <f t="shared" si="1"/>
        <v>85.1</v>
      </c>
      <c r="Q23" s="15">
        <f t="shared" si="2"/>
        <v>17</v>
      </c>
      <c r="R23" s="15"/>
      <c r="S23" s="15"/>
      <c r="T23"/>
    </row>
    <row r="24" spans="1:20" ht="20.100000000000001" customHeight="1" x14ac:dyDescent="0.25">
      <c r="A24" s="137">
        <v>21</v>
      </c>
      <c r="B24" s="142"/>
      <c r="C24" s="180">
        <v>16</v>
      </c>
      <c r="D24" s="180" t="s">
        <v>23</v>
      </c>
      <c r="E24" s="30">
        <v>85</v>
      </c>
      <c r="F24" s="30">
        <v>83</v>
      </c>
      <c r="G24" s="30">
        <v>65</v>
      </c>
      <c r="H24" s="30">
        <v>86</v>
      </c>
      <c r="I24" s="30">
        <v>70</v>
      </c>
      <c r="J24" s="30">
        <v>61</v>
      </c>
      <c r="K24" s="239">
        <v>68</v>
      </c>
      <c r="L24" s="244">
        <v>88</v>
      </c>
      <c r="M24" s="243">
        <v>92</v>
      </c>
      <c r="N24" s="138">
        <v>95</v>
      </c>
      <c r="O24" s="15">
        <f t="shared" si="0"/>
        <v>793</v>
      </c>
      <c r="P24" s="33">
        <f t="shared" si="1"/>
        <v>79.3</v>
      </c>
      <c r="Q24" s="15">
        <f t="shared" si="2"/>
        <v>37</v>
      </c>
      <c r="R24" s="15"/>
      <c r="S24" s="15"/>
      <c r="T24"/>
    </row>
    <row r="25" spans="1:20" ht="20.100000000000001" customHeight="1" x14ac:dyDescent="0.25">
      <c r="A25" s="121">
        <v>22</v>
      </c>
      <c r="B25" s="142"/>
      <c r="C25" s="180">
        <v>16</v>
      </c>
      <c r="D25" s="180" t="s">
        <v>23</v>
      </c>
      <c r="E25" s="30">
        <v>81</v>
      </c>
      <c r="F25" s="30">
        <v>81</v>
      </c>
      <c r="G25" s="30">
        <v>64</v>
      </c>
      <c r="H25" s="30">
        <v>76</v>
      </c>
      <c r="I25" s="30">
        <v>61</v>
      </c>
      <c r="J25" s="30">
        <v>64</v>
      </c>
      <c r="K25" s="239">
        <v>71</v>
      </c>
      <c r="L25" s="244">
        <v>97</v>
      </c>
      <c r="M25" s="243">
        <v>98</v>
      </c>
      <c r="N25" s="138">
        <v>95</v>
      </c>
      <c r="O25" s="15">
        <f t="shared" si="0"/>
        <v>788</v>
      </c>
      <c r="P25" s="33">
        <f t="shared" si="1"/>
        <v>78.8</v>
      </c>
      <c r="Q25" s="15">
        <f t="shared" si="2"/>
        <v>39</v>
      </c>
      <c r="R25" s="15"/>
      <c r="S25" s="15"/>
      <c r="T25"/>
    </row>
    <row r="26" spans="1:20" ht="20.100000000000001" customHeight="1" x14ac:dyDescent="0.25">
      <c r="A26" s="121">
        <v>23</v>
      </c>
      <c r="B26" s="142"/>
      <c r="C26" s="180">
        <v>17</v>
      </c>
      <c r="D26" s="180" t="s">
        <v>23</v>
      </c>
      <c r="E26" s="30">
        <v>86</v>
      </c>
      <c r="F26" s="30">
        <v>84</v>
      </c>
      <c r="G26" s="30">
        <v>70</v>
      </c>
      <c r="H26" s="30">
        <v>73</v>
      </c>
      <c r="I26" s="30">
        <v>78</v>
      </c>
      <c r="J26" s="30">
        <v>79</v>
      </c>
      <c r="K26" s="239">
        <v>78</v>
      </c>
      <c r="L26" s="244">
        <v>93</v>
      </c>
      <c r="M26" s="243">
        <v>90</v>
      </c>
      <c r="N26" s="138">
        <v>100</v>
      </c>
      <c r="O26" s="15">
        <f t="shared" si="0"/>
        <v>831</v>
      </c>
      <c r="P26" s="33">
        <f t="shared" si="1"/>
        <v>83.1</v>
      </c>
      <c r="Q26" s="15">
        <f t="shared" si="2"/>
        <v>24</v>
      </c>
      <c r="R26" s="15"/>
      <c r="S26" s="15"/>
      <c r="T26"/>
    </row>
    <row r="27" spans="1:20" ht="20.100000000000001" customHeight="1" x14ac:dyDescent="0.25">
      <c r="A27" s="137">
        <v>24</v>
      </c>
      <c r="B27" s="142"/>
      <c r="C27" s="180">
        <v>17</v>
      </c>
      <c r="D27" s="180" t="s">
        <v>23</v>
      </c>
      <c r="E27" s="30">
        <v>88</v>
      </c>
      <c r="F27" s="30">
        <v>81</v>
      </c>
      <c r="G27" s="31">
        <v>61</v>
      </c>
      <c r="H27" s="31">
        <v>78</v>
      </c>
      <c r="I27" s="30">
        <v>67</v>
      </c>
      <c r="J27" s="31">
        <v>70</v>
      </c>
      <c r="K27" s="239"/>
      <c r="L27" s="244">
        <v>79</v>
      </c>
      <c r="M27" s="243">
        <v>98</v>
      </c>
      <c r="N27" s="138">
        <v>96</v>
      </c>
      <c r="O27" s="15">
        <f t="shared" si="0"/>
        <v>718</v>
      </c>
      <c r="P27" s="33">
        <f t="shared" si="1"/>
        <v>79.777777777777771</v>
      </c>
      <c r="Q27" s="15">
        <f t="shared" si="2"/>
        <v>35</v>
      </c>
      <c r="R27" s="15"/>
      <c r="S27" s="15"/>
      <c r="T27"/>
    </row>
    <row r="28" spans="1:20" ht="20.100000000000001" customHeight="1" x14ac:dyDescent="0.25">
      <c r="A28" s="121">
        <v>25</v>
      </c>
      <c r="B28" s="181"/>
      <c r="C28" s="182">
        <v>17</v>
      </c>
      <c r="D28" s="182" t="s">
        <v>23</v>
      </c>
      <c r="E28" s="30">
        <v>95</v>
      </c>
      <c r="F28" s="31">
        <v>95</v>
      </c>
      <c r="G28" s="31">
        <v>95</v>
      </c>
      <c r="H28" s="30">
        <v>96</v>
      </c>
      <c r="I28" s="31">
        <v>96</v>
      </c>
      <c r="J28" s="30">
        <v>93</v>
      </c>
      <c r="K28" s="239">
        <v>90</v>
      </c>
      <c r="L28" s="244">
        <v>100</v>
      </c>
      <c r="M28" s="243">
        <v>100</v>
      </c>
      <c r="N28" s="138">
        <v>100</v>
      </c>
      <c r="O28" s="15">
        <f t="shared" si="0"/>
        <v>960</v>
      </c>
      <c r="P28" s="33">
        <f t="shared" si="1"/>
        <v>96</v>
      </c>
      <c r="Q28" s="15">
        <f t="shared" si="2"/>
        <v>2</v>
      </c>
      <c r="R28" s="15"/>
      <c r="S28" s="15"/>
      <c r="T28"/>
    </row>
    <row r="29" spans="1:20" ht="20.100000000000001" customHeight="1" x14ac:dyDescent="0.25">
      <c r="A29" s="137">
        <v>26</v>
      </c>
      <c r="B29" s="142"/>
      <c r="C29" s="180">
        <v>18</v>
      </c>
      <c r="D29" s="180" t="s">
        <v>20</v>
      </c>
      <c r="E29" s="30">
        <v>77</v>
      </c>
      <c r="F29" s="30">
        <v>77</v>
      </c>
      <c r="G29" s="30">
        <v>58</v>
      </c>
      <c r="H29" s="30">
        <v>70</v>
      </c>
      <c r="I29" s="30">
        <v>60</v>
      </c>
      <c r="J29" s="30">
        <v>63</v>
      </c>
      <c r="K29" s="239">
        <v>78</v>
      </c>
      <c r="L29" s="244">
        <v>99</v>
      </c>
      <c r="M29" s="243">
        <v>100</v>
      </c>
      <c r="N29" s="138">
        <v>94</v>
      </c>
      <c r="O29" s="15">
        <f t="shared" si="0"/>
        <v>776</v>
      </c>
      <c r="P29" s="33">
        <f t="shared" si="1"/>
        <v>77.599999999999994</v>
      </c>
      <c r="Q29" s="15">
        <f t="shared" si="2"/>
        <v>42</v>
      </c>
      <c r="R29" s="15"/>
      <c r="S29" s="15"/>
      <c r="T29"/>
    </row>
    <row r="30" spans="1:20" ht="20.100000000000001" customHeight="1" x14ac:dyDescent="0.25">
      <c r="A30" s="137">
        <v>27</v>
      </c>
      <c r="B30" s="142"/>
      <c r="C30" s="180">
        <v>18</v>
      </c>
      <c r="D30" s="180" t="s">
        <v>23</v>
      </c>
      <c r="E30" s="30">
        <v>90</v>
      </c>
      <c r="F30" s="30">
        <v>83</v>
      </c>
      <c r="G30" s="31">
        <v>72</v>
      </c>
      <c r="H30" s="30">
        <v>81</v>
      </c>
      <c r="I30" s="30">
        <v>75</v>
      </c>
      <c r="J30" s="30">
        <v>82</v>
      </c>
      <c r="K30" s="239">
        <v>82</v>
      </c>
      <c r="L30" s="244">
        <v>98</v>
      </c>
      <c r="M30" s="243">
        <v>100</v>
      </c>
      <c r="N30" s="138">
        <v>96</v>
      </c>
      <c r="O30" s="15">
        <f t="shared" si="0"/>
        <v>859</v>
      </c>
      <c r="P30" s="33">
        <f t="shared" si="1"/>
        <v>85.9</v>
      </c>
      <c r="Q30" s="15">
        <f t="shared" si="2"/>
        <v>14</v>
      </c>
      <c r="R30" s="15"/>
      <c r="S30" s="15"/>
      <c r="T30"/>
    </row>
    <row r="31" spans="1:20" ht="20.100000000000001" customHeight="1" x14ac:dyDescent="0.25">
      <c r="A31" s="137">
        <v>28</v>
      </c>
      <c r="B31" s="142"/>
      <c r="C31" s="180">
        <v>17</v>
      </c>
      <c r="D31" s="180" t="s">
        <v>23</v>
      </c>
      <c r="E31" s="30">
        <v>84</v>
      </c>
      <c r="F31" s="30">
        <v>85</v>
      </c>
      <c r="G31" s="30">
        <v>76</v>
      </c>
      <c r="H31" s="30">
        <v>77</v>
      </c>
      <c r="I31" s="30">
        <v>74</v>
      </c>
      <c r="J31" s="30">
        <v>80</v>
      </c>
      <c r="K31" s="239">
        <v>80</v>
      </c>
      <c r="L31" s="244">
        <v>94</v>
      </c>
      <c r="M31" s="243">
        <v>90</v>
      </c>
      <c r="N31" s="138">
        <v>90</v>
      </c>
      <c r="O31" s="15">
        <f t="shared" si="0"/>
        <v>830</v>
      </c>
      <c r="P31" s="33">
        <f t="shared" si="1"/>
        <v>83</v>
      </c>
      <c r="Q31" s="15">
        <f t="shared" si="2"/>
        <v>25</v>
      </c>
      <c r="R31" s="15"/>
      <c r="S31" s="15"/>
      <c r="T31"/>
    </row>
    <row r="32" spans="1:20" ht="20.100000000000001" customHeight="1" x14ac:dyDescent="0.25">
      <c r="A32" s="121">
        <v>29</v>
      </c>
      <c r="B32" s="142"/>
      <c r="C32" s="180">
        <v>17</v>
      </c>
      <c r="D32" s="180" t="s">
        <v>23</v>
      </c>
      <c r="E32" s="30">
        <v>89</v>
      </c>
      <c r="F32" s="30">
        <v>83</v>
      </c>
      <c r="G32" s="30">
        <v>88</v>
      </c>
      <c r="H32" s="30">
        <v>85</v>
      </c>
      <c r="I32" s="30">
        <v>78</v>
      </c>
      <c r="J32" s="30">
        <v>84</v>
      </c>
      <c r="K32" s="239">
        <v>84</v>
      </c>
      <c r="L32" s="244">
        <v>97</v>
      </c>
      <c r="M32" s="243">
        <v>98</v>
      </c>
      <c r="N32" s="138">
        <v>97</v>
      </c>
      <c r="O32" s="15">
        <f t="shared" si="0"/>
        <v>883</v>
      </c>
      <c r="P32" s="33">
        <f t="shared" si="1"/>
        <v>88.3</v>
      </c>
      <c r="Q32" s="15">
        <f t="shared" si="2"/>
        <v>12</v>
      </c>
      <c r="R32" s="15"/>
      <c r="S32" s="15"/>
      <c r="T32"/>
    </row>
    <row r="33" spans="1:20" ht="20.100000000000001" customHeight="1" x14ac:dyDescent="0.25">
      <c r="A33" s="137">
        <v>30</v>
      </c>
      <c r="B33" s="142"/>
      <c r="C33" s="180">
        <v>18</v>
      </c>
      <c r="D33" s="180" t="s">
        <v>23</v>
      </c>
      <c r="E33" s="30">
        <v>81</v>
      </c>
      <c r="F33" s="31">
        <v>79</v>
      </c>
      <c r="G33" s="31">
        <v>75</v>
      </c>
      <c r="H33" s="31">
        <v>75</v>
      </c>
      <c r="I33" s="30">
        <v>74</v>
      </c>
      <c r="J33" s="30">
        <v>76</v>
      </c>
      <c r="K33" s="239">
        <v>87</v>
      </c>
      <c r="L33" s="244">
        <v>98</v>
      </c>
      <c r="M33" s="243">
        <v>95</v>
      </c>
      <c r="N33" s="241">
        <v>92</v>
      </c>
      <c r="O33" s="15">
        <f t="shared" si="0"/>
        <v>832</v>
      </c>
      <c r="P33" s="33">
        <f t="shared" si="1"/>
        <v>83.2</v>
      </c>
      <c r="Q33" s="15">
        <f t="shared" si="2"/>
        <v>23</v>
      </c>
      <c r="R33" s="15"/>
      <c r="S33" s="15"/>
      <c r="T33"/>
    </row>
    <row r="34" spans="1:20" ht="20.100000000000001" customHeight="1" x14ac:dyDescent="0.25">
      <c r="A34" s="121">
        <v>31</v>
      </c>
      <c r="B34" s="159"/>
      <c r="C34" s="188">
        <v>17</v>
      </c>
      <c r="D34" s="188" t="s">
        <v>23</v>
      </c>
      <c r="E34" s="30">
        <v>95</v>
      </c>
      <c r="F34" s="30">
        <v>95</v>
      </c>
      <c r="G34" s="31">
        <v>92</v>
      </c>
      <c r="H34" s="30">
        <v>97</v>
      </c>
      <c r="I34" s="30">
        <v>100</v>
      </c>
      <c r="J34" s="30">
        <v>98</v>
      </c>
      <c r="K34" s="239">
        <v>97</v>
      </c>
      <c r="L34" s="244">
        <v>99</v>
      </c>
      <c r="M34" s="243">
        <v>100</v>
      </c>
      <c r="N34" s="138">
        <v>100</v>
      </c>
      <c r="O34" s="15">
        <f t="shared" si="0"/>
        <v>973</v>
      </c>
      <c r="P34" s="33">
        <f t="shared" si="1"/>
        <v>97.3</v>
      </c>
      <c r="Q34" s="15">
        <f t="shared" si="2"/>
        <v>1</v>
      </c>
      <c r="R34" s="15"/>
      <c r="S34" s="15"/>
      <c r="T34"/>
    </row>
    <row r="35" spans="1:20" ht="20.100000000000001" customHeight="1" x14ac:dyDescent="0.25">
      <c r="A35" s="121">
        <v>32</v>
      </c>
      <c r="B35" s="142"/>
      <c r="C35" s="180">
        <v>17</v>
      </c>
      <c r="D35" s="180" t="s">
        <v>23</v>
      </c>
      <c r="E35" s="30">
        <v>82</v>
      </c>
      <c r="F35" s="30">
        <v>83</v>
      </c>
      <c r="G35" s="30">
        <v>72</v>
      </c>
      <c r="H35" s="30">
        <v>72</v>
      </c>
      <c r="I35" s="30">
        <v>69</v>
      </c>
      <c r="J35" s="30">
        <v>76</v>
      </c>
      <c r="K35" s="239">
        <v>77</v>
      </c>
      <c r="L35" s="242">
        <v>91</v>
      </c>
      <c r="M35" s="243">
        <v>90</v>
      </c>
      <c r="N35" s="138">
        <v>99</v>
      </c>
      <c r="O35" s="15">
        <f t="shared" si="0"/>
        <v>811</v>
      </c>
      <c r="P35" s="33">
        <f t="shared" si="1"/>
        <v>81.099999999999994</v>
      </c>
      <c r="Q35" s="15">
        <f t="shared" si="2"/>
        <v>30</v>
      </c>
      <c r="R35" s="15"/>
      <c r="S35" s="15"/>
      <c r="T35"/>
    </row>
    <row r="36" spans="1:20" ht="20.100000000000001" customHeight="1" x14ac:dyDescent="0.25">
      <c r="A36" s="121">
        <v>33</v>
      </c>
      <c r="B36" s="142"/>
      <c r="C36" s="180">
        <v>18</v>
      </c>
      <c r="D36" s="180" t="s">
        <v>23</v>
      </c>
      <c r="E36" s="238">
        <v>80</v>
      </c>
      <c r="F36" s="238">
        <v>81</v>
      </c>
      <c r="G36" s="238">
        <v>71</v>
      </c>
      <c r="H36" s="238">
        <v>69</v>
      </c>
      <c r="I36" s="238">
        <v>74</v>
      </c>
      <c r="J36" s="238">
        <v>91</v>
      </c>
      <c r="K36" s="245">
        <v>61</v>
      </c>
      <c r="L36" s="242">
        <v>94</v>
      </c>
      <c r="M36" s="243">
        <v>92</v>
      </c>
      <c r="N36" s="192">
        <v>94</v>
      </c>
      <c r="O36" s="15">
        <f t="shared" si="0"/>
        <v>807</v>
      </c>
      <c r="P36" s="33">
        <f t="shared" si="1"/>
        <v>80.7</v>
      </c>
      <c r="Q36" s="15">
        <f t="shared" si="2"/>
        <v>31</v>
      </c>
      <c r="R36" s="20"/>
      <c r="S36" s="20"/>
      <c r="T36"/>
    </row>
    <row r="37" spans="1:20" ht="20.100000000000001" customHeight="1" x14ac:dyDescent="0.25">
      <c r="A37" s="121">
        <v>34</v>
      </c>
      <c r="B37" s="181"/>
      <c r="C37" s="182">
        <v>17</v>
      </c>
      <c r="D37" s="182" t="s">
        <v>23</v>
      </c>
      <c r="E37" s="238">
        <v>80</v>
      </c>
      <c r="F37" s="238">
        <v>83</v>
      </c>
      <c r="G37" s="238">
        <v>84</v>
      </c>
      <c r="H37" s="238">
        <v>80</v>
      </c>
      <c r="I37" s="238">
        <v>80</v>
      </c>
      <c r="J37" s="238">
        <v>83</v>
      </c>
      <c r="K37" s="245">
        <v>72</v>
      </c>
      <c r="L37" s="242">
        <v>100</v>
      </c>
      <c r="M37" s="243">
        <v>97</v>
      </c>
      <c r="N37" s="192">
        <v>100</v>
      </c>
      <c r="O37" s="15">
        <f t="shared" si="0"/>
        <v>859</v>
      </c>
      <c r="P37" s="33">
        <f t="shared" si="1"/>
        <v>85.9</v>
      </c>
      <c r="Q37" s="15">
        <f t="shared" si="2"/>
        <v>14</v>
      </c>
      <c r="R37" s="20"/>
      <c r="S37" s="20"/>
      <c r="T37"/>
    </row>
    <row r="38" spans="1:20" ht="20.100000000000001" customHeight="1" x14ac:dyDescent="0.25">
      <c r="A38" s="121">
        <v>35</v>
      </c>
      <c r="B38" s="142"/>
      <c r="C38" s="180">
        <v>18</v>
      </c>
      <c r="D38" s="180" t="s">
        <v>23</v>
      </c>
      <c r="E38" s="238">
        <v>83</v>
      </c>
      <c r="F38" s="238">
        <v>80</v>
      </c>
      <c r="G38" s="238">
        <v>70</v>
      </c>
      <c r="H38" s="238">
        <v>73</v>
      </c>
      <c r="I38" s="238">
        <v>69</v>
      </c>
      <c r="J38" s="238">
        <v>81</v>
      </c>
      <c r="K38" s="245">
        <v>81</v>
      </c>
      <c r="L38" s="242">
        <v>77</v>
      </c>
      <c r="M38" s="243">
        <v>90</v>
      </c>
      <c r="N38" s="192">
        <v>92</v>
      </c>
      <c r="O38" s="15">
        <f t="shared" si="0"/>
        <v>796</v>
      </c>
      <c r="P38" s="33">
        <f t="shared" si="1"/>
        <v>79.599999999999994</v>
      </c>
      <c r="Q38" s="15">
        <f t="shared" si="2"/>
        <v>36</v>
      </c>
      <c r="R38" s="20"/>
      <c r="S38" s="20"/>
      <c r="T38"/>
    </row>
    <row r="39" spans="1:20" ht="20.100000000000001" customHeight="1" x14ac:dyDescent="0.25">
      <c r="A39" s="121">
        <v>36</v>
      </c>
      <c r="B39" s="142"/>
      <c r="C39" s="180">
        <v>17</v>
      </c>
      <c r="D39" s="180" t="s">
        <v>20</v>
      </c>
      <c r="E39" s="238">
        <v>77</v>
      </c>
      <c r="F39" s="238">
        <v>77</v>
      </c>
      <c r="G39" s="238">
        <v>72</v>
      </c>
      <c r="H39" s="238">
        <v>74</v>
      </c>
      <c r="I39" s="238">
        <v>76</v>
      </c>
      <c r="J39" s="238">
        <v>82</v>
      </c>
      <c r="K39" s="245">
        <v>72</v>
      </c>
      <c r="L39" s="242">
        <v>84</v>
      </c>
      <c r="M39" s="243">
        <v>90</v>
      </c>
      <c r="N39" s="192">
        <v>95</v>
      </c>
      <c r="O39" s="15">
        <f t="shared" si="0"/>
        <v>799</v>
      </c>
      <c r="P39" s="33">
        <f t="shared" si="1"/>
        <v>79.900000000000006</v>
      </c>
      <c r="Q39" s="15">
        <f t="shared" si="2"/>
        <v>34</v>
      </c>
      <c r="R39" s="20"/>
      <c r="S39" s="20"/>
      <c r="T39"/>
    </row>
    <row r="40" spans="1:20" ht="20.100000000000001" customHeight="1" x14ac:dyDescent="0.25">
      <c r="A40" s="121">
        <v>37</v>
      </c>
      <c r="B40" s="142"/>
      <c r="C40" s="180">
        <v>18</v>
      </c>
      <c r="D40" s="180" t="s">
        <v>23</v>
      </c>
      <c r="E40" s="238">
        <v>95</v>
      </c>
      <c r="F40" s="238">
        <v>92</v>
      </c>
      <c r="G40" s="238">
        <v>86</v>
      </c>
      <c r="H40" s="238">
        <v>92</v>
      </c>
      <c r="I40" s="238">
        <v>91</v>
      </c>
      <c r="J40" s="238">
        <v>92</v>
      </c>
      <c r="K40" s="245">
        <v>97</v>
      </c>
      <c r="L40" s="242">
        <v>97</v>
      </c>
      <c r="M40" s="243">
        <v>100</v>
      </c>
      <c r="N40" s="192">
        <v>100</v>
      </c>
      <c r="O40" s="15">
        <f t="shared" si="0"/>
        <v>942</v>
      </c>
      <c r="P40" s="33">
        <f t="shared" si="1"/>
        <v>94.2</v>
      </c>
      <c r="Q40" s="15">
        <f t="shared" si="2"/>
        <v>4</v>
      </c>
      <c r="R40" s="20"/>
      <c r="S40" s="20"/>
      <c r="T40"/>
    </row>
    <row r="41" spans="1:20" ht="20.100000000000001" customHeight="1" x14ac:dyDescent="0.25">
      <c r="A41" s="121">
        <v>38</v>
      </c>
      <c r="B41" s="142"/>
      <c r="C41" s="180">
        <v>17</v>
      </c>
      <c r="D41" s="180" t="s">
        <v>20</v>
      </c>
      <c r="E41" s="238">
        <v>76</v>
      </c>
      <c r="F41" s="238">
        <v>82</v>
      </c>
      <c r="G41" s="238">
        <v>69</v>
      </c>
      <c r="H41" s="238">
        <v>61</v>
      </c>
      <c r="I41" s="238">
        <v>61</v>
      </c>
      <c r="J41" s="238">
        <v>58</v>
      </c>
      <c r="K41" s="245">
        <v>75</v>
      </c>
      <c r="L41" s="242">
        <v>96</v>
      </c>
      <c r="M41" s="243">
        <v>98</v>
      </c>
      <c r="N41" s="192">
        <v>95</v>
      </c>
      <c r="O41" s="15">
        <f t="shared" si="0"/>
        <v>771</v>
      </c>
      <c r="P41" s="33">
        <f t="shared" si="1"/>
        <v>77.099999999999994</v>
      </c>
      <c r="Q41" s="15">
        <f t="shared" si="2"/>
        <v>44</v>
      </c>
      <c r="R41" s="20"/>
      <c r="S41" s="20"/>
      <c r="T41"/>
    </row>
    <row r="42" spans="1:20" ht="20.100000000000001" customHeight="1" x14ac:dyDescent="0.25">
      <c r="A42" s="121">
        <v>39</v>
      </c>
      <c r="B42" s="142"/>
      <c r="C42" s="180">
        <v>18</v>
      </c>
      <c r="D42" s="180" t="s">
        <v>23</v>
      </c>
      <c r="E42" s="238">
        <v>90</v>
      </c>
      <c r="F42" s="238">
        <v>84</v>
      </c>
      <c r="G42" s="238">
        <v>83</v>
      </c>
      <c r="H42" s="238">
        <v>85</v>
      </c>
      <c r="I42" s="238">
        <v>87</v>
      </c>
      <c r="J42" s="238">
        <v>91</v>
      </c>
      <c r="K42" s="245">
        <v>87</v>
      </c>
      <c r="L42" s="242">
        <v>95</v>
      </c>
      <c r="M42" s="243">
        <v>100</v>
      </c>
      <c r="N42" s="192">
        <v>99</v>
      </c>
      <c r="O42" s="15">
        <f t="shared" si="0"/>
        <v>901</v>
      </c>
      <c r="P42" s="33">
        <f t="shared" si="1"/>
        <v>90.1</v>
      </c>
      <c r="Q42" s="15">
        <f t="shared" si="2"/>
        <v>9</v>
      </c>
      <c r="R42" s="20"/>
      <c r="S42" s="20"/>
      <c r="T42"/>
    </row>
    <row r="43" spans="1:20" ht="20.100000000000001" customHeight="1" x14ac:dyDescent="0.25">
      <c r="A43" s="121">
        <v>40</v>
      </c>
      <c r="B43" s="142"/>
      <c r="C43" s="180">
        <v>17</v>
      </c>
      <c r="D43" s="180" t="s">
        <v>20</v>
      </c>
      <c r="E43" s="238">
        <v>78</v>
      </c>
      <c r="F43" s="238">
        <v>86</v>
      </c>
      <c r="G43" s="238">
        <v>69</v>
      </c>
      <c r="H43" s="238">
        <v>77</v>
      </c>
      <c r="I43" s="238">
        <v>74</v>
      </c>
      <c r="J43" s="238">
        <v>82</v>
      </c>
      <c r="K43" s="245">
        <v>85</v>
      </c>
      <c r="L43" s="242">
        <v>85</v>
      </c>
      <c r="M43" s="243">
        <v>93</v>
      </c>
      <c r="N43" s="192">
        <v>92</v>
      </c>
      <c r="O43" s="15">
        <f t="shared" si="0"/>
        <v>821</v>
      </c>
      <c r="P43" s="33">
        <f t="shared" si="1"/>
        <v>82.1</v>
      </c>
      <c r="Q43" s="15">
        <f t="shared" si="2"/>
        <v>27</v>
      </c>
      <c r="R43" s="20"/>
      <c r="S43" s="20"/>
      <c r="T43"/>
    </row>
    <row r="44" spans="1:20" ht="20.100000000000001" customHeight="1" x14ac:dyDescent="0.25">
      <c r="A44" s="121">
        <v>41</v>
      </c>
      <c r="B44" s="142"/>
      <c r="C44" s="180">
        <v>17</v>
      </c>
      <c r="D44" s="180" t="s">
        <v>23</v>
      </c>
      <c r="E44" s="238">
        <v>90</v>
      </c>
      <c r="F44" s="238">
        <v>88</v>
      </c>
      <c r="G44" s="238">
        <v>92</v>
      </c>
      <c r="H44" s="238">
        <v>91</v>
      </c>
      <c r="I44" s="238">
        <v>90</v>
      </c>
      <c r="J44" s="238">
        <v>91</v>
      </c>
      <c r="K44" s="245">
        <v>89</v>
      </c>
      <c r="L44" s="242">
        <v>95</v>
      </c>
      <c r="M44" s="243">
        <v>92</v>
      </c>
      <c r="N44" s="192">
        <v>100</v>
      </c>
      <c r="O44" s="15">
        <f t="shared" si="0"/>
        <v>918</v>
      </c>
      <c r="P44" s="33">
        <f t="shared" si="1"/>
        <v>91.8</v>
      </c>
      <c r="Q44" s="15">
        <f t="shared" si="2"/>
        <v>7</v>
      </c>
      <c r="R44" s="20"/>
      <c r="S44" s="20"/>
      <c r="T44"/>
    </row>
    <row r="45" spans="1:20" ht="20.100000000000001" customHeight="1" x14ac:dyDescent="0.25">
      <c r="A45" s="121">
        <v>42</v>
      </c>
      <c r="B45" s="142"/>
      <c r="C45" s="180">
        <v>18</v>
      </c>
      <c r="D45" s="180" t="s">
        <v>23</v>
      </c>
      <c r="E45" s="238">
        <v>77</v>
      </c>
      <c r="F45" s="238">
        <v>79</v>
      </c>
      <c r="G45" s="238">
        <v>70</v>
      </c>
      <c r="H45" s="238">
        <v>83</v>
      </c>
      <c r="I45" s="238">
        <v>81</v>
      </c>
      <c r="J45" s="238">
        <v>85</v>
      </c>
      <c r="K45" s="245">
        <v>82</v>
      </c>
      <c r="L45" s="242">
        <v>85</v>
      </c>
      <c r="M45" s="243">
        <v>92</v>
      </c>
      <c r="N45" s="192">
        <v>96</v>
      </c>
      <c r="O45" s="15">
        <f t="shared" si="0"/>
        <v>830</v>
      </c>
      <c r="P45" s="33">
        <f t="shared" si="1"/>
        <v>83</v>
      </c>
      <c r="Q45" s="15">
        <f t="shared" si="2"/>
        <v>25</v>
      </c>
      <c r="R45" s="20"/>
      <c r="S45" s="20"/>
      <c r="T45"/>
    </row>
    <row r="46" spans="1:20" ht="20.100000000000001" customHeight="1" x14ac:dyDescent="0.25">
      <c r="A46" s="121">
        <v>43</v>
      </c>
      <c r="B46" s="142"/>
      <c r="C46" s="180">
        <v>17</v>
      </c>
      <c r="D46" s="180" t="s">
        <v>20</v>
      </c>
      <c r="E46" s="238">
        <v>92</v>
      </c>
      <c r="F46" s="238">
        <v>95</v>
      </c>
      <c r="G46" s="238">
        <v>95</v>
      </c>
      <c r="H46" s="238">
        <v>95</v>
      </c>
      <c r="I46" s="238">
        <v>95</v>
      </c>
      <c r="J46" s="238">
        <v>94</v>
      </c>
      <c r="K46" s="245">
        <v>91</v>
      </c>
      <c r="L46" s="242">
        <v>99</v>
      </c>
      <c r="M46" s="243">
        <v>100</v>
      </c>
      <c r="N46" s="192">
        <v>100</v>
      </c>
      <c r="O46" s="15">
        <f t="shared" si="0"/>
        <v>956</v>
      </c>
      <c r="P46" s="33">
        <f t="shared" si="1"/>
        <v>95.6</v>
      </c>
      <c r="Q46" s="15">
        <f t="shared" si="2"/>
        <v>3</v>
      </c>
      <c r="R46" s="20"/>
      <c r="S46" s="20"/>
      <c r="T46"/>
    </row>
    <row r="47" spans="1:20" ht="20.100000000000001" customHeight="1" x14ac:dyDescent="0.25">
      <c r="A47" s="121">
        <v>44</v>
      </c>
      <c r="B47" s="142"/>
      <c r="C47" s="180">
        <v>17</v>
      </c>
      <c r="D47" s="180" t="s">
        <v>20</v>
      </c>
      <c r="E47" s="238">
        <v>93</v>
      </c>
      <c r="F47" s="238">
        <v>90</v>
      </c>
      <c r="G47" s="238">
        <v>92</v>
      </c>
      <c r="H47" s="238">
        <v>89</v>
      </c>
      <c r="I47" s="238">
        <v>88</v>
      </c>
      <c r="J47" s="238">
        <v>93</v>
      </c>
      <c r="K47" s="245">
        <v>92</v>
      </c>
      <c r="L47" s="242">
        <v>100</v>
      </c>
      <c r="M47" s="243">
        <v>100</v>
      </c>
      <c r="N47" s="192">
        <v>100</v>
      </c>
      <c r="O47" s="15">
        <f t="shared" si="0"/>
        <v>937</v>
      </c>
      <c r="P47" s="33">
        <f t="shared" si="1"/>
        <v>93.7</v>
      </c>
      <c r="Q47" s="15">
        <f t="shared" si="2"/>
        <v>6</v>
      </c>
      <c r="R47" s="20"/>
      <c r="S47" s="20"/>
      <c r="T47"/>
    </row>
    <row r="48" spans="1:20" ht="20.100000000000001" customHeight="1" x14ac:dyDescent="0.25">
      <c r="A48" s="121">
        <v>45</v>
      </c>
      <c r="B48" s="142"/>
      <c r="C48" s="180">
        <v>18</v>
      </c>
      <c r="D48" s="180" t="s">
        <v>20</v>
      </c>
      <c r="E48" s="238">
        <v>80</v>
      </c>
      <c r="F48" s="238">
        <v>95</v>
      </c>
      <c r="G48" s="238">
        <v>96</v>
      </c>
      <c r="H48" s="238">
        <v>93</v>
      </c>
      <c r="I48" s="238">
        <v>95</v>
      </c>
      <c r="J48" s="238">
        <v>92</v>
      </c>
      <c r="K48" s="245">
        <v>91</v>
      </c>
      <c r="L48" s="242">
        <v>99</v>
      </c>
      <c r="M48" s="243">
        <v>100</v>
      </c>
      <c r="N48" s="192">
        <v>100</v>
      </c>
      <c r="O48" s="15">
        <f t="shared" si="0"/>
        <v>941</v>
      </c>
      <c r="P48" s="33">
        <f t="shared" si="1"/>
        <v>94.1</v>
      </c>
      <c r="Q48" s="15">
        <f t="shared" si="2"/>
        <v>5</v>
      </c>
      <c r="R48" s="20"/>
      <c r="S48" s="20"/>
      <c r="T48"/>
    </row>
    <row r="49" spans="1:20" ht="20.100000000000001" customHeight="1" x14ac:dyDescent="0.25">
      <c r="A49" s="121">
        <v>46</v>
      </c>
      <c r="B49" s="20"/>
      <c r="C49" s="20"/>
      <c r="D49" s="20"/>
      <c r="E49" s="20"/>
      <c r="F49" s="238"/>
      <c r="G49" s="238"/>
      <c r="H49" s="238"/>
      <c r="I49" s="238"/>
      <c r="J49" s="20"/>
      <c r="K49" s="20"/>
      <c r="L49" s="69"/>
      <c r="M49" s="69"/>
      <c r="N49" s="20"/>
      <c r="O49" s="20"/>
      <c r="P49" s="20"/>
      <c r="Q49" s="20"/>
      <c r="R49" s="20"/>
      <c r="S49" s="20"/>
      <c r="T49"/>
    </row>
    <row r="50" spans="1:20" ht="20.100000000000001" customHeight="1" x14ac:dyDescent="0.25">
      <c r="A50" s="121">
        <v>47</v>
      </c>
      <c r="B50" s="20"/>
      <c r="C50" s="20"/>
      <c r="D50" s="20"/>
      <c r="E50" s="20"/>
      <c r="F50" s="20"/>
      <c r="G50" s="20"/>
      <c r="H50" s="20"/>
      <c r="I50" s="20"/>
      <c r="J50" s="20"/>
      <c r="K50" s="20"/>
      <c r="L50" s="20"/>
      <c r="M50" s="20"/>
      <c r="N50" s="20"/>
      <c r="O50" s="20"/>
      <c r="P50" s="20"/>
      <c r="Q50" s="20"/>
      <c r="R50" s="20"/>
      <c r="S50" s="20"/>
      <c r="T50"/>
    </row>
    <row r="51" spans="1:20" ht="20.100000000000001" customHeight="1" x14ac:dyDescent="0.25">
      <c r="A51" s="121">
        <v>48</v>
      </c>
      <c r="B51" s="20"/>
      <c r="C51" s="20"/>
      <c r="D51" s="20"/>
      <c r="E51" s="20"/>
      <c r="F51" s="20"/>
      <c r="G51" s="20"/>
      <c r="H51" s="20"/>
      <c r="I51" s="20"/>
      <c r="J51" s="20"/>
      <c r="K51" s="20"/>
      <c r="L51" s="20"/>
      <c r="M51" s="20"/>
      <c r="N51" s="20"/>
      <c r="O51" s="20"/>
      <c r="P51" s="20"/>
      <c r="Q51" s="20"/>
      <c r="R51" s="20"/>
      <c r="S51" s="20"/>
      <c r="T51"/>
    </row>
    <row r="52" spans="1:20" ht="20.100000000000001" customHeight="1" x14ac:dyDescent="0.25">
      <c r="A52" s="121">
        <v>49</v>
      </c>
      <c r="B52" s="20"/>
      <c r="C52" s="20"/>
      <c r="D52" s="20"/>
      <c r="E52" s="20"/>
      <c r="F52" s="20"/>
      <c r="G52" s="20"/>
      <c r="H52" s="20"/>
      <c r="I52" s="20"/>
      <c r="J52" s="20"/>
      <c r="K52" s="20"/>
      <c r="L52" s="20"/>
      <c r="M52" s="20"/>
      <c r="N52" s="20"/>
      <c r="O52" s="20"/>
      <c r="P52" s="20"/>
      <c r="Q52" s="20"/>
      <c r="R52" s="20"/>
      <c r="S52" s="20"/>
      <c r="T52"/>
    </row>
    <row r="53" spans="1:20" ht="20.100000000000001" customHeight="1" x14ac:dyDescent="0.25">
      <c r="A53" s="121">
        <v>50</v>
      </c>
      <c r="B53" s="20"/>
      <c r="C53" s="20"/>
      <c r="D53" s="20"/>
      <c r="E53" s="20"/>
      <c r="F53" s="20"/>
      <c r="G53" s="20"/>
      <c r="H53" s="20"/>
      <c r="I53" s="20"/>
      <c r="J53" s="20"/>
      <c r="K53" s="20"/>
      <c r="L53" s="20"/>
      <c r="M53" s="20"/>
      <c r="N53" s="20"/>
      <c r="O53" s="20"/>
      <c r="P53" s="20"/>
      <c r="Q53" s="20"/>
      <c r="R53" s="20"/>
      <c r="S53" s="20"/>
      <c r="T53"/>
    </row>
    <row r="54" spans="1:20" ht="20.100000000000001" customHeight="1" x14ac:dyDescent="0.25">
      <c r="A54" s="121">
        <v>51</v>
      </c>
      <c r="B54" s="20"/>
      <c r="C54" s="20"/>
      <c r="D54" s="20"/>
      <c r="E54" s="20"/>
      <c r="F54" s="20"/>
      <c r="G54" s="20"/>
      <c r="H54" s="20"/>
      <c r="I54" s="20"/>
      <c r="J54" s="20"/>
      <c r="K54" s="20"/>
      <c r="L54" s="20"/>
      <c r="M54" s="20"/>
      <c r="N54" s="20"/>
      <c r="O54" s="20"/>
      <c r="P54" s="20"/>
      <c r="Q54" s="20"/>
      <c r="R54" s="20"/>
      <c r="S54" s="20"/>
      <c r="T54"/>
    </row>
    <row r="55" spans="1:20" ht="20.100000000000001" customHeight="1" x14ac:dyDescent="0.25">
      <c r="A55" s="121">
        <v>52</v>
      </c>
      <c r="B55" s="20"/>
      <c r="C55" s="20"/>
      <c r="D55" s="20"/>
      <c r="E55" s="20"/>
      <c r="F55" s="20"/>
      <c r="G55" s="20"/>
      <c r="H55" s="20"/>
      <c r="I55" s="20"/>
      <c r="J55" s="20"/>
      <c r="K55" s="20"/>
      <c r="L55" s="20"/>
      <c r="M55" s="20"/>
      <c r="N55" s="20"/>
      <c r="O55" s="20"/>
      <c r="P55" s="15"/>
      <c r="Q55" s="15"/>
      <c r="R55" s="15"/>
      <c r="S55" s="15"/>
    </row>
    <row r="56" spans="1:20" ht="20.100000000000001" customHeight="1" x14ac:dyDescent="0.25">
      <c r="A56" s="121">
        <v>53</v>
      </c>
      <c r="B56" s="20"/>
      <c r="C56" s="20"/>
      <c r="D56" s="20"/>
      <c r="E56" s="20"/>
      <c r="F56" s="20"/>
      <c r="G56" s="20"/>
      <c r="H56" s="20"/>
      <c r="I56" s="20"/>
      <c r="J56" s="20"/>
      <c r="K56" s="20"/>
      <c r="L56" s="20"/>
      <c r="M56" s="20"/>
      <c r="N56" s="20"/>
      <c r="O56" s="20"/>
      <c r="P56" s="15"/>
      <c r="Q56" s="15"/>
      <c r="R56" s="15"/>
      <c r="S56" s="15"/>
    </row>
    <row r="57" spans="1:20" ht="20.100000000000001" customHeight="1" x14ac:dyDescent="0.25">
      <c r="A57" s="121">
        <v>54</v>
      </c>
      <c r="B57" s="20"/>
      <c r="C57" s="20"/>
      <c r="D57" s="20"/>
      <c r="E57" s="20"/>
      <c r="F57" s="20"/>
      <c r="G57" s="20"/>
      <c r="H57" s="20"/>
      <c r="I57" s="20"/>
      <c r="J57" s="20"/>
      <c r="K57" s="20"/>
      <c r="L57" s="20"/>
      <c r="M57" s="20"/>
      <c r="N57" s="20"/>
      <c r="O57" s="20"/>
      <c r="P57" s="15"/>
      <c r="Q57" s="15"/>
      <c r="R57" s="15"/>
      <c r="S57" s="15"/>
    </row>
    <row r="58" spans="1:20" ht="20.100000000000001" customHeight="1" x14ac:dyDescent="0.25">
      <c r="A58" s="121">
        <v>55</v>
      </c>
      <c r="B58" s="20"/>
      <c r="C58" s="20"/>
      <c r="D58" s="20"/>
      <c r="E58" s="20"/>
      <c r="F58" s="20"/>
      <c r="G58" s="20"/>
      <c r="H58" s="20"/>
      <c r="I58" s="20"/>
      <c r="J58" s="20"/>
      <c r="K58" s="20"/>
      <c r="L58" s="20"/>
      <c r="M58" s="20"/>
      <c r="N58" s="20"/>
      <c r="O58" s="20"/>
      <c r="P58" s="15"/>
      <c r="Q58" s="15"/>
      <c r="R58" s="15"/>
      <c r="S58" s="15"/>
    </row>
  </sheetData>
  <mergeCells count="2">
    <mergeCell ref="A1:T1"/>
    <mergeCell ref="A2:T2"/>
  </mergeCells>
  <pageMargins left="0.7" right="0.7" top="0.75" bottom="0.75" header="0.3" footer="0.3"/>
  <pageSetup paperSize="9" scale="50" fitToHeight="0" orientation="portrait" verticalDpi="0"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8"/>
  <sheetViews>
    <sheetView workbookViewId="0">
      <selection activeCell="B4" sqref="B4:B48"/>
    </sheetView>
  </sheetViews>
  <sheetFormatPr defaultRowHeight="15" x14ac:dyDescent="0.25"/>
  <cols>
    <col min="1" max="1" width="6.7109375" style="14" customWidth="1"/>
    <col min="2" max="2" width="35.140625" bestFit="1" customWidth="1"/>
    <col min="3" max="3" width="4.7109375" customWidth="1"/>
    <col min="4" max="4" width="4.140625" customWidth="1"/>
    <col min="5" max="5" width="12" style="14" customWidth="1"/>
    <col min="6" max="7" width="10.5703125" style="14" customWidth="1"/>
  </cols>
  <sheetData>
    <row r="1" spans="1:8" ht="20.25" x14ac:dyDescent="0.25">
      <c r="A1" s="288" t="s">
        <v>66</v>
      </c>
      <c r="B1" s="289"/>
      <c r="C1" s="289"/>
      <c r="D1" s="289"/>
      <c r="E1" s="289"/>
      <c r="F1" s="289"/>
      <c r="G1" s="289"/>
      <c r="H1" s="289"/>
    </row>
    <row r="2" spans="1:8" x14ac:dyDescent="0.25">
      <c r="A2" s="290" t="s">
        <v>68</v>
      </c>
      <c r="B2" s="291"/>
      <c r="C2" s="291"/>
      <c r="D2" s="291"/>
      <c r="E2" s="291"/>
      <c r="F2" s="291"/>
      <c r="G2" s="291"/>
      <c r="H2" s="291"/>
    </row>
    <row r="3" spans="1:8" ht="67.5" customHeight="1" thickBot="1" x14ac:dyDescent="0.3">
      <c r="A3" s="21" t="s">
        <v>24</v>
      </c>
      <c r="B3" s="22" t="s">
        <v>1</v>
      </c>
      <c r="C3" s="23" t="s">
        <v>2</v>
      </c>
      <c r="D3" s="22" t="s">
        <v>3</v>
      </c>
      <c r="E3" s="72" t="s">
        <v>26</v>
      </c>
      <c r="F3" s="72" t="s">
        <v>27</v>
      </c>
      <c r="G3" s="72" t="s">
        <v>16</v>
      </c>
      <c r="H3" s="123" t="s">
        <v>17</v>
      </c>
    </row>
    <row r="4" spans="1:8" ht="20.100000000000001" customHeight="1" x14ac:dyDescent="0.25">
      <c r="A4" s="136">
        <v>1</v>
      </c>
      <c r="B4" s="142"/>
      <c r="C4" s="180">
        <v>17</v>
      </c>
      <c r="D4" s="180" t="s">
        <v>20</v>
      </c>
      <c r="E4" s="33">
        <f>'12A Sem 1'!P4</f>
        <v>73.5</v>
      </c>
      <c r="F4" s="33">
        <f>'12A (NS)Sem 2'!P4</f>
        <v>80.400000000000006</v>
      </c>
      <c r="G4" s="33">
        <f>AVERAGE(E4:F4)</f>
        <v>76.95</v>
      </c>
      <c r="H4" s="15">
        <f>RANK(G4,$G$4:$G$48)</f>
        <v>35</v>
      </c>
    </row>
    <row r="5" spans="1:8" ht="20.100000000000001" customHeight="1" x14ac:dyDescent="0.25">
      <c r="A5" s="121">
        <v>2</v>
      </c>
      <c r="B5" s="142"/>
      <c r="C5" s="180">
        <v>17</v>
      </c>
      <c r="D5" s="180" t="s">
        <v>23</v>
      </c>
      <c r="E5" s="33">
        <f>'12A Sem 1'!P5</f>
        <v>87.9</v>
      </c>
      <c r="F5" s="33">
        <f>'12A (NS)Sem 2'!P5</f>
        <v>89.2</v>
      </c>
      <c r="G5" s="33">
        <f t="shared" ref="G5:G58" si="0">AVERAGE(E5:F5)</f>
        <v>88.550000000000011</v>
      </c>
      <c r="H5" s="15">
        <f t="shared" ref="H5:H48" si="1">RANK(G5,$G$4:$G$48)</f>
        <v>9</v>
      </c>
    </row>
    <row r="6" spans="1:8" ht="20.100000000000001" customHeight="1" x14ac:dyDescent="0.25">
      <c r="A6" s="137">
        <v>3</v>
      </c>
      <c r="B6" s="142"/>
      <c r="C6" s="180">
        <v>18</v>
      </c>
      <c r="D6" s="180" t="s">
        <v>23</v>
      </c>
      <c r="E6" s="33">
        <f>'12A Sem 1'!P6</f>
        <v>90.5</v>
      </c>
      <c r="F6" s="33">
        <f>'12A (NS)Sem 2'!P6</f>
        <v>91.4</v>
      </c>
      <c r="G6" s="33">
        <f t="shared" si="0"/>
        <v>90.95</v>
      </c>
      <c r="H6" s="15">
        <f t="shared" si="1"/>
        <v>8</v>
      </c>
    </row>
    <row r="7" spans="1:8" ht="20.100000000000001" customHeight="1" x14ac:dyDescent="0.25">
      <c r="A7" s="121">
        <v>4</v>
      </c>
      <c r="B7" s="142"/>
      <c r="C7" s="180">
        <v>17</v>
      </c>
      <c r="D7" s="180" t="s">
        <v>23</v>
      </c>
      <c r="E7" s="33">
        <f>'12A Sem 1'!P7</f>
        <v>71</v>
      </c>
      <c r="F7" s="33">
        <f>'12A (NS)Sem 2'!P7</f>
        <v>78.5</v>
      </c>
      <c r="G7" s="33">
        <f t="shared" si="0"/>
        <v>74.75</v>
      </c>
      <c r="H7" s="15">
        <f t="shared" si="1"/>
        <v>44</v>
      </c>
    </row>
    <row r="8" spans="1:8" ht="20.100000000000001" customHeight="1" x14ac:dyDescent="0.25">
      <c r="A8" s="121">
        <v>5</v>
      </c>
      <c r="B8" s="142"/>
      <c r="C8" s="180">
        <v>16</v>
      </c>
      <c r="D8" s="180" t="s">
        <v>20</v>
      </c>
      <c r="E8" s="33">
        <f>'12A Sem 1'!P8</f>
        <v>82</v>
      </c>
      <c r="F8" s="33">
        <f>'12A (NS)Sem 2'!P8</f>
        <v>85.8</v>
      </c>
      <c r="G8" s="33">
        <f t="shared" si="0"/>
        <v>83.9</v>
      </c>
      <c r="H8" s="15">
        <f t="shared" si="1"/>
        <v>16</v>
      </c>
    </row>
    <row r="9" spans="1:8" ht="20.100000000000001" customHeight="1" x14ac:dyDescent="0.25">
      <c r="A9" s="137">
        <v>6</v>
      </c>
      <c r="B9" s="142"/>
      <c r="C9" s="180">
        <v>16</v>
      </c>
      <c r="D9" s="180" t="s">
        <v>20</v>
      </c>
      <c r="E9" s="33">
        <f>'12A Sem 1'!P9</f>
        <v>65.900000000000006</v>
      </c>
      <c r="F9" s="33">
        <f>'12A (NS)Sem 2'!P9</f>
        <v>74.8</v>
      </c>
      <c r="G9" s="33">
        <f t="shared" si="0"/>
        <v>70.349999999999994</v>
      </c>
      <c r="H9" s="15">
        <f t="shared" si="1"/>
        <v>45</v>
      </c>
    </row>
    <row r="10" spans="1:8" ht="20.100000000000001" customHeight="1" x14ac:dyDescent="0.25">
      <c r="A10" s="121">
        <v>7</v>
      </c>
      <c r="B10" s="142"/>
      <c r="C10" s="180">
        <v>17</v>
      </c>
      <c r="D10" s="180" t="s">
        <v>20</v>
      </c>
      <c r="E10" s="33">
        <f>'12A Sem 1'!P10</f>
        <v>83.3</v>
      </c>
      <c r="F10" s="33">
        <f>'12A (NS)Sem 2'!P10</f>
        <v>84.1</v>
      </c>
      <c r="G10" s="33">
        <f t="shared" si="0"/>
        <v>83.699999999999989</v>
      </c>
      <c r="H10" s="15">
        <f t="shared" si="1"/>
        <v>17</v>
      </c>
    </row>
    <row r="11" spans="1:8" ht="20.100000000000001" customHeight="1" x14ac:dyDescent="0.25">
      <c r="A11" s="121">
        <v>8</v>
      </c>
      <c r="B11" s="142"/>
      <c r="C11" s="180">
        <v>18</v>
      </c>
      <c r="D11" s="180" t="s">
        <v>23</v>
      </c>
      <c r="E11" s="33">
        <f>'12A Sem 1'!P11</f>
        <v>86.8</v>
      </c>
      <c r="F11" s="33">
        <f>'12A (NS)Sem 2'!P11</f>
        <v>88.1</v>
      </c>
      <c r="G11" s="33">
        <f t="shared" si="0"/>
        <v>87.449999999999989</v>
      </c>
      <c r="H11" s="15">
        <f t="shared" si="1"/>
        <v>12</v>
      </c>
    </row>
    <row r="12" spans="1:8" ht="20.100000000000001" customHeight="1" x14ac:dyDescent="0.25">
      <c r="A12" s="137">
        <v>9</v>
      </c>
      <c r="B12" s="142"/>
      <c r="C12" s="180">
        <v>18</v>
      </c>
      <c r="D12" s="180" t="s">
        <v>23</v>
      </c>
      <c r="E12" s="33">
        <f>'12A Sem 1'!P12</f>
        <v>76.400000000000006</v>
      </c>
      <c r="F12" s="33">
        <f>'12A (NS)Sem 2'!P12</f>
        <v>81.3</v>
      </c>
      <c r="G12" s="33">
        <f t="shared" si="0"/>
        <v>78.849999999999994</v>
      </c>
      <c r="H12" s="15">
        <f t="shared" si="1"/>
        <v>30</v>
      </c>
    </row>
    <row r="13" spans="1:8" ht="20.100000000000001" customHeight="1" x14ac:dyDescent="0.25">
      <c r="A13" s="121">
        <v>10</v>
      </c>
      <c r="B13" s="142"/>
      <c r="C13" s="180">
        <v>18</v>
      </c>
      <c r="D13" s="180" t="s">
        <v>23</v>
      </c>
      <c r="E13" s="33">
        <f>'12A Sem 1'!P13</f>
        <v>74</v>
      </c>
      <c r="F13" s="33">
        <f>'12A (NS)Sem 2'!P13</f>
        <v>77.3</v>
      </c>
      <c r="G13" s="33">
        <f t="shared" si="0"/>
        <v>75.650000000000006</v>
      </c>
      <c r="H13" s="15">
        <f t="shared" si="1"/>
        <v>40</v>
      </c>
    </row>
    <row r="14" spans="1:8" ht="20.100000000000001" customHeight="1" x14ac:dyDescent="0.25">
      <c r="A14" s="137">
        <v>11</v>
      </c>
      <c r="B14" s="142"/>
      <c r="C14" s="180">
        <v>18</v>
      </c>
      <c r="D14" s="180" t="s">
        <v>23</v>
      </c>
      <c r="E14" s="33">
        <f>'12A Sem 1'!P14</f>
        <v>82.2</v>
      </c>
      <c r="F14" s="33">
        <f>'12A (NS)Sem 2'!P14</f>
        <v>84.2</v>
      </c>
      <c r="G14" s="33">
        <f t="shared" si="0"/>
        <v>83.2</v>
      </c>
      <c r="H14" s="15">
        <f t="shared" si="1"/>
        <v>19</v>
      </c>
    </row>
    <row r="15" spans="1:8" ht="20.100000000000001" customHeight="1" x14ac:dyDescent="0.25">
      <c r="A15" s="137">
        <v>12</v>
      </c>
      <c r="B15" s="142"/>
      <c r="C15" s="180">
        <v>16</v>
      </c>
      <c r="D15" s="180" t="s">
        <v>20</v>
      </c>
      <c r="E15" s="33">
        <f>'12A Sem 1'!P15</f>
        <v>81.599999999999994</v>
      </c>
      <c r="F15" s="33">
        <f>'12A (NS)Sem 2'!P15</f>
        <v>83.8</v>
      </c>
      <c r="G15" s="33">
        <f t="shared" si="0"/>
        <v>82.699999999999989</v>
      </c>
      <c r="H15" s="15">
        <f t="shared" si="1"/>
        <v>21</v>
      </c>
    </row>
    <row r="16" spans="1:8" ht="20.100000000000001" customHeight="1" x14ac:dyDescent="0.25">
      <c r="A16" s="137">
        <v>13</v>
      </c>
      <c r="B16" s="142"/>
      <c r="C16" s="180">
        <v>17</v>
      </c>
      <c r="D16" s="180" t="s">
        <v>23</v>
      </c>
      <c r="E16" s="33">
        <f>'12A Sem 1'!P16</f>
        <v>80.099999999999994</v>
      </c>
      <c r="F16" s="33">
        <f>'12A (NS)Sem 2'!P16</f>
        <v>81.5</v>
      </c>
      <c r="G16" s="33">
        <f t="shared" si="0"/>
        <v>80.8</v>
      </c>
      <c r="H16" s="15">
        <f t="shared" si="1"/>
        <v>24</v>
      </c>
    </row>
    <row r="17" spans="1:8" ht="20.100000000000001" customHeight="1" x14ac:dyDescent="0.25">
      <c r="A17" s="121">
        <v>14</v>
      </c>
      <c r="B17" s="142"/>
      <c r="C17" s="180">
        <v>17</v>
      </c>
      <c r="D17" s="180" t="s">
        <v>23</v>
      </c>
      <c r="E17" s="33">
        <f>'12A Sem 1'!P17</f>
        <v>76.5</v>
      </c>
      <c r="F17" s="33">
        <f>'12A (NS)Sem 2'!P17</f>
        <v>80.444444444444443</v>
      </c>
      <c r="G17" s="33">
        <f t="shared" si="0"/>
        <v>78.472222222222229</v>
      </c>
      <c r="H17" s="15">
        <f t="shared" si="1"/>
        <v>33</v>
      </c>
    </row>
    <row r="18" spans="1:8" ht="20.100000000000001" customHeight="1" x14ac:dyDescent="0.25">
      <c r="A18" s="137">
        <v>15</v>
      </c>
      <c r="B18" s="142"/>
      <c r="C18" s="180">
        <v>17</v>
      </c>
      <c r="D18" s="180" t="s">
        <v>23</v>
      </c>
      <c r="E18" s="33">
        <f>'12A Sem 1'!P18</f>
        <v>88.1</v>
      </c>
      <c r="F18" s="33">
        <f>'12A (NS)Sem 2'!P18</f>
        <v>88.4</v>
      </c>
      <c r="G18" s="33">
        <f t="shared" si="0"/>
        <v>88.25</v>
      </c>
      <c r="H18" s="15">
        <f t="shared" si="1"/>
        <v>11</v>
      </c>
    </row>
    <row r="19" spans="1:8" ht="20.100000000000001" customHeight="1" x14ac:dyDescent="0.25">
      <c r="A19" s="121">
        <v>16</v>
      </c>
      <c r="B19" s="142"/>
      <c r="C19" s="180">
        <v>17</v>
      </c>
      <c r="D19" s="180" t="s">
        <v>23</v>
      </c>
      <c r="E19" s="33">
        <f>'12A Sem 1'!P19</f>
        <v>81.599999999999994</v>
      </c>
      <c r="F19" s="33">
        <f>'12A (NS)Sem 2'!P19</f>
        <v>83.8</v>
      </c>
      <c r="G19" s="33">
        <f t="shared" si="0"/>
        <v>82.699999999999989</v>
      </c>
      <c r="H19" s="15">
        <f t="shared" si="1"/>
        <v>21</v>
      </c>
    </row>
    <row r="20" spans="1:8" ht="20.100000000000001" customHeight="1" x14ac:dyDescent="0.25">
      <c r="A20" s="121">
        <v>17</v>
      </c>
      <c r="B20" s="142"/>
      <c r="C20" s="180">
        <v>18</v>
      </c>
      <c r="D20" s="180" t="s">
        <v>23</v>
      </c>
      <c r="E20" s="33">
        <f>'12A Sem 1'!P20</f>
        <v>71.900000000000006</v>
      </c>
      <c r="F20" s="33">
        <f>'12A (NS)Sem 2'!P20</f>
        <v>77.7</v>
      </c>
      <c r="G20" s="33">
        <f t="shared" si="0"/>
        <v>74.800000000000011</v>
      </c>
      <c r="H20" s="15">
        <f t="shared" si="1"/>
        <v>43</v>
      </c>
    </row>
    <row r="21" spans="1:8" ht="20.100000000000001" customHeight="1" x14ac:dyDescent="0.25">
      <c r="A21" s="121">
        <v>18</v>
      </c>
      <c r="B21" s="142"/>
      <c r="C21" s="180">
        <v>17</v>
      </c>
      <c r="D21" s="180" t="s">
        <v>23</v>
      </c>
      <c r="E21" s="33">
        <f>'12A Sem 1'!P21</f>
        <v>81.3</v>
      </c>
      <c r="F21" s="33">
        <f>'12A (NS)Sem 2'!P21</f>
        <v>85</v>
      </c>
      <c r="G21" s="33">
        <f t="shared" si="0"/>
        <v>83.15</v>
      </c>
      <c r="H21" s="15">
        <f t="shared" si="1"/>
        <v>20</v>
      </c>
    </row>
    <row r="22" spans="1:8" ht="20.100000000000001" customHeight="1" x14ac:dyDescent="0.25">
      <c r="A22" s="137">
        <v>19</v>
      </c>
      <c r="B22" s="142"/>
      <c r="C22" s="180">
        <v>17</v>
      </c>
      <c r="D22" s="180" t="s">
        <v>20</v>
      </c>
      <c r="E22" s="33">
        <f>'12A Sem 1'!P22</f>
        <v>73.5</v>
      </c>
      <c r="F22" s="33">
        <f>'12A (NS)Sem 2'!P22</f>
        <v>78.900000000000006</v>
      </c>
      <c r="G22" s="33">
        <f t="shared" si="0"/>
        <v>76.2</v>
      </c>
      <c r="H22" s="15">
        <f t="shared" si="1"/>
        <v>36</v>
      </c>
    </row>
    <row r="23" spans="1:8" ht="20.100000000000001" customHeight="1" x14ac:dyDescent="0.25">
      <c r="A23" s="137">
        <v>20</v>
      </c>
      <c r="B23" s="142"/>
      <c r="C23" s="180">
        <v>17</v>
      </c>
      <c r="D23" s="180" t="s">
        <v>23</v>
      </c>
      <c r="E23" s="33">
        <f>'12A Sem 1'!P23</f>
        <v>85.4</v>
      </c>
      <c r="F23" s="33">
        <f>'12A (NS)Sem 2'!P23</f>
        <v>85.1</v>
      </c>
      <c r="G23" s="33">
        <f t="shared" si="0"/>
        <v>85.25</v>
      </c>
      <c r="H23" s="15">
        <f t="shared" si="1"/>
        <v>14</v>
      </c>
    </row>
    <row r="24" spans="1:8" ht="20.100000000000001" customHeight="1" x14ac:dyDescent="0.25">
      <c r="A24" s="137">
        <v>21</v>
      </c>
      <c r="B24" s="142"/>
      <c r="C24" s="180">
        <v>16</v>
      </c>
      <c r="D24" s="180" t="s">
        <v>23</v>
      </c>
      <c r="E24" s="33">
        <f>'12A Sem 1'!P24</f>
        <v>76.2</v>
      </c>
      <c r="F24" s="33">
        <f>'12A (NS)Sem 2'!P24</f>
        <v>79.3</v>
      </c>
      <c r="G24" s="33">
        <f t="shared" si="0"/>
        <v>77.75</v>
      </c>
      <c r="H24" s="15">
        <f t="shared" si="1"/>
        <v>34</v>
      </c>
    </row>
    <row r="25" spans="1:8" ht="20.100000000000001" customHeight="1" x14ac:dyDescent="0.25">
      <c r="A25" s="121">
        <v>22</v>
      </c>
      <c r="B25" s="142"/>
      <c r="C25" s="180">
        <v>16</v>
      </c>
      <c r="D25" s="180" t="s">
        <v>23</v>
      </c>
      <c r="E25" s="33">
        <f>'12A Sem 1'!P25</f>
        <v>72.5</v>
      </c>
      <c r="F25" s="33">
        <f>'12A (NS)Sem 2'!P25</f>
        <v>78.8</v>
      </c>
      <c r="G25" s="33">
        <f t="shared" si="0"/>
        <v>75.650000000000006</v>
      </c>
      <c r="H25" s="15">
        <f t="shared" si="1"/>
        <v>40</v>
      </c>
    </row>
    <row r="26" spans="1:8" ht="20.100000000000001" customHeight="1" x14ac:dyDescent="0.25">
      <c r="A26" s="121">
        <v>23</v>
      </c>
      <c r="B26" s="142"/>
      <c r="C26" s="180">
        <v>17</v>
      </c>
      <c r="D26" s="180" t="s">
        <v>23</v>
      </c>
      <c r="E26" s="33">
        <f>'12A Sem 1'!P26</f>
        <v>81.599999999999994</v>
      </c>
      <c r="F26" s="33">
        <f>'12A (NS)Sem 2'!P26</f>
        <v>83.1</v>
      </c>
      <c r="G26" s="33">
        <f t="shared" si="0"/>
        <v>82.35</v>
      </c>
      <c r="H26" s="15">
        <f t="shared" si="1"/>
        <v>23</v>
      </c>
    </row>
    <row r="27" spans="1:8" ht="20.100000000000001" customHeight="1" x14ac:dyDescent="0.25">
      <c r="A27" s="137">
        <v>24</v>
      </c>
      <c r="B27" s="142"/>
      <c r="C27" s="180">
        <v>17</v>
      </c>
      <c r="D27" s="180" t="s">
        <v>23</v>
      </c>
      <c r="E27" s="33">
        <f>'12A Sem 1'!P27</f>
        <v>80.3</v>
      </c>
      <c r="F27" s="33">
        <f>'12A (NS)Sem 2'!P27</f>
        <v>79.777777777777771</v>
      </c>
      <c r="G27" s="33">
        <f t="shared" si="0"/>
        <v>80.038888888888891</v>
      </c>
      <c r="H27" s="15">
        <f t="shared" si="1"/>
        <v>26</v>
      </c>
    </row>
    <row r="28" spans="1:8" ht="20.100000000000001" customHeight="1" x14ac:dyDescent="0.25">
      <c r="A28" s="121">
        <v>25</v>
      </c>
      <c r="B28" s="181"/>
      <c r="C28" s="182">
        <v>17</v>
      </c>
      <c r="D28" s="182" t="s">
        <v>23</v>
      </c>
      <c r="E28" s="33">
        <f>'12A Sem 1'!P28</f>
        <v>95.4</v>
      </c>
      <c r="F28" s="33">
        <f>'12A (NS)Sem 2'!P28</f>
        <v>96</v>
      </c>
      <c r="G28" s="33">
        <f t="shared" si="0"/>
        <v>95.7</v>
      </c>
      <c r="H28" s="15">
        <f t="shared" si="1"/>
        <v>3</v>
      </c>
    </row>
    <row r="29" spans="1:8" ht="20.100000000000001" customHeight="1" x14ac:dyDescent="0.25">
      <c r="A29" s="137">
        <v>26</v>
      </c>
      <c r="B29" s="142"/>
      <c r="C29" s="180">
        <v>18</v>
      </c>
      <c r="D29" s="180" t="s">
        <v>20</v>
      </c>
      <c r="E29" s="33">
        <f>'12A Sem 1'!P29</f>
        <v>73.5</v>
      </c>
      <c r="F29" s="33">
        <f>'12A (NS)Sem 2'!P29</f>
        <v>77.599999999999994</v>
      </c>
      <c r="G29" s="33">
        <f t="shared" si="0"/>
        <v>75.55</v>
      </c>
      <c r="H29" s="15">
        <f t="shared" si="1"/>
        <v>42</v>
      </c>
    </row>
    <row r="30" spans="1:8" ht="20.100000000000001" customHeight="1" x14ac:dyDescent="0.25">
      <c r="A30" s="137">
        <v>27</v>
      </c>
      <c r="B30" s="142"/>
      <c r="C30" s="180">
        <v>18</v>
      </c>
      <c r="D30" s="180" t="s">
        <v>23</v>
      </c>
      <c r="E30" s="33">
        <f>'12A Sem 1'!P30</f>
        <v>81</v>
      </c>
      <c r="F30" s="33">
        <f>'12A (NS)Sem 2'!P30</f>
        <v>85.9</v>
      </c>
      <c r="G30" s="33">
        <f t="shared" si="0"/>
        <v>83.45</v>
      </c>
      <c r="H30" s="15">
        <f t="shared" si="1"/>
        <v>18</v>
      </c>
    </row>
    <row r="31" spans="1:8" ht="20.100000000000001" customHeight="1" x14ac:dyDescent="0.25">
      <c r="A31" s="137">
        <v>28</v>
      </c>
      <c r="B31" s="142"/>
      <c r="C31" s="180">
        <v>17</v>
      </c>
      <c r="D31" s="180" t="s">
        <v>23</v>
      </c>
      <c r="E31" s="33">
        <f>'12A Sem 1'!P31</f>
        <v>78.2</v>
      </c>
      <c r="F31" s="33">
        <f>'12A (NS)Sem 2'!P31</f>
        <v>83</v>
      </c>
      <c r="G31" s="33">
        <f t="shared" si="0"/>
        <v>80.599999999999994</v>
      </c>
      <c r="H31" s="15">
        <f t="shared" si="1"/>
        <v>25</v>
      </c>
    </row>
    <row r="32" spans="1:8" ht="20.100000000000001" customHeight="1" x14ac:dyDescent="0.25">
      <c r="A32" s="121">
        <v>29</v>
      </c>
      <c r="B32" s="142"/>
      <c r="C32" s="180">
        <v>17</v>
      </c>
      <c r="D32" s="180" t="s">
        <v>23</v>
      </c>
      <c r="E32" s="33">
        <f>'12A Sem 1'!P32</f>
        <v>84.2</v>
      </c>
      <c r="F32" s="33">
        <f>'12A (NS)Sem 2'!P32</f>
        <v>88.3</v>
      </c>
      <c r="G32" s="33">
        <f t="shared" si="0"/>
        <v>86.25</v>
      </c>
      <c r="H32" s="15">
        <f t="shared" si="1"/>
        <v>13</v>
      </c>
    </row>
    <row r="33" spans="1:8" ht="20.100000000000001" customHeight="1" x14ac:dyDescent="0.25">
      <c r="A33" s="137">
        <v>30</v>
      </c>
      <c r="B33" s="142"/>
      <c r="C33" s="180">
        <v>18</v>
      </c>
      <c r="D33" s="180" t="s">
        <v>23</v>
      </c>
      <c r="E33" s="33">
        <f>'12A Sem 1'!P33</f>
        <v>76.2</v>
      </c>
      <c r="F33" s="33">
        <f>'12A (NS)Sem 2'!P33</f>
        <v>83.2</v>
      </c>
      <c r="G33" s="33">
        <f t="shared" si="0"/>
        <v>79.7</v>
      </c>
      <c r="H33" s="15">
        <f t="shared" si="1"/>
        <v>28</v>
      </c>
    </row>
    <row r="34" spans="1:8" ht="20.100000000000001" customHeight="1" x14ac:dyDescent="0.25">
      <c r="A34" s="121">
        <v>31</v>
      </c>
      <c r="B34" s="159"/>
      <c r="C34" s="188">
        <v>17</v>
      </c>
      <c r="D34" s="188" t="s">
        <v>23</v>
      </c>
      <c r="E34" s="33">
        <f>'12A Sem 1'!P34</f>
        <v>96.5</v>
      </c>
      <c r="F34" s="33">
        <f>'12A (NS)Sem 2'!P34</f>
        <v>97.3</v>
      </c>
      <c r="G34" s="33">
        <f t="shared" si="0"/>
        <v>96.9</v>
      </c>
      <c r="H34" s="15">
        <f t="shared" si="1"/>
        <v>1</v>
      </c>
    </row>
    <row r="35" spans="1:8" ht="20.100000000000001" customHeight="1" x14ac:dyDescent="0.25">
      <c r="A35" s="137">
        <v>32</v>
      </c>
      <c r="B35" s="142"/>
      <c r="C35" s="180">
        <v>17</v>
      </c>
      <c r="D35" s="180" t="s">
        <v>23</v>
      </c>
      <c r="E35" s="33">
        <f>'12A Sem 1'!P35</f>
        <v>76.099999999999994</v>
      </c>
      <c r="F35" s="33">
        <f>'12A (NS)Sem 2'!P35</f>
        <v>81.099999999999994</v>
      </c>
      <c r="G35" s="33">
        <f t="shared" si="0"/>
        <v>78.599999999999994</v>
      </c>
      <c r="H35" s="15">
        <f t="shared" si="1"/>
        <v>32</v>
      </c>
    </row>
    <row r="36" spans="1:8" ht="20.100000000000001" customHeight="1" x14ac:dyDescent="0.25">
      <c r="A36" s="121">
        <v>33</v>
      </c>
      <c r="B36" s="142"/>
      <c r="C36" s="180">
        <v>18</v>
      </c>
      <c r="D36" s="180" t="s">
        <v>23</v>
      </c>
      <c r="E36" s="33">
        <f>'12A Sem 1'!P36</f>
        <v>76.8</v>
      </c>
      <c r="F36" s="33">
        <f>'12A (NS)Sem 2'!P36</f>
        <v>80.7</v>
      </c>
      <c r="G36" s="33">
        <f t="shared" si="0"/>
        <v>78.75</v>
      </c>
      <c r="H36" s="15">
        <f t="shared" si="1"/>
        <v>31</v>
      </c>
    </row>
    <row r="37" spans="1:8" ht="20.100000000000001" customHeight="1" x14ac:dyDescent="0.25">
      <c r="A37" s="137">
        <v>34</v>
      </c>
      <c r="B37" s="181"/>
      <c r="C37" s="182">
        <v>17</v>
      </c>
      <c r="D37" s="182" t="s">
        <v>23</v>
      </c>
      <c r="E37" s="33">
        <f>'12A Sem 1'!P37</f>
        <v>83.1</v>
      </c>
      <c r="F37" s="33">
        <f>'12A (NS)Sem 2'!P37</f>
        <v>85.9</v>
      </c>
      <c r="G37" s="33">
        <f t="shared" si="0"/>
        <v>84.5</v>
      </c>
      <c r="H37" s="15">
        <f t="shared" si="1"/>
        <v>15</v>
      </c>
    </row>
    <row r="38" spans="1:8" ht="20.100000000000001" customHeight="1" x14ac:dyDescent="0.25">
      <c r="A38" s="121">
        <v>35</v>
      </c>
      <c r="B38" s="142"/>
      <c r="C38" s="180">
        <v>18</v>
      </c>
      <c r="D38" s="180" t="s">
        <v>23</v>
      </c>
      <c r="E38" s="33">
        <f>'12A Sem 1'!P38</f>
        <v>72.5</v>
      </c>
      <c r="F38" s="33">
        <f>'12A (NS)Sem 2'!P38</f>
        <v>79.599999999999994</v>
      </c>
      <c r="G38" s="33">
        <f t="shared" si="0"/>
        <v>76.05</v>
      </c>
      <c r="H38" s="15">
        <f t="shared" si="1"/>
        <v>37</v>
      </c>
    </row>
    <row r="39" spans="1:8" ht="20.100000000000001" customHeight="1" x14ac:dyDescent="0.25">
      <c r="A39" s="137">
        <v>36</v>
      </c>
      <c r="B39" s="142"/>
      <c r="C39" s="180">
        <v>17</v>
      </c>
      <c r="D39" s="180" t="s">
        <v>20</v>
      </c>
      <c r="E39" s="33">
        <f>'12A Sem 1'!P39</f>
        <v>71.8</v>
      </c>
      <c r="F39" s="33">
        <f>'12A (NS)Sem 2'!P39</f>
        <v>79.900000000000006</v>
      </c>
      <c r="G39" s="33">
        <f t="shared" si="0"/>
        <v>75.849999999999994</v>
      </c>
      <c r="H39" s="15">
        <f t="shared" si="1"/>
        <v>38</v>
      </c>
    </row>
    <row r="40" spans="1:8" ht="20.100000000000001" customHeight="1" x14ac:dyDescent="0.25">
      <c r="A40" s="121">
        <v>37</v>
      </c>
      <c r="B40" s="142"/>
      <c r="C40" s="180">
        <v>18</v>
      </c>
      <c r="D40" s="180" t="s">
        <v>23</v>
      </c>
      <c r="E40" s="33">
        <f>'12A Sem 1'!P40</f>
        <v>94.2</v>
      </c>
      <c r="F40" s="33">
        <f>'12A (NS)Sem 2'!P40</f>
        <v>94.2</v>
      </c>
      <c r="G40" s="33">
        <f t="shared" si="0"/>
        <v>94.2</v>
      </c>
      <c r="H40" s="15">
        <f t="shared" si="1"/>
        <v>4</v>
      </c>
    </row>
    <row r="41" spans="1:8" ht="20.100000000000001" customHeight="1" x14ac:dyDescent="0.25">
      <c r="A41" s="137">
        <v>38</v>
      </c>
      <c r="B41" s="142"/>
      <c r="C41" s="180">
        <v>17</v>
      </c>
      <c r="D41" s="180" t="s">
        <v>20</v>
      </c>
      <c r="E41" s="33">
        <f>'12A Sem 1'!P41</f>
        <v>74.5</v>
      </c>
      <c r="F41" s="33">
        <f>'12A (NS)Sem 2'!P41</f>
        <v>77.099999999999994</v>
      </c>
      <c r="G41" s="33">
        <f t="shared" si="0"/>
        <v>75.8</v>
      </c>
      <c r="H41" s="15">
        <f t="shared" si="1"/>
        <v>39</v>
      </c>
    </row>
    <row r="42" spans="1:8" ht="20.100000000000001" customHeight="1" x14ac:dyDescent="0.25">
      <c r="A42" s="121">
        <v>39</v>
      </c>
      <c r="B42" s="142"/>
      <c r="C42" s="180">
        <v>18</v>
      </c>
      <c r="D42" s="180" t="s">
        <v>23</v>
      </c>
      <c r="E42" s="33">
        <f>'12A Sem 1'!P42</f>
        <v>86.8</v>
      </c>
      <c r="F42" s="33">
        <f>'12A (NS)Sem 2'!P42</f>
        <v>90.1</v>
      </c>
      <c r="G42" s="33">
        <f t="shared" si="0"/>
        <v>88.449999999999989</v>
      </c>
      <c r="H42" s="15">
        <f t="shared" si="1"/>
        <v>10</v>
      </c>
    </row>
    <row r="43" spans="1:8" ht="20.100000000000001" customHeight="1" x14ac:dyDescent="0.25">
      <c r="A43" s="137">
        <v>40</v>
      </c>
      <c r="B43" s="142"/>
      <c r="C43" s="180">
        <v>17</v>
      </c>
      <c r="D43" s="180" t="s">
        <v>20</v>
      </c>
      <c r="E43" s="33">
        <f>'12A Sem 1'!P43</f>
        <v>77.5</v>
      </c>
      <c r="F43" s="33">
        <f>'12A (NS)Sem 2'!P43</f>
        <v>82.1</v>
      </c>
      <c r="G43" s="33">
        <f t="shared" si="0"/>
        <v>79.8</v>
      </c>
      <c r="H43" s="15">
        <f t="shared" si="1"/>
        <v>27</v>
      </c>
    </row>
    <row r="44" spans="1:8" ht="20.100000000000001" customHeight="1" x14ac:dyDescent="0.25">
      <c r="A44" s="121">
        <v>41</v>
      </c>
      <c r="B44" s="142"/>
      <c r="C44" s="180">
        <v>17</v>
      </c>
      <c r="D44" s="180" t="s">
        <v>23</v>
      </c>
      <c r="E44" s="33">
        <f>'12A Sem 1'!P44</f>
        <v>91.2</v>
      </c>
      <c r="F44" s="33">
        <f>'12A (NS)Sem 2'!P44</f>
        <v>91.8</v>
      </c>
      <c r="G44" s="33">
        <f t="shared" si="0"/>
        <v>91.5</v>
      </c>
      <c r="H44" s="15">
        <f t="shared" si="1"/>
        <v>7</v>
      </c>
    </row>
    <row r="45" spans="1:8" ht="20.100000000000001" customHeight="1" x14ac:dyDescent="0.25">
      <c r="A45" s="137">
        <v>42</v>
      </c>
      <c r="B45" s="142"/>
      <c r="C45" s="180">
        <v>18</v>
      </c>
      <c r="D45" s="180" t="s">
        <v>23</v>
      </c>
      <c r="E45" s="33">
        <f>'12A Sem 1'!P45</f>
        <v>76.400000000000006</v>
      </c>
      <c r="F45" s="33">
        <f>'12A (NS)Sem 2'!P45</f>
        <v>83</v>
      </c>
      <c r="G45" s="33">
        <f t="shared" si="0"/>
        <v>79.7</v>
      </c>
      <c r="H45" s="15">
        <f t="shared" si="1"/>
        <v>28</v>
      </c>
    </row>
    <row r="46" spans="1:8" ht="20.100000000000001" customHeight="1" x14ac:dyDescent="0.25">
      <c r="A46" s="121">
        <v>43</v>
      </c>
      <c r="B46" s="142"/>
      <c r="C46" s="180">
        <v>17</v>
      </c>
      <c r="D46" s="180" t="s">
        <v>20</v>
      </c>
      <c r="E46" s="33">
        <f>'12A Sem 1'!P46</f>
        <v>96.1</v>
      </c>
      <c r="F46" s="33">
        <f>'12A (NS)Sem 2'!P46</f>
        <v>95.6</v>
      </c>
      <c r="G46" s="33">
        <f t="shared" si="0"/>
        <v>95.85</v>
      </c>
      <c r="H46" s="15">
        <f t="shared" si="1"/>
        <v>2</v>
      </c>
    </row>
    <row r="47" spans="1:8" ht="20.100000000000001" customHeight="1" x14ac:dyDescent="0.25">
      <c r="A47" s="137">
        <v>44</v>
      </c>
      <c r="B47" s="142"/>
      <c r="C47" s="180">
        <v>17</v>
      </c>
      <c r="D47" s="180" t="s">
        <v>20</v>
      </c>
      <c r="E47" s="33">
        <f>'12A Sem 1'!P47</f>
        <v>91.6</v>
      </c>
      <c r="F47" s="33">
        <f>'12A (NS)Sem 2'!P47</f>
        <v>93.7</v>
      </c>
      <c r="G47" s="33">
        <f t="shared" si="0"/>
        <v>92.65</v>
      </c>
      <c r="H47" s="15">
        <f t="shared" si="1"/>
        <v>6</v>
      </c>
    </row>
    <row r="48" spans="1:8" ht="20.100000000000001" customHeight="1" x14ac:dyDescent="0.25">
      <c r="A48" s="121">
        <v>45</v>
      </c>
      <c r="B48" s="142"/>
      <c r="C48" s="180">
        <v>18</v>
      </c>
      <c r="D48" s="180" t="s">
        <v>20</v>
      </c>
      <c r="E48" s="33">
        <f>'12A Sem 1'!P48</f>
        <v>92.4</v>
      </c>
      <c r="F48" s="33">
        <f>'12A (NS)Sem 2'!P48</f>
        <v>94.1</v>
      </c>
      <c r="G48" s="33">
        <f t="shared" si="0"/>
        <v>93.25</v>
      </c>
      <c r="H48" s="15">
        <f t="shared" si="1"/>
        <v>5</v>
      </c>
    </row>
    <row r="49" spans="1:8" ht="20.100000000000001" customHeight="1" x14ac:dyDescent="0.25">
      <c r="A49" s="137">
        <v>46</v>
      </c>
      <c r="B49" s="20"/>
      <c r="C49" s="20"/>
      <c r="D49" s="20"/>
      <c r="E49" s="33">
        <f>'12A Sem 1'!P49</f>
        <v>0</v>
      </c>
      <c r="F49" s="33">
        <f>'12A (NS)Sem 2'!P49</f>
        <v>0</v>
      </c>
      <c r="G49" s="33">
        <f t="shared" si="0"/>
        <v>0</v>
      </c>
      <c r="H49" s="15"/>
    </row>
    <row r="50" spans="1:8" ht="20.100000000000001" customHeight="1" x14ac:dyDescent="0.25">
      <c r="A50" s="121">
        <v>47</v>
      </c>
      <c r="B50" s="20"/>
      <c r="C50" s="20"/>
      <c r="D50" s="20"/>
      <c r="E50" s="33">
        <f>'12A Sem 1'!P50</f>
        <v>0</v>
      </c>
      <c r="F50" s="33">
        <f>'12A (NS)Sem 2'!P50</f>
        <v>0</v>
      </c>
      <c r="G50" s="33">
        <f t="shared" si="0"/>
        <v>0</v>
      </c>
      <c r="H50" s="15"/>
    </row>
    <row r="51" spans="1:8" ht="20.100000000000001" customHeight="1" x14ac:dyDescent="0.25">
      <c r="A51" s="137">
        <v>48</v>
      </c>
      <c r="B51" s="20"/>
      <c r="C51" s="20"/>
      <c r="D51" s="20"/>
      <c r="E51" s="33">
        <f>'12A Sem 1'!P51</f>
        <v>0</v>
      </c>
      <c r="F51" s="33">
        <f>'12A (NS)Sem 2'!P51</f>
        <v>0</v>
      </c>
      <c r="G51" s="33">
        <f t="shared" si="0"/>
        <v>0</v>
      </c>
      <c r="H51" s="15"/>
    </row>
    <row r="52" spans="1:8" ht="20.100000000000001" customHeight="1" x14ac:dyDescent="0.25">
      <c r="A52" s="121">
        <v>49</v>
      </c>
      <c r="B52" s="20"/>
      <c r="C52" s="20"/>
      <c r="D52" s="20"/>
      <c r="E52" s="33">
        <f>'12A Sem 1'!P52</f>
        <v>0</v>
      </c>
      <c r="F52" s="33">
        <f>'12A (NS)Sem 2'!P52</f>
        <v>0</v>
      </c>
      <c r="G52" s="33">
        <f t="shared" si="0"/>
        <v>0</v>
      </c>
      <c r="H52" s="15"/>
    </row>
    <row r="53" spans="1:8" ht="20.100000000000001" customHeight="1" x14ac:dyDescent="0.25">
      <c r="A53" s="137">
        <v>50</v>
      </c>
      <c r="B53" s="20"/>
      <c r="C53" s="20"/>
      <c r="D53" s="20"/>
      <c r="E53" s="33">
        <f>'12A Sem 1'!P53</f>
        <v>0</v>
      </c>
      <c r="F53" s="33">
        <f>'12A (NS)Sem 2'!P53</f>
        <v>0</v>
      </c>
      <c r="G53" s="33">
        <f t="shared" si="0"/>
        <v>0</v>
      </c>
      <c r="H53" s="15"/>
    </row>
    <row r="54" spans="1:8" ht="20.100000000000001" customHeight="1" x14ac:dyDescent="0.25">
      <c r="A54" s="121">
        <v>51</v>
      </c>
      <c r="B54" s="20"/>
      <c r="C54" s="20"/>
      <c r="D54" s="20"/>
      <c r="E54" s="33">
        <f>'12A Sem 1'!P54</f>
        <v>0</v>
      </c>
      <c r="F54" s="33">
        <f>'12A (NS)Sem 2'!P54</f>
        <v>0</v>
      </c>
      <c r="G54" s="33">
        <f t="shared" si="0"/>
        <v>0</v>
      </c>
      <c r="H54" s="15"/>
    </row>
    <row r="55" spans="1:8" ht="20.100000000000001" customHeight="1" x14ac:dyDescent="0.25">
      <c r="A55" s="137">
        <v>52</v>
      </c>
      <c r="B55" s="20"/>
      <c r="C55" s="20"/>
      <c r="D55" s="20"/>
      <c r="E55" s="33">
        <f>'12A Sem 1'!P55</f>
        <v>0</v>
      </c>
      <c r="F55" s="33">
        <f>'12A (NS)Sem 2'!P55</f>
        <v>0</v>
      </c>
      <c r="G55" s="33">
        <f t="shared" si="0"/>
        <v>0</v>
      </c>
      <c r="H55" s="15"/>
    </row>
    <row r="56" spans="1:8" ht="20.100000000000001" customHeight="1" x14ac:dyDescent="0.25">
      <c r="A56" s="121">
        <v>53</v>
      </c>
      <c r="B56" s="20"/>
      <c r="C56" s="20"/>
      <c r="D56" s="20"/>
      <c r="E56" s="33">
        <f>'12A Sem 1'!P56</f>
        <v>0</v>
      </c>
      <c r="F56" s="33">
        <f>'12A (NS)Sem 2'!P56</f>
        <v>0</v>
      </c>
      <c r="G56" s="33">
        <f t="shared" si="0"/>
        <v>0</v>
      </c>
      <c r="H56" s="15"/>
    </row>
    <row r="57" spans="1:8" ht="20.100000000000001" customHeight="1" x14ac:dyDescent="0.25">
      <c r="A57" s="137">
        <v>54</v>
      </c>
      <c r="B57" s="20"/>
      <c r="C57" s="20"/>
      <c r="D57" s="20"/>
      <c r="E57" s="33">
        <f>'12A Sem 1'!P57</f>
        <v>0</v>
      </c>
      <c r="F57" s="33">
        <f>'12A (NS)Sem 2'!P57</f>
        <v>0</v>
      </c>
      <c r="G57" s="33">
        <f t="shared" si="0"/>
        <v>0</v>
      </c>
      <c r="H57" s="15"/>
    </row>
    <row r="58" spans="1:8" ht="20.100000000000001" customHeight="1" x14ac:dyDescent="0.25">
      <c r="A58" s="121">
        <v>55</v>
      </c>
      <c r="B58" s="20"/>
      <c r="C58" s="20"/>
      <c r="D58" s="20"/>
      <c r="E58" s="33">
        <f>'12A Sem 1'!P58</f>
        <v>0</v>
      </c>
      <c r="F58" s="33">
        <f>'12A (NS)Sem 2'!P58</f>
        <v>0</v>
      </c>
      <c r="G58" s="33">
        <f t="shared" si="0"/>
        <v>0</v>
      </c>
      <c r="H58" s="15"/>
    </row>
  </sheetData>
  <mergeCells count="2">
    <mergeCell ref="A1:H1"/>
    <mergeCell ref="A2:H2"/>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84"/>
  <sheetViews>
    <sheetView view="pageBreakPreview" zoomScale="60" zoomScaleNormal="100" workbookViewId="0">
      <selection activeCell="B6" sqref="B6:B110"/>
    </sheetView>
  </sheetViews>
  <sheetFormatPr defaultRowHeight="15" x14ac:dyDescent="0.25"/>
  <cols>
    <col min="1" max="1" width="4" customWidth="1"/>
    <col min="2" max="2" width="35.28515625" customWidth="1"/>
    <col min="3" max="4" width="4.140625" style="10" customWidth="1"/>
    <col min="6" max="6" width="6" customWidth="1"/>
    <col min="7" max="7" width="7" customWidth="1"/>
    <col min="8" max="10" width="6.28515625" customWidth="1"/>
    <col min="11" max="11" width="5.85546875" customWidth="1"/>
    <col min="12" max="12" width="6.5703125" customWidth="1"/>
    <col min="13" max="13" width="5.5703125" customWidth="1"/>
    <col min="14" max="14" width="6.7109375" customWidth="1"/>
    <col min="15" max="15" width="6.140625" customWidth="1"/>
    <col min="16" max="16" width="6.28515625" customWidth="1"/>
    <col min="17" max="17" width="7.7109375" customWidth="1"/>
    <col min="18" max="18" width="6.140625" customWidth="1"/>
    <col min="19" max="19" width="7.85546875" customWidth="1"/>
    <col min="20" max="21" width="5" style="37" customWidth="1"/>
    <col min="22" max="22" width="4.7109375" customWidth="1"/>
    <col min="23" max="23" width="30.85546875" customWidth="1"/>
    <col min="24" max="24" width="3.85546875" customWidth="1"/>
    <col min="25" max="25" width="3.7109375" customWidth="1"/>
  </cols>
  <sheetData>
    <row r="1" spans="1:24" ht="20.25" x14ac:dyDescent="0.25">
      <c r="A1" s="272" t="s">
        <v>69</v>
      </c>
      <c r="B1" s="273"/>
      <c r="C1" s="273"/>
      <c r="D1" s="273"/>
      <c r="E1" s="273"/>
      <c r="F1" s="273"/>
      <c r="G1" s="273"/>
      <c r="H1" s="273"/>
      <c r="I1" s="273"/>
      <c r="J1" s="273"/>
      <c r="K1" s="273"/>
      <c r="L1" s="273"/>
      <c r="M1" s="273"/>
      <c r="N1" s="273"/>
      <c r="O1" s="273"/>
      <c r="P1" s="273"/>
      <c r="Q1" s="273"/>
      <c r="R1" s="273"/>
      <c r="S1" s="273"/>
      <c r="T1" s="273"/>
      <c r="U1" s="274"/>
    </row>
    <row r="2" spans="1:24" ht="18.75" customHeight="1" x14ac:dyDescent="0.25">
      <c r="A2" s="89"/>
      <c r="B2" s="90"/>
      <c r="C2" s="90"/>
      <c r="D2" s="90"/>
      <c r="E2" s="90"/>
      <c r="F2" s="90"/>
      <c r="G2" s="90"/>
      <c r="H2" s="90"/>
      <c r="I2" s="90"/>
      <c r="J2" s="90"/>
      <c r="K2" s="90"/>
      <c r="L2" s="90"/>
      <c r="M2" s="90"/>
      <c r="N2" s="90"/>
      <c r="O2" s="90"/>
      <c r="P2" s="90"/>
      <c r="Q2" s="90"/>
      <c r="R2" s="90"/>
      <c r="S2" s="90"/>
      <c r="T2" s="35"/>
      <c r="U2" s="36"/>
    </row>
    <row r="3" spans="1:24" ht="17.25" x14ac:dyDescent="0.25">
      <c r="A3" s="275" t="s">
        <v>70</v>
      </c>
      <c r="B3" s="275"/>
      <c r="C3" s="275"/>
      <c r="D3" s="275"/>
      <c r="E3" s="275"/>
      <c r="F3" s="275"/>
      <c r="G3" s="275"/>
      <c r="H3" s="275"/>
      <c r="I3" s="275"/>
      <c r="J3" s="275"/>
      <c r="K3" s="275"/>
      <c r="L3" s="275"/>
      <c r="M3" s="275"/>
      <c r="N3" s="275"/>
      <c r="O3" s="275"/>
      <c r="P3" s="275"/>
      <c r="Q3" s="275"/>
      <c r="R3" s="275"/>
      <c r="S3" s="275"/>
      <c r="T3" s="275"/>
      <c r="U3" s="275"/>
      <c r="V3" s="3"/>
      <c r="W3" s="3"/>
      <c r="X3" s="3"/>
    </row>
    <row r="4" spans="1:24" ht="7.5" customHeight="1" thickBot="1" x14ac:dyDescent="0.3">
      <c r="A4" s="4"/>
      <c r="B4" s="4"/>
      <c r="C4" s="4"/>
      <c r="D4" s="4"/>
      <c r="E4" s="4"/>
      <c r="F4" s="4"/>
      <c r="G4" s="4"/>
      <c r="H4" s="4"/>
      <c r="I4" s="4"/>
      <c r="J4" s="4"/>
      <c r="K4" s="4"/>
      <c r="L4" s="4"/>
      <c r="M4" s="4"/>
      <c r="N4" s="4"/>
      <c r="O4" s="4"/>
      <c r="P4" s="4"/>
      <c r="Q4" s="4"/>
      <c r="R4" s="4"/>
      <c r="S4" s="4"/>
      <c r="T4" s="4"/>
      <c r="U4" s="4"/>
      <c r="V4" s="3"/>
      <c r="W4" s="3"/>
      <c r="X4" s="3"/>
    </row>
    <row r="5" spans="1:24" ht="64.5" customHeight="1" thickBot="1" x14ac:dyDescent="0.3">
      <c r="A5" s="88" t="s">
        <v>0</v>
      </c>
      <c r="B5" s="88" t="s">
        <v>1</v>
      </c>
      <c r="C5" s="5" t="s">
        <v>2</v>
      </c>
      <c r="D5" s="5" t="s">
        <v>3</v>
      </c>
      <c r="E5" s="235" t="s">
        <v>25</v>
      </c>
      <c r="F5" s="235" t="s">
        <v>4</v>
      </c>
      <c r="G5" s="235" t="s">
        <v>5</v>
      </c>
      <c r="H5" s="235" t="s">
        <v>6</v>
      </c>
      <c r="I5" s="237" t="s">
        <v>10</v>
      </c>
      <c r="J5" s="237" t="s">
        <v>11</v>
      </c>
      <c r="K5" s="237" t="s">
        <v>12</v>
      </c>
      <c r="L5" s="237" t="s">
        <v>13</v>
      </c>
      <c r="M5" s="237" t="s">
        <v>14</v>
      </c>
      <c r="N5" s="237" t="s">
        <v>29</v>
      </c>
      <c r="O5" s="237" t="s">
        <v>30</v>
      </c>
      <c r="P5" s="236" t="s">
        <v>15</v>
      </c>
      <c r="Q5" s="235" t="s">
        <v>16</v>
      </c>
      <c r="R5" s="235" t="s">
        <v>17</v>
      </c>
      <c r="S5" s="18" t="s">
        <v>18</v>
      </c>
      <c r="T5" s="34" t="s">
        <v>19</v>
      </c>
      <c r="U5"/>
    </row>
    <row r="6" spans="1:24" ht="17.25" customHeight="1" thickBot="1" x14ac:dyDescent="0.3">
      <c r="A6" s="276">
        <v>1</v>
      </c>
      <c r="B6" s="247"/>
      <c r="C6" s="253">
        <v>17</v>
      </c>
      <c r="D6" s="254" t="s">
        <v>23</v>
      </c>
      <c r="E6" s="29" t="s">
        <v>21</v>
      </c>
      <c r="F6" s="30">
        <f>'12B Sem 1'!E4</f>
        <v>88</v>
      </c>
      <c r="G6" s="30">
        <f>'12B Sem 1'!F4</f>
        <v>94</v>
      </c>
      <c r="H6" s="30">
        <f>'12B Sem 1'!G4</f>
        <v>65</v>
      </c>
      <c r="I6" s="30">
        <f>'12B Sem 1'!H4</f>
        <v>89</v>
      </c>
      <c r="J6" s="30">
        <f>'12B Sem 1'!I4</f>
        <v>95</v>
      </c>
      <c r="K6" s="30">
        <f>'12B Sem 1'!J4</f>
        <v>84</v>
      </c>
      <c r="L6" s="30">
        <f>'12B Sem 1'!K4</f>
        <v>95</v>
      </c>
      <c r="M6" s="30">
        <f>'12B Sem 1'!L4</f>
        <v>98</v>
      </c>
      <c r="N6" s="30">
        <f>'12B Sem 1'!M4</f>
        <v>91</v>
      </c>
      <c r="O6" s="30">
        <f>'12B Sem 1'!N4</f>
        <v>90</v>
      </c>
      <c r="P6" s="30">
        <f>'12B Sem 1'!O4</f>
        <v>889</v>
      </c>
      <c r="Q6" s="198">
        <f>'12B Sem 1'!P4</f>
        <v>88.9</v>
      </c>
      <c r="R6" s="198">
        <f>'12B Sem 1'!Q4</f>
        <v>4</v>
      </c>
      <c r="S6" s="42">
        <f>'12B Sem 1'!R4</f>
        <v>0</v>
      </c>
      <c r="T6" s="43">
        <f>'12B Sem 1'!S4</f>
        <v>0</v>
      </c>
      <c r="U6"/>
    </row>
    <row r="7" spans="1:24" ht="17.25" customHeight="1" thickBot="1" x14ac:dyDescent="0.3">
      <c r="A7" s="276"/>
      <c r="B7" s="247"/>
      <c r="C7" s="253">
        <v>17</v>
      </c>
      <c r="D7" s="254" t="s">
        <v>23</v>
      </c>
      <c r="E7" s="29" t="s">
        <v>22</v>
      </c>
      <c r="F7" s="38">
        <f>'12B (NS)Sem 2'!E4</f>
        <v>90</v>
      </c>
      <c r="G7" s="38">
        <f>'12B (NS)Sem 2'!F4</f>
        <v>92</v>
      </c>
      <c r="H7" s="38">
        <f>'12B (NS)Sem 2'!G4</f>
        <v>73</v>
      </c>
      <c r="I7" s="38">
        <f>'12B (NS)Sem 2'!H4</f>
        <v>94</v>
      </c>
      <c r="J7" s="38">
        <f>'12B (NS)Sem 2'!I4</f>
        <v>97</v>
      </c>
      <c r="K7" s="38">
        <f>'12B (NS)Sem 2'!J4</f>
        <v>93</v>
      </c>
      <c r="L7" s="38">
        <f>'12B (NS)Sem 2'!K4</f>
        <v>95</v>
      </c>
      <c r="M7" s="38">
        <f>'12B (NS)Sem 2'!L4</f>
        <v>100</v>
      </c>
      <c r="N7" s="38">
        <f>'12B (NS)Sem 2'!M4</f>
        <v>96</v>
      </c>
      <c r="O7" s="38">
        <f>'12B (NS)Sem 2'!N4</f>
        <v>94</v>
      </c>
      <c r="P7" s="30">
        <f>'12B (NS)Sem 2'!O4</f>
        <v>924</v>
      </c>
      <c r="Q7" s="30">
        <f>'12B (NS)Sem 2'!P4</f>
        <v>92.4</v>
      </c>
      <c r="R7" s="30">
        <f>'12B (NS)Sem 2'!Q4</f>
        <v>5</v>
      </c>
      <c r="S7" s="41">
        <f>'12B (NS)Sem 2'!R4</f>
        <v>0</v>
      </c>
      <c r="T7" s="44">
        <f>'12B (NS)Sem 2'!S4</f>
        <v>0</v>
      </c>
      <c r="U7"/>
    </row>
    <row r="8" spans="1:24" ht="17.25" customHeight="1" thickBot="1" x14ac:dyDescent="0.3">
      <c r="A8" s="276"/>
      <c r="B8" s="247"/>
      <c r="C8" s="253">
        <v>17</v>
      </c>
      <c r="D8" s="254" t="s">
        <v>23</v>
      </c>
      <c r="E8" s="29" t="s">
        <v>16</v>
      </c>
      <c r="F8" s="30">
        <f>AVERAGE(F6:F7)</f>
        <v>89</v>
      </c>
      <c r="G8" s="30">
        <f t="shared" ref="G8:Q8" si="0">AVERAGE(G6:G7)</f>
        <v>93</v>
      </c>
      <c r="H8" s="30">
        <f t="shared" si="0"/>
        <v>69</v>
      </c>
      <c r="I8" s="30">
        <f t="shared" si="0"/>
        <v>91.5</v>
      </c>
      <c r="J8" s="30">
        <f t="shared" si="0"/>
        <v>96</v>
      </c>
      <c r="K8" s="30">
        <f t="shared" si="0"/>
        <v>88.5</v>
      </c>
      <c r="L8" s="30">
        <f t="shared" si="0"/>
        <v>95</v>
      </c>
      <c r="M8" s="30">
        <f t="shared" si="0"/>
        <v>99</v>
      </c>
      <c r="N8" s="30">
        <f t="shared" si="0"/>
        <v>93.5</v>
      </c>
      <c r="O8" s="30">
        <f t="shared" si="0"/>
        <v>92</v>
      </c>
      <c r="P8" s="30">
        <f t="shared" si="0"/>
        <v>906.5</v>
      </c>
      <c r="Q8" s="30">
        <f t="shared" si="0"/>
        <v>90.65</v>
      </c>
      <c r="R8" s="30">
        <f>'12B Sem avr (NS) '!$H$4</f>
        <v>4</v>
      </c>
      <c r="S8" s="45">
        <f>AVERAGE(S6:S7)</f>
        <v>0</v>
      </c>
      <c r="T8" s="45">
        <f>AVERAGE(T6:T7)</f>
        <v>0</v>
      </c>
      <c r="U8"/>
    </row>
    <row r="9" spans="1:24" ht="17.25" customHeight="1" thickBot="1" x14ac:dyDescent="0.3">
      <c r="A9" s="252">
        <v>2</v>
      </c>
      <c r="B9" s="247"/>
      <c r="C9" s="247">
        <v>17</v>
      </c>
      <c r="D9" s="248" t="s">
        <v>23</v>
      </c>
      <c r="E9" s="29" t="s">
        <v>21</v>
      </c>
      <c r="F9" s="30">
        <f>'12B Sem 1'!E5</f>
        <v>76</v>
      </c>
      <c r="G9" s="30">
        <f>'12B Sem 1'!F5</f>
        <v>90</v>
      </c>
      <c r="H9" s="30">
        <f>'12B Sem 1'!G5</f>
        <v>47</v>
      </c>
      <c r="I9" s="30">
        <f>'12B Sem 1'!H5</f>
        <v>72</v>
      </c>
      <c r="J9" s="30">
        <f>'12B Sem 1'!I5</f>
        <v>61</v>
      </c>
      <c r="K9" s="30">
        <f>'12B Sem 1'!J5</f>
        <v>64</v>
      </c>
      <c r="L9" s="30">
        <f>'12B Sem 1'!K5</f>
        <v>100</v>
      </c>
      <c r="M9" s="30">
        <f>'12B Sem 1'!L5</f>
        <v>93</v>
      </c>
      <c r="N9" s="30">
        <f>'12B Sem 1'!M5</f>
        <v>69</v>
      </c>
      <c r="O9" s="30">
        <f>'12B Sem 1'!N5</f>
        <v>68</v>
      </c>
      <c r="P9" s="30">
        <f>'12B Sem 1'!O5</f>
        <v>740</v>
      </c>
      <c r="Q9" s="30">
        <f>'12B Sem 1'!P5</f>
        <v>74</v>
      </c>
      <c r="R9" s="30">
        <f>'12B Sem 1'!Q5</f>
        <v>15</v>
      </c>
      <c r="S9" s="45">
        <f>'12B Sem 1'!R5</f>
        <v>0</v>
      </c>
      <c r="T9" s="45">
        <f>'12B Sem 1'!S5</f>
        <v>0</v>
      </c>
      <c r="U9"/>
    </row>
    <row r="10" spans="1:24" ht="17.25" customHeight="1" thickBot="1" x14ac:dyDescent="0.3">
      <c r="A10" s="252"/>
      <c r="B10" s="247"/>
      <c r="C10" s="247">
        <v>17</v>
      </c>
      <c r="D10" s="248" t="s">
        <v>23</v>
      </c>
      <c r="E10" s="29" t="s">
        <v>22</v>
      </c>
      <c r="F10" s="30">
        <f>'12B (NS)Sem 2'!E5</f>
        <v>82</v>
      </c>
      <c r="G10" s="30">
        <f>'12B (NS)Sem 2'!F5</f>
        <v>90</v>
      </c>
      <c r="H10" s="30">
        <f>'12B (NS)Sem 2'!G5</f>
        <v>62</v>
      </c>
      <c r="I10" s="30">
        <f>'12B (NS)Sem 2'!H5</f>
        <v>80</v>
      </c>
      <c r="J10" s="30">
        <f>'12B (NS)Sem 2'!I5</f>
        <v>71</v>
      </c>
      <c r="K10" s="30">
        <f>'12B (NS)Sem 2'!J5</f>
        <v>78</v>
      </c>
      <c r="L10" s="30">
        <f>'12B (NS)Sem 2'!K5</f>
        <v>100</v>
      </c>
      <c r="M10" s="30">
        <f>'12B (NS)Sem 2'!L5</f>
        <v>97</v>
      </c>
      <c r="N10" s="30">
        <f>'12B (NS)Sem 2'!M5</f>
        <v>74</v>
      </c>
      <c r="O10" s="30">
        <f>'12B (NS)Sem 2'!N5</f>
        <v>75</v>
      </c>
      <c r="P10" s="30">
        <f>'12B (NS)Sem 2'!O5</f>
        <v>809</v>
      </c>
      <c r="Q10" s="30">
        <f>'12B (NS)Sem 2'!P5</f>
        <v>80.900000000000006</v>
      </c>
      <c r="R10" s="30">
        <f>'12B (NS)Sem 2'!Q5</f>
        <v>15</v>
      </c>
      <c r="S10" s="45">
        <f>'12B (NS)Sem 2'!R5</f>
        <v>0</v>
      </c>
      <c r="T10" s="45">
        <f>'12B (NS)Sem 2'!S5</f>
        <v>0</v>
      </c>
      <c r="U10"/>
    </row>
    <row r="11" spans="1:24" ht="17.25" customHeight="1" thickBot="1" x14ac:dyDescent="0.3">
      <c r="A11" s="252"/>
      <c r="B11" s="247"/>
      <c r="C11" s="247">
        <v>17</v>
      </c>
      <c r="D11" s="248" t="s">
        <v>23</v>
      </c>
      <c r="E11" s="29" t="s">
        <v>16</v>
      </c>
      <c r="F11" s="30">
        <f>AVERAGE(F9:F10)</f>
        <v>79</v>
      </c>
      <c r="G11" s="30">
        <f t="shared" ref="G11:Q11" si="1">AVERAGE(G9:G10)</f>
        <v>90</v>
      </c>
      <c r="H11" s="30">
        <f t="shared" si="1"/>
        <v>54.5</v>
      </c>
      <c r="I11" s="30">
        <f t="shared" si="1"/>
        <v>76</v>
      </c>
      <c r="J11" s="30">
        <f t="shared" si="1"/>
        <v>66</v>
      </c>
      <c r="K11" s="30">
        <f t="shared" si="1"/>
        <v>71</v>
      </c>
      <c r="L11" s="30">
        <f t="shared" si="1"/>
        <v>100</v>
      </c>
      <c r="M11" s="30">
        <f t="shared" si="1"/>
        <v>95</v>
      </c>
      <c r="N11" s="30">
        <f t="shared" si="1"/>
        <v>71.5</v>
      </c>
      <c r="O11" s="30">
        <f t="shared" si="1"/>
        <v>71.5</v>
      </c>
      <c r="P11" s="30">
        <f t="shared" si="1"/>
        <v>774.5</v>
      </c>
      <c r="Q11" s="30">
        <f t="shared" si="1"/>
        <v>77.45</v>
      </c>
      <c r="R11" s="30">
        <f>'12B Sem avr (NS) '!$H$5</f>
        <v>15</v>
      </c>
      <c r="S11" s="45">
        <f>AVERAGE(S9:S10)</f>
        <v>0</v>
      </c>
      <c r="T11" s="45">
        <f>AVERAGE(T9:T10)</f>
        <v>0</v>
      </c>
      <c r="U11"/>
    </row>
    <row r="12" spans="1:24" ht="17.25" customHeight="1" thickBot="1" x14ac:dyDescent="0.3">
      <c r="A12" s="246">
        <v>3</v>
      </c>
      <c r="B12" s="247"/>
      <c r="C12" s="253">
        <v>18</v>
      </c>
      <c r="D12" s="254" t="s">
        <v>23</v>
      </c>
      <c r="E12" s="29" t="s">
        <v>21</v>
      </c>
      <c r="F12" s="30">
        <f>'12B Sem 1'!E6</f>
        <v>71</v>
      </c>
      <c r="G12" s="30">
        <f>'12B Sem 1'!F6</f>
        <v>78</v>
      </c>
      <c r="H12" s="30">
        <f>'12B Sem 1'!G6</f>
        <v>50</v>
      </c>
      <c r="I12" s="30">
        <f>'12B Sem 1'!H6</f>
        <v>65</v>
      </c>
      <c r="J12" s="30">
        <f>'12B Sem 1'!I6</f>
        <v>59</v>
      </c>
      <c r="K12" s="30">
        <f>'12B Sem 1'!J6</f>
        <v>54</v>
      </c>
      <c r="L12" s="30">
        <f>'12B Sem 1'!K6</f>
        <v>83</v>
      </c>
      <c r="M12" s="30">
        <f>'12B Sem 1'!L6</f>
        <v>93</v>
      </c>
      <c r="N12" s="30">
        <f>'12B Sem 1'!M6</f>
        <v>63</v>
      </c>
      <c r="O12" s="30">
        <f>'12B Sem 1'!N6</f>
        <v>63</v>
      </c>
      <c r="P12" s="30">
        <f>'12B Sem 1'!O6</f>
        <v>679</v>
      </c>
      <c r="Q12" s="30">
        <f>'12B Sem 1'!P6</f>
        <v>67.900000000000006</v>
      </c>
      <c r="R12" s="30">
        <f>'12B Sem 1'!Q6</f>
        <v>25</v>
      </c>
      <c r="S12" s="45">
        <f>'12B Sem 1'!R6</f>
        <v>0</v>
      </c>
      <c r="T12" s="45">
        <f>'12B Sem 1'!S6</f>
        <v>0</v>
      </c>
      <c r="U12"/>
    </row>
    <row r="13" spans="1:24" ht="17.25" customHeight="1" thickBot="1" x14ac:dyDescent="0.3">
      <c r="A13" s="246"/>
      <c r="B13" s="247"/>
      <c r="C13" s="253">
        <v>18</v>
      </c>
      <c r="D13" s="254" t="s">
        <v>23</v>
      </c>
      <c r="E13" s="29" t="s">
        <v>22</v>
      </c>
      <c r="F13" s="30">
        <f>'12B (NS)Sem 2'!E6</f>
        <v>79</v>
      </c>
      <c r="G13" s="30">
        <f>'12B (NS)Sem 2'!F6</f>
        <v>79</v>
      </c>
      <c r="H13" s="30">
        <f>'12B (NS)Sem 2'!G6</f>
        <v>61</v>
      </c>
      <c r="I13" s="30">
        <f>'12B (NS)Sem 2'!H6</f>
        <v>75</v>
      </c>
      <c r="J13" s="30">
        <f>'12B (NS)Sem 2'!I6</f>
        <v>70</v>
      </c>
      <c r="K13" s="30">
        <f>'12B (NS)Sem 2'!J6</f>
        <v>81</v>
      </c>
      <c r="L13" s="30">
        <f>'12B (NS)Sem 2'!K6</f>
        <v>85</v>
      </c>
      <c r="M13" s="30">
        <f>'12B (NS)Sem 2'!L6</f>
        <v>97</v>
      </c>
      <c r="N13" s="30">
        <f>'12B (NS)Sem 2'!M6</f>
        <v>68</v>
      </c>
      <c r="O13" s="30">
        <f>'12B (NS)Sem 2'!N6</f>
        <v>70</v>
      </c>
      <c r="P13" s="30">
        <f>'12B (NS)Sem 2'!O6</f>
        <v>765</v>
      </c>
      <c r="Q13" s="30">
        <f>'12B (NS)Sem 2'!P6</f>
        <v>76.5</v>
      </c>
      <c r="R13" s="30">
        <f>'12B (NS)Sem 2'!Q6</f>
        <v>24</v>
      </c>
      <c r="S13" s="45">
        <f>'12B (NS)Sem 2'!R6</f>
        <v>0</v>
      </c>
      <c r="T13" s="45">
        <f>'12B (NS)Sem 2'!S6</f>
        <v>0</v>
      </c>
      <c r="U13"/>
    </row>
    <row r="14" spans="1:24" ht="17.25" customHeight="1" thickBot="1" x14ac:dyDescent="0.3">
      <c r="A14" s="246"/>
      <c r="B14" s="247"/>
      <c r="C14" s="253">
        <v>18</v>
      </c>
      <c r="D14" s="254" t="s">
        <v>23</v>
      </c>
      <c r="E14" s="29" t="s">
        <v>16</v>
      </c>
      <c r="F14" s="30">
        <f>AVERAGE(F12:F13)</f>
        <v>75</v>
      </c>
      <c r="G14" s="30">
        <f t="shared" ref="G14:Q14" si="2">AVERAGE(G12:G13)</f>
        <v>78.5</v>
      </c>
      <c r="H14" s="30">
        <f t="shared" si="2"/>
        <v>55.5</v>
      </c>
      <c r="I14" s="30">
        <f t="shared" si="2"/>
        <v>70</v>
      </c>
      <c r="J14" s="30">
        <f t="shared" si="2"/>
        <v>64.5</v>
      </c>
      <c r="K14" s="30">
        <f t="shared" si="2"/>
        <v>67.5</v>
      </c>
      <c r="L14" s="30">
        <f t="shared" si="2"/>
        <v>84</v>
      </c>
      <c r="M14" s="30">
        <f t="shared" si="2"/>
        <v>95</v>
      </c>
      <c r="N14" s="30">
        <f t="shared" si="2"/>
        <v>65.5</v>
      </c>
      <c r="O14" s="30">
        <f t="shared" si="2"/>
        <v>66.5</v>
      </c>
      <c r="P14" s="30">
        <f t="shared" si="2"/>
        <v>722</v>
      </c>
      <c r="Q14" s="30">
        <f t="shared" si="2"/>
        <v>72.2</v>
      </c>
      <c r="R14" s="30">
        <f>'12B Sem avr (NS) '!$H$6</f>
        <v>26</v>
      </c>
      <c r="S14" s="45">
        <f>AVERAGE(S12:S13)</f>
        <v>0</v>
      </c>
      <c r="T14" s="45">
        <f>AVERAGE(T12:T13)</f>
        <v>0</v>
      </c>
      <c r="U14"/>
    </row>
    <row r="15" spans="1:24" ht="17.25" customHeight="1" thickBot="1" x14ac:dyDescent="0.3">
      <c r="A15" s="252">
        <v>4</v>
      </c>
      <c r="B15" s="352"/>
      <c r="C15" s="252">
        <v>17</v>
      </c>
      <c r="D15" s="353" t="s">
        <v>23</v>
      </c>
      <c r="E15" s="29" t="s">
        <v>21</v>
      </c>
      <c r="F15" s="30">
        <f>'12B Sem 1'!E7</f>
        <v>93</v>
      </c>
      <c r="G15" s="30">
        <f>'12B Sem 1'!F7</f>
        <v>89</v>
      </c>
      <c r="H15" s="30">
        <f>'12B Sem 1'!G7</f>
        <v>65</v>
      </c>
      <c r="I15" s="30">
        <f>'12B Sem 1'!H7</f>
        <v>88</v>
      </c>
      <c r="J15" s="30">
        <f>'12B Sem 1'!I7</f>
        <v>96</v>
      </c>
      <c r="K15" s="30">
        <f>'12B Sem 1'!J7</f>
        <v>90</v>
      </c>
      <c r="L15" s="30">
        <f>'12B Sem 1'!K7</f>
        <v>96</v>
      </c>
      <c r="M15" s="30">
        <f>'12B Sem 1'!L7</f>
        <v>97</v>
      </c>
      <c r="N15" s="30">
        <f>'12B Sem 1'!M7</f>
        <v>89</v>
      </c>
      <c r="O15" s="30">
        <f>'12B Sem 1'!N7</f>
        <v>88</v>
      </c>
      <c r="P15" s="30">
        <f>'12B Sem 1'!O7</f>
        <v>891</v>
      </c>
      <c r="Q15" s="30">
        <f>'12B Sem 1'!P7</f>
        <v>89.1</v>
      </c>
      <c r="R15" s="30">
        <f>'12B Sem 1'!Q7</f>
        <v>3</v>
      </c>
      <c r="S15" s="45">
        <f>'12B Sem 1'!R7</f>
        <v>0</v>
      </c>
      <c r="T15" s="45">
        <f>'12B Sem 1'!S7</f>
        <v>0</v>
      </c>
      <c r="U15"/>
    </row>
    <row r="16" spans="1:24" ht="17.25" customHeight="1" thickBot="1" x14ac:dyDescent="0.3">
      <c r="A16" s="252"/>
      <c r="B16" s="352"/>
      <c r="C16" s="252">
        <v>17</v>
      </c>
      <c r="D16" s="353" t="s">
        <v>23</v>
      </c>
      <c r="E16" s="29" t="s">
        <v>22</v>
      </c>
      <c r="F16" s="30">
        <f>'12B (NS)Sem 2'!E7</f>
        <v>91</v>
      </c>
      <c r="G16" s="30">
        <f>'12B (NS)Sem 2'!F7</f>
        <v>90</v>
      </c>
      <c r="H16" s="30">
        <f>'12B (NS)Sem 2'!G7</f>
        <v>78</v>
      </c>
      <c r="I16" s="30">
        <f>'12B (NS)Sem 2'!H7</f>
        <v>94</v>
      </c>
      <c r="J16" s="30">
        <f>'12B (NS)Sem 2'!I7</f>
        <v>96</v>
      </c>
      <c r="K16" s="30">
        <f>'12B (NS)Sem 2'!J7</f>
        <v>88</v>
      </c>
      <c r="L16" s="30">
        <f>'12B (NS)Sem 2'!K7</f>
        <v>97</v>
      </c>
      <c r="M16" s="30">
        <f>'12B (NS)Sem 2'!L7</f>
        <v>100</v>
      </c>
      <c r="N16" s="30">
        <f>'12B (NS)Sem 2'!M7</f>
        <v>94</v>
      </c>
      <c r="O16" s="30">
        <f>'12B (NS)Sem 2'!N7</f>
        <v>87</v>
      </c>
      <c r="P16" s="30">
        <f>'12B (NS)Sem 2'!O7</f>
        <v>915</v>
      </c>
      <c r="Q16" s="30">
        <f>'12B (NS)Sem 2'!P7</f>
        <v>91.5</v>
      </c>
      <c r="R16" s="30">
        <f>'12B (NS)Sem 2'!Q7</f>
        <v>6</v>
      </c>
      <c r="S16" s="45">
        <f>'12B (NS)Sem 2'!R7</f>
        <v>0</v>
      </c>
      <c r="T16" s="45">
        <f>'12B (NS)Sem 2'!S7</f>
        <v>0</v>
      </c>
      <c r="U16"/>
    </row>
    <row r="17" spans="1:21" ht="17.25" customHeight="1" thickBot="1" x14ac:dyDescent="0.3">
      <c r="A17" s="252"/>
      <c r="B17" s="352"/>
      <c r="C17" s="252">
        <v>17</v>
      </c>
      <c r="D17" s="353" t="s">
        <v>23</v>
      </c>
      <c r="E17" s="29" t="s">
        <v>16</v>
      </c>
      <c r="F17" s="30">
        <f>AVERAGE(F15:F16)</f>
        <v>92</v>
      </c>
      <c r="G17" s="30">
        <f t="shared" ref="G17:Q17" si="3">AVERAGE(G15:G16)</f>
        <v>89.5</v>
      </c>
      <c r="H17" s="30">
        <f t="shared" si="3"/>
        <v>71.5</v>
      </c>
      <c r="I17" s="30">
        <f t="shared" si="3"/>
        <v>91</v>
      </c>
      <c r="J17" s="30">
        <f t="shared" si="3"/>
        <v>96</v>
      </c>
      <c r="K17" s="30">
        <f t="shared" si="3"/>
        <v>89</v>
      </c>
      <c r="L17" s="30">
        <f t="shared" si="3"/>
        <v>96.5</v>
      </c>
      <c r="M17" s="30">
        <f t="shared" si="3"/>
        <v>98.5</v>
      </c>
      <c r="N17" s="30">
        <f t="shared" si="3"/>
        <v>91.5</v>
      </c>
      <c r="O17" s="30">
        <f t="shared" si="3"/>
        <v>87.5</v>
      </c>
      <c r="P17" s="30">
        <f t="shared" si="3"/>
        <v>903</v>
      </c>
      <c r="Q17" s="30">
        <f t="shared" si="3"/>
        <v>90.3</v>
      </c>
      <c r="R17" s="30">
        <f>'12B Sem avr (NS) '!$H$7</f>
        <v>5</v>
      </c>
      <c r="S17" s="45">
        <f>AVERAGE(S15:S16)</f>
        <v>0</v>
      </c>
      <c r="T17" s="45">
        <f>AVERAGE(T15:T16)</f>
        <v>0</v>
      </c>
      <c r="U17"/>
    </row>
    <row r="18" spans="1:21" ht="17.25" customHeight="1" thickBot="1" x14ac:dyDescent="0.3">
      <c r="A18" s="252">
        <v>5</v>
      </c>
      <c r="B18" s="247"/>
      <c r="C18" s="247">
        <v>18</v>
      </c>
      <c r="D18" s="248" t="s">
        <v>23</v>
      </c>
      <c r="E18" s="29" t="s">
        <v>21</v>
      </c>
      <c r="F18" s="30">
        <f>'12B Sem 1'!E8</f>
        <v>71</v>
      </c>
      <c r="G18" s="30">
        <f>'12B Sem 1'!F8</f>
        <v>79</v>
      </c>
      <c r="H18" s="30">
        <f>'12B Sem 1'!G8</f>
        <v>47</v>
      </c>
      <c r="I18" s="30">
        <f>'12B Sem 1'!H8</f>
        <v>60</v>
      </c>
      <c r="J18" s="30">
        <f>'12B Sem 1'!I8</f>
        <v>62</v>
      </c>
      <c r="K18" s="30">
        <f>'12B Sem 1'!J8</f>
        <v>62</v>
      </c>
      <c r="L18" s="30">
        <f>'12B Sem 1'!K8</f>
        <v>80</v>
      </c>
      <c r="M18" s="30">
        <f>'12B Sem 1'!L8</f>
        <v>84</v>
      </c>
      <c r="N18" s="30">
        <f>'12B Sem 1'!M8</f>
        <v>58</v>
      </c>
      <c r="O18" s="30">
        <f>'12B Sem 1'!N8</f>
        <v>53</v>
      </c>
      <c r="P18" s="30">
        <f>'12B Sem 1'!O8</f>
        <v>656</v>
      </c>
      <c r="Q18" s="30">
        <f>'12B Sem 1'!P8</f>
        <v>65.599999999999994</v>
      </c>
      <c r="R18" s="30">
        <f>'12B Sem 1'!Q8</f>
        <v>28</v>
      </c>
      <c r="S18" s="45">
        <f>'12B Sem 1'!R8</f>
        <v>0</v>
      </c>
      <c r="T18" s="45">
        <f>'12B Sem 1'!S8</f>
        <v>0</v>
      </c>
      <c r="U18"/>
    </row>
    <row r="19" spans="1:21" ht="17.25" customHeight="1" thickBot="1" x14ac:dyDescent="0.3">
      <c r="A19" s="252"/>
      <c r="B19" s="247"/>
      <c r="C19" s="247">
        <v>18</v>
      </c>
      <c r="D19" s="248" t="s">
        <v>23</v>
      </c>
      <c r="E19" s="29" t="s">
        <v>22</v>
      </c>
      <c r="F19" s="30">
        <f>'12B (NS)Sem 2'!E8</f>
        <v>79</v>
      </c>
      <c r="G19" s="30">
        <f>'12B (NS)Sem 2'!F8</f>
        <v>73</v>
      </c>
      <c r="H19" s="30">
        <f>'12B (NS)Sem 2'!G8</f>
        <v>67</v>
      </c>
      <c r="I19" s="30">
        <f>'12B (NS)Sem 2'!H8</f>
        <v>70</v>
      </c>
      <c r="J19" s="30">
        <f>'12B (NS)Sem 2'!I8</f>
        <v>68</v>
      </c>
      <c r="K19" s="30">
        <f>'12B (NS)Sem 2'!J8</f>
        <v>83</v>
      </c>
      <c r="L19" s="30">
        <f>'12B (NS)Sem 2'!K8</f>
        <v>93</v>
      </c>
      <c r="M19" s="30">
        <f>'12B (NS)Sem 2'!L8</f>
        <v>90</v>
      </c>
      <c r="N19" s="30">
        <f>'12B (NS)Sem 2'!M8</f>
        <v>63</v>
      </c>
      <c r="O19" s="30">
        <f>'12B (NS)Sem 2'!N8</f>
        <v>72</v>
      </c>
      <c r="P19" s="30">
        <f>'12B (NS)Sem 2'!O8</f>
        <v>758</v>
      </c>
      <c r="Q19" s="30">
        <f>'12B (NS)Sem 2'!P8</f>
        <v>75.8</v>
      </c>
      <c r="R19" s="30">
        <f>'12B (NS)Sem 2'!Q8</f>
        <v>27</v>
      </c>
      <c r="S19" s="45">
        <f>'12B (NS)Sem 2'!R8</f>
        <v>0</v>
      </c>
      <c r="T19" s="45">
        <f>'12B (NS)Sem 2'!S8</f>
        <v>0</v>
      </c>
      <c r="U19"/>
    </row>
    <row r="20" spans="1:21" ht="17.25" customHeight="1" thickBot="1" x14ac:dyDescent="0.3">
      <c r="A20" s="252"/>
      <c r="B20" s="247"/>
      <c r="C20" s="247">
        <v>18</v>
      </c>
      <c r="D20" s="248" t="s">
        <v>23</v>
      </c>
      <c r="E20" s="29" t="s">
        <v>16</v>
      </c>
      <c r="F20" s="30">
        <f>AVERAGE(F18:F19)</f>
        <v>75</v>
      </c>
      <c r="G20" s="30">
        <f t="shared" ref="G20:Q20" si="4">AVERAGE(G18:G19)</f>
        <v>76</v>
      </c>
      <c r="H20" s="30">
        <f t="shared" si="4"/>
        <v>57</v>
      </c>
      <c r="I20" s="30">
        <f t="shared" si="4"/>
        <v>65</v>
      </c>
      <c r="J20" s="30">
        <f t="shared" si="4"/>
        <v>65</v>
      </c>
      <c r="K20" s="30">
        <f t="shared" si="4"/>
        <v>72.5</v>
      </c>
      <c r="L20" s="30">
        <f t="shared" si="4"/>
        <v>86.5</v>
      </c>
      <c r="M20" s="30">
        <f t="shared" si="4"/>
        <v>87</v>
      </c>
      <c r="N20" s="30">
        <f t="shared" si="4"/>
        <v>60.5</v>
      </c>
      <c r="O20" s="30">
        <f t="shared" si="4"/>
        <v>62.5</v>
      </c>
      <c r="P20" s="30">
        <f t="shared" si="4"/>
        <v>707</v>
      </c>
      <c r="Q20" s="30">
        <f t="shared" si="4"/>
        <v>70.699999999999989</v>
      </c>
      <c r="R20" s="30">
        <f>'12B Sem avr (NS) '!$H$8</f>
        <v>28</v>
      </c>
      <c r="S20" s="45">
        <f>AVERAGE(S18:S19)</f>
        <v>0</v>
      </c>
      <c r="T20" s="45">
        <f>AVERAGE(T18:T19)</f>
        <v>0</v>
      </c>
      <c r="U20"/>
    </row>
    <row r="21" spans="1:21" ht="17.25" customHeight="1" thickBot="1" x14ac:dyDescent="0.3">
      <c r="A21" s="246">
        <v>6</v>
      </c>
      <c r="B21" s="247"/>
      <c r="C21" s="247">
        <v>17</v>
      </c>
      <c r="D21" s="248" t="s">
        <v>23</v>
      </c>
      <c r="E21" s="29" t="s">
        <v>21</v>
      </c>
      <c r="F21" s="30">
        <f>'12B Sem 1'!E9</f>
        <v>88</v>
      </c>
      <c r="G21" s="30">
        <f>'12B Sem 1'!F9</f>
        <v>85</v>
      </c>
      <c r="H21" s="30">
        <f>'12B Sem 1'!G9</f>
        <v>50</v>
      </c>
      <c r="I21" s="30">
        <f>'12B Sem 1'!H9</f>
        <v>87</v>
      </c>
      <c r="J21" s="30">
        <f>'12B Sem 1'!I9</f>
        <v>89</v>
      </c>
      <c r="K21" s="30">
        <f>'12B Sem 1'!J9</f>
        <v>86</v>
      </c>
      <c r="L21" s="30">
        <f>'12B Sem 1'!K9</f>
        <v>98</v>
      </c>
      <c r="M21" s="30">
        <f>'12B Sem 1'!L9</f>
        <v>100</v>
      </c>
      <c r="N21" s="30">
        <f>'12B Sem 1'!M9</f>
        <v>89</v>
      </c>
      <c r="O21" s="30">
        <f>'12B Sem 1'!N9</f>
        <v>80</v>
      </c>
      <c r="P21" s="30">
        <f>'12B Sem 1'!O9</f>
        <v>852</v>
      </c>
      <c r="Q21" s="30">
        <f>'12B Sem 1'!P9</f>
        <v>85.2</v>
      </c>
      <c r="R21" s="30">
        <f>'12B Sem 1'!Q9</f>
        <v>7</v>
      </c>
      <c r="S21" s="45">
        <f>'12B Sem 1'!R9</f>
        <v>0</v>
      </c>
      <c r="T21" s="45">
        <f>'12B Sem 1'!S9</f>
        <v>0</v>
      </c>
      <c r="U21"/>
    </row>
    <row r="22" spans="1:21" ht="17.25" customHeight="1" thickBot="1" x14ac:dyDescent="0.3">
      <c r="A22" s="246"/>
      <c r="B22" s="247"/>
      <c r="C22" s="247">
        <v>17</v>
      </c>
      <c r="D22" s="248" t="s">
        <v>23</v>
      </c>
      <c r="E22" s="29" t="s">
        <v>22</v>
      </c>
      <c r="F22" s="30">
        <f>'12B (NS)Sem 2'!E9</f>
        <v>88</v>
      </c>
      <c r="G22" s="30">
        <f>'12B (NS)Sem 2'!F9</f>
        <v>88</v>
      </c>
      <c r="H22" s="30">
        <f>'12B (NS)Sem 2'!G9</f>
        <v>69</v>
      </c>
      <c r="I22" s="30">
        <f>'12B (NS)Sem 2'!H9</f>
        <v>90</v>
      </c>
      <c r="J22" s="30">
        <f>'12B (NS)Sem 2'!I9</f>
        <v>91</v>
      </c>
      <c r="K22" s="30">
        <f>'12B (NS)Sem 2'!J9</f>
        <v>90</v>
      </c>
      <c r="L22" s="30">
        <f>'12B (NS)Sem 2'!K9</f>
        <v>96</v>
      </c>
      <c r="M22" s="30">
        <f>'12B (NS)Sem 2'!L9</f>
        <v>100</v>
      </c>
      <c r="N22" s="30">
        <f>'12B (NS)Sem 2'!M9</f>
        <v>94</v>
      </c>
      <c r="O22" s="30">
        <f>'12B (NS)Sem 2'!N9</f>
        <v>92</v>
      </c>
      <c r="P22" s="30">
        <f>'12B (NS)Sem 2'!O9</f>
        <v>898</v>
      </c>
      <c r="Q22" s="30">
        <f>'12B (NS)Sem 2'!P9</f>
        <v>89.8</v>
      </c>
      <c r="R22" s="30">
        <f>'12B (NS)Sem 2'!Q9</f>
        <v>7</v>
      </c>
      <c r="S22" s="45">
        <f>'12B (NS)Sem 2'!R9</f>
        <v>0</v>
      </c>
      <c r="T22" s="45">
        <f>'12B (NS)Sem 2'!S9</f>
        <v>0</v>
      </c>
      <c r="U22"/>
    </row>
    <row r="23" spans="1:21" ht="17.25" customHeight="1" thickBot="1" x14ac:dyDescent="0.3">
      <c r="A23" s="246"/>
      <c r="B23" s="247"/>
      <c r="C23" s="247">
        <v>17</v>
      </c>
      <c r="D23" s="248" t="s">
        <v>23</v>
      </c>
      <c r="E23" s="29" t="s">
        <v>16</v>
      </c>
      <c r="F23" s="30">
        <f>AVERAGE(F21:F22)</f>
        <v>88</v>
      </c>
      <c r="G23" s="30">
        <f t="shared" ref="G23:Q23" si="5">AVERAGE(G21:G22)</f>
        <v>86.5</v>
      </c>
      <c r="H23" s="30">
        <f t="shared" si="5"/>
        <v>59.5</v>
      </c>
      <c r="I23" s="30">
        <f t="shared" si="5"/>
        <v>88.5</v>
      </c>
      <c r="J23" s="30">
        <f t="shared" si="5"/>
        <v>90</v>
      </c>
      <c r="K23" s="30">
        <f t="shared" si="5"/>
        <v>88</v>
      </c>
      <c r="L23" s="30">
        <f t="shared" si="5"/>
        <v>97</v>
      </c>
      <c r="M23" s="30">
        <f t="shared" si="5"/>
        <v>100</v>
      </c>
      <c r="N23" s="30">
        <f t="shared" si="5"/>
        <v>91.5</v>
      </c>
      <c r="O23" s="30">
        <f t="shared" si="5"/>
        <v>86</v>
      </c>
      <c r="P23" s="30">
        <f t="shared" si="5"/>
        <v>875</v>
      </c>
      <c r="Q23" s="30">
        <f t="shared" si="5"/>
        <v>87.5</v>
      </c>
      <c r="R23" s="30">
        <f>'12B Sem avr (NS) '!$H$9</f>
        <v>7</v>
      </c>
      <c r="S23" s="45">
        <f>AVERAGE(S21:S22)</f>
        <v>0</v>
      </c>
      <c r="T23" s="45">
        <f>AVERAGE(T21:T22)</f>
        <v>0</v>
      </c>
      <c r="U23"/>
    </row>
    <row r="24" spans="1:21" ht="17.25" customHeight="1" thickBot="1" x14ac:dyDescent="0.3">
      <c r="A24" s="252">
        <v>7</v>
      </c>
      <c r="B24" s="247"/>
      <c r="C24" s="253">
        <v>17</v>
      </c>
      <c r="D24" s="254" t="s">
        <v>23</v>
      </c>
      <c r="E24" s="29" t="s">
        <v>21</v>
      </c>
      <c r="F24" s="30">
        <f>'12B Sem 1'!E10</f>
        <v>69</v>
      </c>
      <c r="G24" s="30">
        <f>'12B Sem 1'!F10</f>
        <v>76</v>
      </c>
      <c r="H24" s="30">
        <f>'12B Sem 1'!G10</f>
        <v>46</v>
      </c>
      <c r="I24" s="30">
        <f>'12B Sem 1'!H10</f>
        <v>65</v>
      </c>
      <c r="J24" s="30">
        <f>'12B Sem 1'!I10</f>
        <v>60</v>
      </c>
      <c r="K24" s="30">
        <f>'12B Sem 1'!J10</f>
        <v>70</v>
      </c>
      <c r="L24" s="30">
        <f>'12B Sem 1'!K10</f>
        <v>78</v>
      </c>
      <c r="M24" s="30">
        <f>'12B Sem 1'!L10</f>
        <v>88</v>
      </c>
      <c r="N24" s="30">
        <f>'12B Sem 1'!M10</f>
        <v>50</v>
      </c>
      <c r="O24" s="30">
        <f>'12B Sem 1'!N10</f>
        <v>70</v>
      </c>
      <c r="P24" s="30">
        <f>'12B Sem 1'!O10</f>
        <v>672</v>
      </c>
      <c r="Q24" s="30">
        <f>'12B Sem 1'!P10</f>
        <v>67.2</v>
      </c>
      <c r="R24" s="30">
        <f>'12B Sem 1'!Q10</f>
        <v>27</v>
      </c>
      <c r="S24" s="45">
        <f>'12B Sem 1'!R10</f>
        <v>0</v>
      </c>
      <c r="T24" s="45">
        <f>'12B Sem 1'!S10</f>
        <v>0</v>
      </c>
      <c r="U24"/>
    </row>
    <row r="25" spans="1:21" ht="17.25" customHeight="1" thickBot="1" x14ac:dyDescent="0.3">
      <c r="A25" s="252"/>
      <c r="B25" s="247"/>
      <c r="C25" s="253">
        <v>17</v>
      </c>
      <c r="D25" s="254" t="s">
        <v>23</v>
      </c>
      <c r="E25" s="29" t="s">
        <v>22</v>
      </c>
      <c r="F25" s="30">
        <f>'12B (NS)Sem 2'!E10</f>
        <v>78</v>
      </c>
      <c r="G25" s="30">
        <f>'12B (NS)Sem 2'!F10</f>
        <v>73</v>
      </c>
      <c r="H25" s="30">
        <f>'12B (NS)Sem 2'!G10</f>
        <v>74</v>
      </c>
      <c r="I25" s="30">
        <f>'12B (NS)Sem 2'!H10</f>
        <v>70</v>
      </c>
      <c r="J25" s="30">
        <f>'12B (NS)Sem 2'!I10</f>
        <v>72</v>
      </c>
      <c r="K25" s="30">
        <f>'12B (NS)Sem 2'!J10</f>
        <v>81</v>
      </c>
      <c r="L25" s="30">
        <f>'12B (NS)Sem 2'!K10</f>
        <v>96</v>
      </c>
      <c r="M25" s="30">
        <f>'12B (NS)Sem 2'!L10</f>
        <v>92</v>
      </c>
      <c r="N25" s="30">
        <f>'12B (NS)Sem 2'!M10</f>
        <v>55</v>
      </c>
      <c r="O25" s="30">
        <f>'12B (NS)Sem 2'!N10</f>
        <v>75</v>
      </c>
      <c r="P25" s="30">
        <f>'12B (NS)Sem 2'!O10</f>
        <v>766</v>
      </c>
      <c r="Q25" s="30">
        <f>'12B (NS)Sem 2'!P10</f>
        <v>76.599999999999994</v>
      </c>
      <c r="R25" s="30">
        <f>'12B (NS)Sem 2'!Q10</f>
        <v>23</v>
      </c>
      <c r="S25" s="45">
        <f>'12B (NS)Sem 2'!R10</f>
        <v>0</v>
      </c>
      <c r="T25" s="45">
        <f>'12B (NS)Sem 2'!S10</f>
        <v>0</v>
      </c>
      <c r="U25"/>
    </row>
    <row r="26" spans="1:21" ht="17.25" customHeight="1" thickBot="1" x14ac:dyDescent="0.3">
      <c r="A26" s="252"/>
      <c r="B26" s="247"/>
      <c r="C26" s="253">
        <v>17</v>
      </c>
      <c r="D26" s="254" t="s">
        <v>23</v>
      </c>
      <c r="E26" s="29" t="s">
        <v>16</v>
      </c>
      <c r="F26" s="30">
        <f>AVERAGE(F24:F25)</f>
        <v>73.5</v>
      </c>
      <c r="G26" s="30">
        <f t="shared" ref="G26:Q26" si="6">AVERAGE(G24:G25)</f>
        <v>74.5</v>
      </c>
      <c r="H26" s="30">
        <f t="shared" si="6"/>
        <v>60</v>
      </c>
      <c r="I26" s="30">
        <f t="shared" si="6"/>
        <v>67.5</v>
      </c>
      <c r="J26" s="30">
        <f t="shared" si="6"/>
        <v>66</v>
      </c>
      <c r="K26" s="30">
        <f t="shared" si="6"/>
        <v>75.5</v>
      </c>
      <c r="L26" s="30">
        <f t="shared" si="6"/>
        <v>87</v>
      </c>
      <c r="M26" s="30">
        <f t="shared" si="6"/>
        <v>90</v>
      </c>
      <c r="N26" s="30">
        <f t="shared" si="6"/>
        <v>52.5</v>
      </c>
      <c r="O26" s="30">
        <f t="shared" si="6"/>
        <v>72.5</v>
      </c>
      <c r="P26" s="30">
        <f t="shared" si="6"/>
        <v>719</v>
      </c>
      <c r="Q26" s="30">
        <f t="shared" si="6"/>
        <v>71.900000000000006</v>
      </c>
      <c r="R26" s="30">
        <f>'12B Sem avr (NS) '!$H$10</f>
        <v>27</v>
      </c>
      <c r="S26" s="45">
        <f>AVERAGE(S24:S25)</f>
        <v>0</v>
      </c>
      <c r="T26" s="45">
        <f>AVERAGE(T24:T25)</f>
        <v>0</v>
      </c>
      <c r="U26"/>
    </row>
    <row r="27" spans="1:21" ht="17.25" customHeight="1" thickBot="1" x14ac:dyDescent="0.3">
      <c r="A27" s="252">
        <v>8</v>
      </c>
      <c r="B27" s="247"/>
      <c r="C27" s="253">
        <v>17</v>
      </c>
      <c r="D27" s="254" t="s">
        <v>23</v>
      </c>
      <c r="E27" s="29" t="s">
        <v>21</v>
      </c>
      <c r="F27" s="30">
        <f>'12B Sem 1'!E11</f>
        <v>72</v>
      </c>
      <c r="G27" s="30">
        <f>'12B Sem 1'!F11</f>
        <v>74</v>
      </c>
      <c r="H27" s="30">
        <f>'12B Sem 1'!G11</f>
        <v>50</v>
      </c>
      <c r="I27" s="30">
        <f>'12B Sem 1'!H11</f>
        <v>58</v>
      </c>
      <c r="J27" s="30">
        <f>'12B Sem 1'!I11</f>
        <v>55</v>
      </c>
      <c r="K27" s="30">
        <f>'12B Sem 1'!J11</f>
        <v>56</v>
      </c>
      <c r="L27" s="30">
        <f>'12B Sem 1'!K11</f>
        <v>83</v>
      </c>
      <c r="M27" s="30">
        <f>'12B Sem 1'!L11</f>
        <v>83</v>
      </c>
      <c r="N27" s="30">
        <f>'12B Sem 1'!M11</f>
        <v>55</v>
      </c>
      <c r="O27" s="30">
        <f>'12B Sem 1'!N11</f>
        <v>66</v>
      </c>
      <c r="P27" s="30">
        <f>'12B Sem 1'!O11</f>
        <v>652</v>
      </c>
      <c r="Q27" s="30">
        <f>'12B Sem 1'!P11</f>
        <v>65.2</v>
      </c>
      <c r="R27" s="30">
        <f>'12B Sem 1'!Q11</f>
        <v>29</v>
      </c>
      <c r="S27" s="45">
        <f>'12B Sem 1'!R11</f>
        <v>0</v>
      </c>
      <c r="T27" s="45">
        <f>'12B Sem 1'!S11</f>
        <v>0</v>
      </c>
      <c r="U27"/>
    </row>
    <row r="28" spans="1:21" ht="17.25" customHeight="1" thickBot="1" x14ac:dyDescent="0.3">
      <c r="A28" s="252"/>
      <c r="B28" s="247"/>
      <c r="C28" s="253">
        <v>17</v>
      </c>
      <c r="D28" s="254" t="s">
        <v>23</v>
      </c>
      <c r="E28" s="29" t="s">
        <v>22</v>
      </c>
      <c r="F28" s="30">
        <f>'12B (NS)Sem 2'!E11</f>
        <v>79</v>
      </c>
      <c r="G28" s="30">
        <f>'12B (NS)Sem 2'!F11</f>
        <v>72</v>
      </c>
      <c r="H28" s="30">
        <f>'12B (NS)Sem 2'!G11</f>
        <v>80</v>
      </c>
      <c r="I28" s="30">
        <f>'12B (NS)Sem 2'!H11</f>
        <v>68</v>
      </c>
      <c r="J28" s="30">
        <f>'12B (NS)Sem 2'!I11</f>
        <v>68</v>
      </c>
      <c r="K28" s="30">
        <f>'12B (NS)Sem 2'!J11</f>
        <v>62</v>
      </c>
      <c r="L28" s="30">
        <f>'12B (NS)Sem 2'!K11</f>
        <v>93</v>
      </c>
      <c r="M28" s="30">
        <f>'12B (NS)Sem 2'!L11</f>
        <v>90</v>
      </c>
      <c r="N28" s="30">
        <f>'12B (NS)Sem 2'!M11</f>
        <v>60</v>
      </c>
      <c r="O28" s="30">
        <f>'12B (NS)Sem 2'!N11</f>
        <v>74</v>
      </c>
      <c r="P28" s="30">
        <f>'12B (NS)Sem 2'!O11</f>
        <v>746</v>
      </c>
      <c r="Q28" s="30">
        <f>'12B (NS)Sem 2'!P11</f>
        <v>74.599999999999994</v>
      </c>
      <c r="R28" s="30">
        <f>'12B (NS)Sem 2'!Q11</f>
        <v>29</v>
      </c>
      <c r="S28" s="45">
        <f>'12B (NS)Sem 2'!R11</f>
        <v>0</v>
      </c>
      <c r="T28" s="45">
        <f>'12B (NS)Sem 2'!S11</f>
        <v>0</v>
      </c>
      <c r="U28"/>
    </row>
    <row r="29" spans="1:21" ht="17.25" customHeight="1" thickBot="1" x14ac:dyDescent="0.3">
      <c r="A29" s="252"/>
      <c r="B29" s="247"/>
      <c r="C29" s="253">
        <v>17</v>
      </c>
      <c r="D29" s="254" t="s">
        <v>23</v>
      </c>
      <c r="E29" s="29" t="s">
        <v>16</v>
      </c>
      <c r="F29" s="30">
        <f>AVERAGE(F27:F28)</f>
        <v>75.5</v>
      </c>
      <c r="G29" s="30">
        <f t="shared" ref="G29:Q29" si="7">AVERAGE(G27:G28)</f>
        <v>73</v>
      </c>
      <c r="H29" s="30">
        <f t="shared" si="7"/>
        <v>65</v>
      </c>
      <c r="I29" s="30">
        <f t="shared" si="7"/>
        <v>63</v>
      </c>
      <c r="J29" s="30">
        <f t="shared" si="7"/>
        <v>61.5</v>
      </c>
      <c r="K29" s="30">
        <f t="shared" si="7"/>
        <v>59</v>
      </c>
      <c r="L29" s="30">
        <f t="shared" si="7"/>
        <v>88</v>
      </c>
      <c r="M29" s="30">
        <f t="shared" si="7"/>
        <v>86.5</v>
      </c>
      <c r="N29" s="30">
        <f t="shared" si="7"/>
        <v>57.5</v>
      </c>
      <c r="O29" s="30">
        <f t="shared" si="7"/>
        <v>70</v>
      </c>
      <c r="P29" s="30">
        <f t="shared" si="7"/>
        <v>699</v>
      </c>
      <c r="Q29" s="30">
        <f t="shared" si="7"/>
        <v>69.900000000000006</v>
      </c>
      <c r="R29" s="30">
        <f>'12B Sem avr (NS) '!$H$11</f>
        <v>29</v>
      </c>
      <c r="S29" s="45">
        <f>AVERAGE(S27:S28)</f>
        <v>0</v>
      </c>
      <c r="T29" s="45">
        <f>AVERAGE(T27:T28)</f>
        <v>0</v>
      </c>
      <c r="U29"/>
    </row>
    <row r="30" spans="1:21" ht="17.25" customHeight="1" thickBot="1" x14ac:dyDescent="0.3">
      <c r="A30" s="246">
        <v>9</v>
      </c>
      <c r="B30" s="247"/>
      <c r="C30" s="253">
        <v>18</v>
      </c>
      <c r="D30" s="254" t="s">
        <v>23</v>
      </c>
      <c r="E30" s="29" t="s">
        <v>21</v>
      </c>
      <c r="F30" s="30">
        <f>'12B Sem 1'!E12</f>
        <v>86</v>
      </c>
      <c r="G30" s="30">
        <f>'12B Sem 1'!F12</f>
        <v>83</v>
      </c>
      <c r="H30" s="30">
        <f>'12B Sem 1'!G12</f>
        <v>65</v>
      </c>
      <c r="I30" s="30">
        <f>'12B Sem 1'!H12</f>
        <v>86</v>
      </c>
      <c r="J30" s="30">
        <f>'12B Sem 1'!I12</f>
        <v>78</v>
      </c>
      <c r="K30" s="30">
        <f>'12B Sem 1'!J12</f>
        <v>86</v>
      </c>
      <c r="L30" s="30">
        <f>'12B Sem 1'!K12</f>
        <v>97</v>
      </c>
      <c r="M30" s="30">
        <f>'12B Sem 1'!L12</f>
        <v>96</v>
      </c>
      <c r="N30" s="30">
        <f>'12B Sem 1'!M12</f>
        <v>86</v>
      </c>
      <c r="O30" s="30">
        <f>'12B Sem 1'!N12</f>
        <v>86</v>
      </c>
      <c r="P30" s="30">
        <f>'12B Sem 1'!O12</f>
        <v>849</v>
      </c>
      <c r="Q30" s="30">
        <f>'12B Sem 1'!P12</f>
        <v>84.9</v>
      </c>
      <c r="R30" s="30">
        <f>'12B Sem 1'!Q12</f>
        <v>8</v>
      </c>
      <c r="S30" s="45">
        <f>'12B Sem 1'!R12</f>
        <v>0</v>
      </c>
      <c r="T30" s="45">
        <f>'12B Sem 1'!S12</f>
        <v>0</v>
      </c>
      <c r="U30"/>
    </row>
    <row r="31" spans="1:21" ht="17.25" customHeight="1" thickBot="1" x14ac:dyDescent="0.3">
      <c r="A31" s="246"/>
      <c r="B31" s="247"/>
      <c r="C31" s="253">
        <v>18</v>
      </c>
      <c r="D31" s="254" t="s">
        <v>23</v>
      </c>
      <c r="E31" s="29" t="s">
        <v>22</v>
      </c>
      <c r="F31" s="30">
        <f>'12B (NS)Sem 2'!E12</f>
        <v>88</v>
      </c>
      <c r="G31" s="30">
        <f>'12B (NS)Sem 2'!F12</f>
        <v>87</v>
      </c>
      <c r="H31" s="30">
        <f>'12B (NS)Sem 2'!G12</f>
        <v>74</v>
      </c>
      <c r="I31" s="30">
        <f>'12B (NS)Sem 2'!H12</f>
        <v>92</v>
      </c>
      <c r="J31" s="30">
        <f>'12B (NS)Sem 2'!I12</f>
        <v>85</v>
      </c>
      <c r="K31" s="30">
        <f>'12B (NS)Sem 2'!J12</f>
        <v>84</v>
      </c>
      <c r="L31" s="30">
        <f>'12B (NS)Sem 2'!K12</f>
        <v>93</v>
      </c>
      <c r="M31" s="30">
        <f>'12B (NS)Sem 2'!L12</f>
        <v>100</v>
      </c>
      <c r="N31" s="30">
        <f>'12B (NS)Sem 2'!M12</f>
        <v>91</v>
      </c>
      <c r="O31" s="30">
        <f>'12B (NS)Sem 2'!N12</f>
        <v>93</v>
      </c>
      <c r="P31" s="30">
        <f>'12B (NS)Sem 2'!O12</f>
        <v>887</v>
      </c>
      <c r="Q31" s="30">
        <f>'12B (NS)Sem 2'!P12</f>
        <v>88.7</v>
      </c>
      <c r="R31" s="30">
        <f>'12B (NS)Sem 2'!Q12</f>
        <v>8</v>
      </c>
      <c r="S31" s="45">
        <f>'12B (NS)Sem 2'!R12</f>
        <v>0</v>
      </c>
      <c r="T31" s="45">
        <f>'12B (NS)Sem 2'!S12</f>
        <v>0</v>
      </c>
      <c r="U31"/>
    </row>
    <row r="32" spans="1:21" ht="17.25" customHeight="1" thickBot="1" x14ac:dyDescent="0.3">
      <c r="A32" s="246"/>
      <c r="B32" s="247"/>
      <c r="C32" s="253">
        <v>18</v>
      </c>
      <c r="D32" s="254" t="s">
        <v>23</v>
      </c>
      <c r="E32" s="29" t="s">
        <v>16</v>
      </c>
      <c r="F32" s="30">
        <f>AVERAGE(F30:F31)</f>
        <v>87</v>
      </c>
      <c r="G32" s="30">
        <f t="shared" ref="G32:Q32" si="8">AVERAGE(G30:G31)</f>
        <v>85</v>
      </c>
      <c r="H32" s="30">
        <f t="shared" si="8"/>
        <v>69.5</v>
      </c>
      <c r="I32" s="30">
        <f t="shared" si="8"/>
        <v>89</v>
      </c>
      <c r="J32" s="30">
        <f t="shared" si="8"/>
        <v>81.5</v>
      </c>
      <c r="K32" s="30">
        <f t="shared" si="8"/>
        <v>85</v>
      </c>
      <c r="L32" s="30">
        <f t="shared" si="8"/>
        <v>95</v>
      </c>
      <c r="M32" s="30">
        <f t="shared" si="8"/>
        <v>98</v>
      </c>
      <c r="N32" s="30">
        <f t="shared" si="8"/>
        <v>88.5</v>
      </c>
      <c r="O32" s="30">
        <f t="shared" si="8"/>
        <v>89.5</v>
      </c>
      <c r="P32" s="30">
        <f t="shared" si="8"/>
        <v>868</v>
      </c>
      <c r="Q32" s="30">
        <f t="shared" si="8"/>
        <v>86.800000000000011</v>
      </c>
      <c r="R32" s="30">
        <f>'12B Sem avr (NS) '!$H$12</f>
        <v>8</v>
      </c>
      <c r="S32" s="45">
        <f>AVERAGE(S30:S31)</f>
        <v>0</v>
      </c>
      <c r="T32" s="45">
        <f>AVERAGE(T30:T31)</f>
        <v>0</v>
      </c>
      <c r="U32"/>
    </row>
    <row r="33" spans="1:21" ht="17.25" customHeight="1" thickBot="1" x14ac:dyDescent="0.3">
      <c r="A33" s="252">
        <v>10</v>
      </c>
      <c r="B33" s="247"/>
      <c r="C33" s="247">
        <v>18</v>
      </c>
      <c r="D33" s="248" t="s">
        <v>23</v>
      </c>
      <c r="E33" s="29" t="s">
        <v>21</v>
      </c>
      <c r="F33" s="30">
        <f>'12B Sem 1'!E13</f>
        <v>84</v>
      </c>
      <c r="G33" s="30">
        <f>'12B Sem 1'!F13</f>
        <v>87</v>
      </c>
      <c r="H33" s="30">
        <f>'12B Sem 1'!G13</f>
        <v>63</v>
      </c>
      <c r="I33" s="30">
        <f>'12B Sem 1'!H13</f>
        <v>89</v>
      </c>
      <c r="J33" s="30">
        <f>'12B Sem 1'!I13</f>
        <v>91</v>
      </c>
      <c r="K33" s="30">
        <f>'12B Sem 1'!J13</f>
        <v>88</v>
      </c>
      <c r="L33" s="30">
        <f>'12B Sem 1'!K13</f>
        <v>100</v>
      </c>
      <c r="M33" s="30">
        <f>'12B Sem 1'!L13</f>
        <v>97</v>
      </c>
      <c r="N33" s="30">
        <f>'12B Sem 1'!M13</f>
        <v>92</v>
      </c>
      <c r="O33" s="30">
        <f>'12B Sem 1'!N13</f>
        <v>95</v>
      </c>
      <c r="P33" s="30">
        <f>'12B Sem 1'!O13</f>
        <v>886</v>
      </c>
      <c r="Q33" s="30">
        <f>'12B Sem 1'!P13</f>
        <v>88.6</v>
      </c>
      <c r="R33" s="30">
        <f>'12B Sem 1'!Q13</f>
        <v>5</v>
      </c>
      <c r="S33" s="45">
        <f>'12B Sem 1'!R13</f>
        <v>0</v>
      </c>
      <c r="T33" s="45">
        <f>'12B Sem 1'!S13</f>
        <v>0</v>
      </c>
      <c r="U33"/>
    </row>
    <row r="34" spans="1:21" ht="17.25" customHeight="1" thickBot="1" x14ac:dyDescent="0.3">
      <c r="A34" s="252"/>
      <c r="B34" s="247"/>
      <c r="C34" s="247">
        <v>18</v>
      </c>
      <c r="D34" s="248" t="s">
        <v>23</v>
      </c>
      <c r="E34" s="29" t="s">
        <v>22</v>
      </c>
      <c r="F34" s="30">
        <f>'12B (NS)Sem 2'!E13</f>
        <v>91</v>
      </c>
      <c r="G34" s="30">
        <f>'12B (NS)Sem 2'!F13</f>
        <v>88</v>
      </c>
      <c r="H34" s="30">
        <f>'12B (NS)Sem 2'!G13</f>
        <v>80</v>
      </c>
      <c r="I34" s="30">
        <f>'12B (NS)Sem 2'!H13</f>
        <v>94</v>
      </c>
      <c r="J34" s="30">
        <f>'12B (NS)Sem 2'!I13</f>
        <v>94</v>
      </c>
      <c r="K34" s="30">
        <f>'12B (NS)Sem 2'!J13</f>
        <v>90</v>
      </c>
      <c r="L34" s="30">
        <f>'12B (NS)Sem 2'!K13</f>
        <v>100</v>
      </c>
      <c r="M34" s="30">
        <f>'12B (NS)Sem 2'!L13</f>
        <v>100</v>
      </c>
      <c r="N34" s="30">
        <f>'12B (NS)Sem 2'!M13</f>
        <v>97</v>
      </c>
      <c r="O34" s="30">
        <f>'12B (NS)Sem 2'!N13</f>
        <v>96</v>
      </c>
      <c r="P34" s="30">
        <f>'12B (NS)Sem 2'!O13</f>
        <v>930</v>
      </c>
      <c r="Q34" s="30">
        <f>'12B (NS)Sem 2'!P13</f>
        <v>93</v>
      </c>
      <c r="R34" s="30">
        <f>'12B (NS)Sem 2'!Q13</f>
        <v>3</v>
      </c>
      <c r="S34" s="45">
        <f>'12B (NS)Sem 2'!R13</f>
        <v>0</v>
      </c>
      <c r="T34" s="45">
        <f>'12B (NS)Sem 2'!S13</f>
        <v>0</v>
      </c>
      <c r="U34"/>
    </row>
    <row r="35" spans="1:21" ht="17.25" customHeight="1" thickBot="1" x14ac:dyDescent="0.3">
      <c r="A35" s="252"/>
      <c r="B35" s="247"/>
      <c r="C35" s="247">
        <v>18</v>
      </c>
      <c r="D35" s="248" t="s">
        <v>23</v>
      </c>
      <c r="E35" s="29" t="s">
        <v>16</v>
      </c>
      <c r="F35" s="30">
        <f>AVERAGE(F33:F34)</f>
        <v>87.5</v>
      </c>
      <c r="G35" s="30">
        <f t="shared" ref="G35:Q35" si="9">AVERAGE(G33:G34)</f>
        <v>87.5</v>
      </c>
      <c r="H35" s="30">
        <f t="shared" si="9"/>
        <v>71.5</v>
      </c>
      <c r="I35" s="30">
        <f t="shared" si="9"/>
        <v>91.5</v>
      </c>
      <c r="J35" s="30">
        <f t="shared" si="9"/>
        <v>92.5</v>
      </c>
      <c r="K35" s="30">
        <f t="shared" si="9"/>
        <v>89</v>
      </c>
      <c r="L35" s="30">
        <f t="shared" si="9"/>
        <v>100</v>
      </c>
      <c r="M35" s="30">
        <f t="shared" si="9"/>
        <v>98.5</v>
      </c>
      <c r="N35" s="30">
        <f t="shared" si="9"/>
        <v>94.5</v>
      </c>
      <c r="O35" s="30">
        <f t="shared" si="9"/>
        <v>95.5</v>
      </c>
      <c r="P35" s="30">
        <f t="shared" si="9"/>
        <v>908</v>
      </c>
      <c r="Q35" s="30">
        <f t="shared" si="9"/>
        <v>90.8</v>
      </c>
      <c r="R35" s="30">
        <f>'12B Sem avr (NS) '!$H$13</f>
        <v>3</v>
      </c>
      <c r="S35" s="45">
        <f>AVERAGE(S33:S34)</f>
        <v>0</v>
      </c>
      <c r="T35" s="45">
        <f>AVERAGE(T33:T34)</f>
        <v>0</v>
      </c>
      <c r="U35"/>
    </row>
    <row r="36" spans="1:21" ht="17.25" customHeight="1" thickBot="1" x14ac:dyDescent="0.3">
      <c r="A36" s="246">
        <v>11</v>
      </c>
      <c r="B36" s="247"/>
      <c r="C36" s="247">
        <v>18</v>
      </c>
      <c r="D36" s="248" t="s">
        <v>20</v>
      </c>
      <c r="E36" s="29" t="s">
        <v>21</v>
      </c>
      <c r="F36" s="30">
        <f>'12B Sem 1'!E14</f>
        <v>88</v>
      </c>
      <c r="G36" s="30">
        <f>'12B Sem 1'!F14</f>
        <v>90</v>
      </c>
      <c r="H36" s="30">
        <f>'12B Sem 1'!G14</f>
        <v>82</v>
      </c>
      <c r="I36" s="30">
        <f>'12B Sem 1'!H14</f>
        <v>95</v>
      </c>
      <c r="J36" s="30">
        <f>'12B Sem 1'!I14</f>
        <v>92</v>
      </c>
      <c r="K36" s="30">
        <f>'12B Sem 1'!J14</f>
        <v>93</v>
      </c>
      <c r="L36" s="30">
        <f>'12B Sem 1'!K14</f>
        <v>99</v>
      </c>
      <c r="M36" s="30">
        <f>'12B Sem 1'!L14</f>
        <v>97</v>
      </c>
      <c r="N36" s="30">
        <f>'12B Sem 1'!M14</f>
        <v>97</v>
      </c>
      <c r="O36" s="30">
        <f>'12B Sem 1'!N14</f>
        <v>96</v>
      </c>
      <c r="P36" s="30">
        <f>'12B Sem 1'!O14</f>
        <v>929</v>
      </c>
      <c r="Q36" s="30">
        <f>'12B Sem 1'!P14</f>
        <v>92.9</v>
      </c>
      <c r="R36" s="30">
        <f>'12B Sem 1'!Q14</f>
        <v>1</v>
      </c>
      <c r="S36" s="45">
        <f>'12B Sem 1'!R14</f>
        <v>0</v>
      </c>
      <c r="T36" s="45">
        <f>'12B Sem 1'!S14</f>
        <v>0</v>
      </c>
      <c r="U36"/>
    </row>
    <row r="37" spans="1:21" ht="17.25" customHeight="1" thickBot="1" x14ac:dyDescent="0.3">
      <c r="A37" s="246"/>
      <c r="B37" s="247"/>
      <c r="C37" s="247">
        <v>18</v>
      </c>
      <c r="D37" s="248" t="s">
        <v>20</v>
      </c>
      <c r="E37" s="29" t="s">
        <v>22</v>
      </c>
      <c r="F37" s="30">
        <f>'12B (NS)Sem 2'!E14</f>
        <v>96</v>
      </c>
      <c r="G37" s="30">
        <f>'12B (NS)Sem 2'!F14</f>
        <v>94</v>
      </c>
      <c r="H37" s="30">
        <f>'12B (NS)Sem 2'!G14</f>
        <v>91</v>
      </c>
      <c r="I37" s="30">
        <f>'12B (NS)Sem 2'!H14</f>
        <v>96</v>
      </c>
      <c r="J37" s="30">
        <f>'12B (NS)Sem 2'!I14</f>
        <v>97</v>
      </c>
      <c r="K37" s="30">
        <f>'12B (NS)Sem 2'!J14</f>
        <v>90</v>
      </c>
      <c r="L37" s="30">
        <f>'12B (NS)Sem 2'!K14</f>
        <v>100</v>
      </c>
      <c r="M37" s="30">
        <f>'12B (NS)Sem 2'!L14</f>
        <v>100</v>
      </c>
      <c r="N37" s="30">
        <f>'12B (NS)Sem 2'!M14</f>
        <v>99</v>
      </c>
      <c r="O37" s="30">
        <f>'12B (NS)Sem 2'!N14</f>
        <v>95</v>
      </c>
      <c r="P37" s="30">
        <f>'12B (NS)Sem 2'!O14</f>
        <v>958</v>
      </c>
      <c r="Q37" s="30">
        <f>'12B (NS)Sem 2'!P14</f>
        <v>95.8</v>
      </c>
      <c r="R37" s="30">
        <f>'12B (NS)Sem 2'!Q14</f>
        <v>2</v>
      </c>
      <c r="S37" s="45">
        <f>'12B (NS)Sem 2'!R14</f>
        <v>0</v>
      </c>
      <c r="T37" s="45">
        <f>'12B (NS)Sem 2'!S14</f>
        <v>0</v>
      </c>
      <c r="U37"/>
    </row>
    <row r="38" spans="1:21" ht="17.25" customHeight="1" thickBot="1" x14ac:dyDescent="0.3">
      <c r="A38" s="246"/>
      <c r="B38" s="247"/>
      <c r="C38" s="247">
        <v>18</v>
      </c>
      <c r="D38" s="248" t="s">
        <v>20</v>
      </c>
      <c r="E38" s="29" t="s">
        <v>16</v>
      </c>
      <c r="F38" s="30">
        <f>AVERAGE(F36:F37)</f>
        <v>92</v>
      </c>
      <c r="G38" s="30">
        <f t="shared" ref="G38:Q38" si="10">AVERAGE(G36:G37)</f>
        <v>92</v>
      </c>
      <c r="H38" s="30">
        <f t="shared" si="10"/>
        <v>86.5</v>
      </c>
      <c r="I38" s="30">
        <f t="shared" si="10"/>
        <v>95.5</v>
      </c>
      <c r="J38" s="30">
        <f t="shared" si="10"/>
        <v>94.5</v>
      </c>
      <c r="K38" s="30">
        <f t="shared" si="10"/>
        <v>91.5</v>
      </c>
      <c r="L38" s="30">
        <f t="shared" si="10"/>
        <v>99.5</v>
      </c>
      <c r="M38" s="30">
        <f t="shared" si="10"/>
        <v>98.5</v>
      </c>
      <c r="N38" s="30">
        <f t="shared" si="10"/>
        <v>98</v>
      </c>
      <c r="O38" s="30">
        <f t="shared" si="10"/>
        <v>95.5</v>
      </c>
      <c r="P38" s="30">
        <f t="shared" si="10"/>
        <v>943.5</v>
      </c>
      <c r="Q38" s="30">
        <f t="shared" si="10"/>
        <v>94.35</v>
      </c>
      <c r="R38" s="30">
        <f>'12B Sem avr (NS) '!$H$14</f>
        <v>1</v>
      </c>
      <c r="S38" s="45">
        <f>AVERAGE(S36:S37)</f>
        <v>0</v>
      </c>
      <c r="T38" s="45">
        <f>AVERAGE(T36:T37)</f>
        <v>0</v>
      </c>
      <c r="U38"/>
    </row>
    <row r="39" spans="1:21" ht="17.25" customHeight="1" thickBot="1" x14ac:dyDescent="0.3">
      <c r="A39" s="246">
        <v>12</v>
      </c>
      <c r="B39" s="247"/>
      <c r="C39" s="253">
        <v>18</v>
      </c>
      <c r="D39" s="254" t="s">
        <v>23</v>
      </c>
      <c r="E39" s="29" t="s">
        <v>21</v>
      </c>
      <c r="F39" s="30">
        <f>'12B Sem 1'!E15</f>
        <v>87</v>
      </c>
      <c r="G39" s="30">
        <f>'12B Sem 1'!F15</f>
        <v>79</v>
      </c>
      <c r="H39" s="30">
        <f>'12B Sem 1'!G15</f>
        <v>57</v>
      </c>
      <c r="I39" s="30">
        <f>'12B Sem 1'!H15</f>
        <v>81</v>
      </c>
      <c r="J39" s="30">
        <f>'12B Sem 1'!I15</f>
        <v>77</v>
      </c>
      <c r="K39" s="30">
        <f>'12B Sem 1'!J15</f>
        <v>79</v>
      </c>
      <c r="L39" s="30">
        <f>'12B Sem 1'!K15</f>
        <v>95</v>
      </c>
      <c r="M39" s="30">
        <f>'12B Sem 1'!L15</f>
        <v>92</v>
      </c>
      <c r="N39" s="30">
        <f>'12B Sem 1'!M15</f>
        <v>85</v>
      </c>
      <c r="O39" s="30">
        <f>'12B Sem 1'!N15</f>
        <v>90</v>
      </c>
      <c r="P39" s="30">
        <f>'12B Sem 1'!O15</f>
        <v>822</v>
      </c>
      <c r="Q39" s="30">
        <f>'12B Sem 1'!P15</f>
        <v>82.2</v>
      </c>
      <c r="R39" s="30">
        <f>'12B Sem 1'!Q15</f>
        <v>9</v>
      </c>
      <c r="S39" s="45">
        <f>'12B Sem 1'!R15</f>
        <v>0</v>
      </c>
      <c r="T39" s="45">
        <f>'12B Sem 1'!S15</f>
        <v>0</v>
      </c>
      <c r="U39"/>
    </row>
    <row r="40" spans="1:21" ht="17.25" customHeight="1" thickBot="1" x14ac:dyDescent="0.3">
      <c r="A40" s="246"/>
      <c r="B40" s="247"/>
      <c r="C40" s="253">
        <v>18</v>
      </c>
      <c r="D40" s="254" t="s">
        <v>23</v>
      </c>
      <c r="E40" s="29" t="s">
        <v>22</v>
      </c>
      <c r="F40" s="30">
        <f>'12B (NS)Sem 2'!E15</f>
        <v>90</v>
      </c>
      <c r="G40" s="30">
        <f>'12B (NS)Sem 2'!F15</f>
        <v>80</v>
      </c>
      <c r="H40" s="30">
        <f>'12B (NS)Sem 2'!G15</f>
        <v>75</v>
      </c>
      <c r="I40" s="30">
        <f>'12B (NS)Sem 2'!H15</f>
        <v>91</v>
      </c>
      <c r="J40" s="30">
        <f>'12B (NS)Sem 2'!I15</f>
        <v>87</v>
      </c>
      <c r="K40" s="30">
        <f>'12B (NS)Sem 2'!J15</f>
        <v>80</v>
      </c>
      <c r="L40" s="30">
        <f>'12B (NS)Sem 2'!K15</f>
        <v>96</v>
      </c>
      <c r="M40" s="30">
        <f>'12B (NS)Sem 2'!L15</f>
        <v>96</v>
      </c>
      <c r="N40" s="30">
        <f>'12B (NS)Sem 2'!M15</f>
        <v>90</v>
      </c>
      <c r="O40" s="30">
        <f>'12B (NS)Sem 2'!N15</f>
        <v>91</v>
      </c>
      <c r="P40" s="30">
        <f>'12B (NS)Sem 2'!O15</f>
        <v>876</v>
      </c>
      <c r="Q40" s="30">
        <f>'12B (NS)Sem 2'!P15</f>
        <v>87.6</v>
      </c>
      <c r="R40" s="30">
        <f>'12B (NS)Sem 2'!Q15</f>
        <v>9</v>
      </c>
      <c r="S40" s="45">
        <f>'12B (NS)Sem 2'!R15</f>
        <v>0</v>
      </c>
      <c r="T40" s="45">
        <f>'12B (NS)Sem 2'!S15</f>
        <v>0</v>
      </c>
      <c r="U40"/>
    </row>
    <row r="41" spans="1:21" ht="17.25" customHeight="1" thickBot="1" x14ac:dyDescent="0.3">
      <c r="A41" s="246"/>
      <c r="B41" s="247"/>
      <c r="C41" s="253">
        <v>18</v>
      </c>
      <c r="D41" s="254" t="s">
        <v>23</v>
      </c>
      <c r="E41" s="29" t="s">
        <v>16</v>
      </c>
      <c r="F41" s="30">
        <f>AVERAGE(F39:F40)</f>
        <v>88.5</v>
      </c>
      <c r="G41" s="30">
        <f t="shared" ref="G41:Q41" si="11">AVERAGE(G39:G40)</f>
        <v>79.5</v>
      </c>
      <c r="H41" s="30">
        <f t="shared" si="11"/>
        <v>66</v>
      </c>
      <c r="I41" s="30">
        <f t="shared" si="11"/>
        <v>86</v>
      </c>
      <c r="J41" s="30">
        <f t="shared" si="11"/>
        <v>82</v>
      </c>
      <c r="K41" s="30">
        <f t="shared" si="11"/>
        <v>79.5</v>
      </c>
      <c r="L41" s="30">
        <f t="shared" si="11"/>
        <v>95.5</v>
      </c>
      <c r="M41" s="30">
        <f t="shared" si="11"/>
        <v>94</v>
      </c>
      <c r="N41" s="30">
        <f t="shared" si="11"/>
        <v>87.5</v>
      </c>
      <c r="O41" s="30">
        <f t="shared" si="11"/>
        <v>90.5</v>
      </c>
      <c r="P41" s="30">
        <f t="shared" si="11"/>
        <v>849</v>
      </c>
      <c r="Q41" s="30">
        <f t="shared" si="11"/>
        <v>84.9</v>
      </c>
      <c r="R41" s="30">
        <f>'12B Sem avr (NS) '!$H$15</f>
        <v>9</v>
      </c>
      <c r="S41" s="45">
        <f>AVERAGE(S39:S40)</f>
        <v>0</v>
      </c>
      <c r="T41" s="45">
        <f>AVERAGE(T39:T40)</f>
        <v>0</v>
      </c>
      <c r="U41"/>
    </row>
    <row r="42" spans="1:21" ht="17.25" customHeight="1" thickBot="1" x14ac:dyDescent="0.3">
      <c r="A42" s="246">
        <v>13</v>
      </c>
      <c r="B42" s="247"/>
      <c r="C42" s="247">
        <v>18</v>
      </c>
      <c r="D42" s="248" t="s">
        <v>23</v>
      </c>
      <c r="E42" s="29" t="s">
        <v>21</v>
      </c>
      <c r="F42" s="30">
        <f>'12B Sem 1'!E16</f>
        <v>66</v>
      </c>
      <c r="G42" s="30">
        <f>'12B Sem 1'!F16</f>
        <v>75</v>
      </c>
      <c r="H42" s="30">
        <f>'12B Sem 1'!G16</f>
        <v>48</v>
      </c>
      <c r="I42" s="30">
        <f>'12B Sem 1'!H16</f>
        <v>58</v>
      </c>
      <c r="J42" s="30">
        <f>'12B Sem 1'!I16</f>
        <v>51</v>
      </c>
      <c r="K42" s="30">
        <f>'12B Sem 1'!J16</f>
        <v>57</v>
      </c>
      <c r="L42" s="30">
        <f>'12B Sem 1'!K16</f>
        <v>79</v>
      </c>
      <c r="M42" s="30">
        <f>'12B Sem 1'!L16</f>
        <v>84</v>
      </c>
      <c r="N42" s="30">
        <f>'12B Sem 1'!M16</f>
        <v>56</v>
      </c>
      <c r="O42" s="30">
        <f>'12B Sem 1'!N16</f>
        <v>70</v>
      </c>
      <c r="P42" s="30">
        <f>'12B Sem 1'!O16</f>
        <v>644</v>
      </c>
      <c r="Q42" s="30">
        <f>'12B Sem 1'!P16</f>
        <v>64.400000000000006</v>
      </c>
      <c r="R42" s="30">
        <f>'12B Sem 1'!Q16</f>
        <v>30</v>
      </c>
      <c r="S42" s="45">
        <f>'12B Sem 1'!R16</f>
        <v>0</v>
      </c>
      <c r="T42" s="45">
        <f>'12B Sem 1'!S16</f>
        <v>0</v>
      </c>
      <c r="U42"/>
    </row>
    <row r="43" spans="1:21" ht="17.25" customHeight="1" thickBot="1" x14ac:dyDescent="0.3">
      <c r="A43" s="246"/>
      <c r="B43" s="247"/>
      <c r="C43" s="247">
        <v>18</v>
      </c>
      <c r="D43" s="248" t="s">
        <v>23</v>
      </c>
      <c r="E43" s="29" t="s">
        <v>22</v>
      </c>
      <c r="F43" s="30">
        <f>'12B (NS)Sem 2'!E16</f>
        <v>78</v>
      </c>
      <c r="G43" s="30">
        <f>'12B (NS)Sem 2'!F16</f>
        <v>77</v>
      </c>
      <c r="H43" s="30">
        <f>'12B (NS)Sem 2'!G16</f>
        <v>58</v>
      </c>
      <c r="I43" s="30">
        <f>'12B (NS)Sem 2'!H16</f>
        <v>68</v>
      </c>
      <c r="J43" s="30">
        <f>'12B (NS)Sem 2'!I16</f>
        <v>69</v>
      </c>
      <c r="K43" s="30">
        <f>'12B (NS)Sem 2'!J16</f>
        <v>65</v>
      </c>
      <c r="L43" s="30">
        <f>'12B (NS)Sem 2'!K16</f>
        <v>95</v>
      </c>
      <c r="M43" s="30">
        <f>'12B (NS)Sem 2'!L16</f>
        <v>90</v>
      </c>
      <c r="N43" s="30">
        <f>'12B (NS)Sem 2'!M16</f>
        <v>61</v>
      </c>
      <c r="O43" s="30">
        <f>'12B (NS)Sem 2'!N16</f>
        <v>73</v>
      </c>
      <c r="P43" s="30">
        <f>'12B (NS)Sem 2'!O16</f>
        <v>734</v>
      </c>
      <c r="Q43" s="30">
        <f>'12B (NS)Sem 2'!P16</f>
        <v>73.400000000000006</v>
      </c>
      <c r="R43" s="30">
        <f>'12B (NS)Sem 2'!Q16</f>
        <v>31</v>
      </c>
      <c r="S43" s="45">
        <f>'12B (NS)Sem 2'!R16</f>
        <v>0</v>
      </c>
      <c r="T43" s="45">
        <f>'12B (NS)Sem 2'!S16</f>
        <v>0</v>
      </c>
      <c r="U43"/>
    </row>
    <row r="44" spans="1:21" ht="17.25" customHeight="1" thickBot="1" x14ac:dyDescent="0.3">
      <c r="A44" s="246"/>
      <c r="B44" s="247"/>
      <c r="C44" s="247">
        <v>18</v>
      </c>
      <c r="D44" s="248" t="s">
        <v>23</v>
      </c>
      <c r="E44" s="29" t="s">
        <v>16</v>
      </c>
      <c r="F44" s="30">
        <f>AVERAGE(F42:F43)</f>
        <v>72</v>
      </c>
      <c r="G44" s="30">
        <f t="shared" ref="G44:Q44" si="12">AVERAGE(G42:G43)</f>
        <v>76</v>
      </c>
      <c r="H44" s="30">
        <f t="shared" si="12"/>
        <v>53</v>
      </c>
      <c r="I44" s="30">
        <f t="shared" si="12"/>
        <v>63</v>
      </c>
      <c r="J44" s="30">
        <f t="shared" si="12"/>
        <v>60</v>
      </c>
      <c r="K44" s="30">
        <f t="shared" si="12"/>
        <v>61</v>
      </c>
      <c r="L44" s="30">
        <f t="shared" si="12"/>
        <v>87</v>
      </c>
      <c r="M44" s="30">
        <f t="shared" si="12"/>
        <v>87</v>
      </c>
      <c r="N44" s="30">
        <f t="shared" si="12"/>
        <v>58.5</v>
      </c>
      <c r="O44" s="30">
        <f t="shared" si="12"/>
        <v>71.5</v>
      </c>
      <c r="P44" s="30">
        <f t="shared" si="12"/>
        <v>689</v>
      </c>
      <c r="Q44" s="30">
        <f t="shared" si="12"/>
        <v>68.900000000000006</v>
      </c>
      <c r="R44" s="30">
        <f>'12B Sem avr (NS) '!$H$16</f>
        <v>30</v>
      </c>
      <c r="S44" s="45">
        <f>AVERAGE(S42:S43)</f>
        <v>0</v>
      </c>
      <c r="T44" s="45">
        <f>AVERAGE(T42:T43)</f>
        <v>0</v>
      </c>
      <c r="U44"/>
    </row>
    <row r="45" spans="1:21" ht="17.25" customHeight="1" thickBot="1" x14ac:dyDescent="0.3">
      <c r="A45" s="252">
        <v>14</v>
      </c>
      <c r="B45" s="247"/>
      <c r="C45" s="253">
        <v>17</v>
      </c>
      <c r="D45" s="254" t="s">
        <v>23</v>
      </c>
      <c r="E45" s="29" t="s">
        <v>21</v>
      </c>
      <c r="F45" s="30">
        <f>'12B Sem 1'!E17</f>
        <v>81</v>
      </c>
      <c r="G45" s="30">
        <f>'12B Sem 1'!F17</f>
        <v>75</v>
      </c>
      <c r="H45" s="30">
        <f>'12B Sem 1'!G17</f>
        <v>52</v>
      </c>
      <c r="I45" s="30">
        <f>'12B Sem 1'!H17</f>
        <v>65</v>
      </c>
      <c r="J45" s="30">
        <f>'12B Sem 1'!I17</f>
        <v>59</v>
      </c>
      <c r="K45" s="30">
        <f>'12B Sem 1'!J17</f>
        <v>63</v>
      </c>
      <c r="L45" s="30">
        <f>'12B Sem 1'!K17</f>
        <v>89</v>
      </c>
      <c r="M45" s="30">
        <f>'12B Sem 1'!L17</f>
        <v>86</v>
      </c>
      <c r="N45" s="30">
        <f>'12B Sem 1'!M17</f>
        <v>68</v>
      </c>
      <c r="O45" s="30">
        <f>'12B Sem 1'!N17</f>
        <v>65</v>
      </c>
      <c r="P45" s="30">
        <f>'12B Sem 1'!O17</f>
        <v>703</v>
      </c>
      <c r="Q45" s="30">
        <f>'12B Sem 1'!P17</f>
        <v>70.3</v>
      </c>
      <c r="R45" s="30">
        <f>'12B Sem 1'!Q17</f>
        <v>22</v>
      </c>
      <c r="S45" s="45">
        <f>'12B Sem 1'!R17</f>
        <v>0</v>
      </c>
      <c r="T45" s="45">
        <f>'12B Sem 1'!S17</f>
        <v>0</v>
      </c>
      <c r="U45"/>
    </row>
    <row r="46" spans="1:21" ht="17.25" customHeight="1" thickBot="1" x14ac:dyDescent="0.3">
      <c r="A46" s="252"/>
      <c r="B46" s="247"/>
      <c r="C46" s="253">
        <v>17</v>
      </c>
      <c r="D46" s="254" t="s">
        <v>23</v>
      </c>
      <c r="E46" s="29" t="s">
        <v>22</v>
      </c>
      <c r="F46" s="30">
        <f>'12B (NS)Sem 2'!E17</f>
        <v>83</v>
      </c>
      <c r="G46" s="30">
        <f>'12B (NS)Sem 2'!F17</f>
        <v>73</v>
      </c>
      <c r="H46" s="30">
        <f>'12B (NS)Sem 2'!G17</f>
        <v>65</v>
      </c>
      <c r="I46" s="30">
        <f>'12B (NS)Sem 2'!H17</f>
        <v>74</v>
      </c>
      <c r="J46" s="30">
        <f>'12B (NS)Sem 2'!I17</f>
        <v>70</v>
      </c>
      <c r="K46" s="30">
        <f>'12B (NS)Sem 2'!J17</f>
        <v>67</v>
      </c>
      <c r="L46" s="30">
        <f>'12B (NS)Sem 2'!K17</f>
        <v>95</v>
      </c>
      <c r="M46" s="30">
        <f>'12B (NS)Sem 2'!L17</f>
        <v>90</v>
      </c>
      <c r="N46" s="30">
        <f>'12B (NS)Sem 2'!M17</f>
        <v>73</v>
      </c>
      <c r="O46" s="30">
        <f>'12B (NS)Sem 2'!N17</f>
        <v>71</v>
      </c>
      <c r="P46" s="30">
        <f>'12B (NS)Sem 2'!O17</f>
        <v>761</v>
      </c>
      <c r="Q46" s="30">
        <f>'12B (NS)Sem 2'!P17</f>
        <v>76.099999999999994</v>
      </c>
      <c r="R46" s="30">
        <f>'12B (NS)Sem 2'!Q17</f>
        <v>26</v>
      </c>
      <c r="S46" s="45">
        <f>'12B (NS)Sem 2'!R17</f>
        <v>0</v>
      </c>
      <c r="T46" s="45">
        <f>'12B (NS)Sem 2'!S17</f>
        <v>0</v>
      </c>
      <c r="U46"/>
    </row>
    <row r="47" spans="1:21" ht="17.25" customHeight="1" thickBot="1" x14ac:dyDescent="0.3">
      <c r="A47" s="252"/>
      <c r="B47" s="247"/>
      <c r="C47" s="253">
        <v>17</v>
      </c>
      <c r="D47" s="254" t="s">
        <v>23</v>
      </c>
      <c r="E47" s="29" t="s">
        <v>16</v>
      </c>
      <c r="F47" s="30">
        <f>AVERAGE(F45:F46)</f>
        <v>82</v>
      </c>
      <c r="G47" s="30">
        <f t="shared" ref="G47:Q47" si="13">AVERAGE(G45:G46)</f>
        <v>74</v>
      </c>
      <c r="H47" s="30">
        <f t="shared" si="13"/>
        <v>58.5</v>
      </c>
      <c r="I47" s="30">
        <f t="shared" si="13"/>
        <v>69.5</v>
      </c>
      <c r="J47" s="30">
        <f t="shared" si="13"/>
        <v>64.5</v>
      </c>
      <c r="K47" s="30">
        <f t="shared" si="13"/>
        <v>65</v>
      </c>
      <c r="L47" s="30">
        <f t="shared" si="13"/>
        <v>92</v>
      </c>
      <c r="M47" s="30">
        <f t="shared" si="13"/>
        <v>88</v>
      </c>
      <c r="N47" s="30">
        <f t="shared" si="13"/>
        <v>70.5</v>
      </c>
      <c r="O47" s="30">
        <f t="shared" si="13"/>
        <v>68</v>
      </c>
      <c r="P47" s="30">
        <f t="shared" si="13"/>
        <v>732</v>
      </c>
      <c r="Q47" s="30">
        <f t="shared" si="13"/>
        <v>73.199999999999989</v>
      </c>
      <c r="R47" s="30">
        <f>'12B Sem avr (NS) '!$H$17</f>
        <v>23</v>
      </c>
      <c r="S47" s="45">
        <f>AVERAGE(S45:S46)</f>
        <v>0</v>
      </c>
      <c r="T47" s="45">
        <f>AVERAGE(T45:T46)</f>
        <v>0</v>
      </c>
      <c r="U47"/>
    </row>
    <row r="48" spans="1:21" ht="17.25" customHeight="1" thickBot="1" x14ac:dyDescent="0.3">
      <c r="A48" s="246">
        <v>15</v>
      </c>
      <c r="B48" s="247"/>
      <c r="C48" s="253">
        <v>17</v>
      </c>
      <c r="D48" s="254" t="s">
        <v>23</v>
      </c>
      <c r="E48" s="29" t="s">
        <v>21</v>
      </c>
      <c r="F48" s="30">
        <f>'12B Sem 1'!E18</f>
        <v>74</v>
      </c>
      <c r="G48" s="30">
        <f>'12B Sem 1'!F18</f>
        <v>75</v>
      </c>
      <c r="H48" s="31">
        <f>'12B Sem 1'!G18</f>
        <v>50</v>
      </c>
      <c r="I48" s="30">
        <f>'12B Sem 1'!H18</f>
        <v>67</v>
      </c>
      <c r="J48" s="30">
        <f>'12B Sem 1'!I18</f>
        <v>60</v>
      </c>
      <c r="K48" s="30">
        <f>'12B Sem 1'!J18</f>
        <v>63</v>
      </c>
      <c r="L48" s="30">
        <f>'12B Sem 1'!K18</f>
        <v>84</v>
      </c>
      <c r="M48" s="30">
        <f>'12B Sem 1'!L18</f>
        <v>84</v>
      </c>
      <c r="N48" s="30">
        <f>'12B Sem 1'!M18</f>
        <v>67</v>
      </c>
      <c r="O48" s="30">
        <f>'12B Sem 1'!N18</f>
        <v>67</v>
      </c>
      <c r="P48" s="30">
        <f>'12B Sem 1'!O18</f>
        <v>691</v>
      </c>
      <c r="Q48" s="30">
        <f>'12B Sem 1'!P18</f>
        <v>69.099999999999994</v>
      </c>
      <c r="R48" s="30">
        <f>'12B Sem 1'!Q18</f>
        <v>24</v>
      </c>
      <c r="S48" s="45">
        <f>'12B Sem 1'!R18</f>
        <v>0</v>
      </c>
      <c r="T48" s="45">
        <f>'12B Sem 1'!S18</f>
        <v>0</v>
      </c>
      <c r="U48"/>
    </row>
    <row r="49" spans="1:25" ht="17.25" customHeight="1" thickBot="1" x14ac:dyDescent="0.3">
      <c r="A49" s="246"/>
      <c r="B49" s="247"/>
      <c r="C49" s="253">
        <v>17</v>
      </c>
      <c r="D49" s="254" t="s">
        <v>23</v>
      </c>
      <c r="E49" s="29" t="s">
        <v>22</v>
      </c>
      <c r="F49" s="30">
        <f>'12B (NS)Sem 2'!E18</f>
        <v>78</v>
      </c>
      <c r="G49" s="30">
        <f>'12B (NS)Sem 2'!F18</f>
        <v>79</v>
      </c>
      <c r="H49" s="31">
        <f>'12B (NS)Sem 2'!G18</f>
        <v>65</v>
      </c>
      <c r="I49" s="30">
        <f>'12B (NS)Sem 2'!H18</f>
        <v>75</v>
      </c>
      <c r="J49" s="30">
        <f>'12B (NS)Sem 2'!I18</f>
        <v>70</v>
      </c>
      <c r="K49" s="30">
        <f>'12B (NS)Sem 2'!J18</f>
        <v>63</v>
      </c>
      <c r="L49" s="30">
        <f>'12B (NS)Sem 2'!K18</f>
        <v>96</v>
      </c>
      <c r="M49" s="30">
        <f>'12B (NS)Sem 2'!L18</f>
        <v>90</v>
      </c>
      <c r="N49" s="30">
        <f>'12B (NS)Sem 2'!M18</f>
        <v>72</v>
      </c>
      <c r="O49" s="30">
        <f>'12B (NS)Sem 2'!N18</f>
        <v>70</v>
      </c>
      <c r="P49" s="30">
        <f>'12B (NS)Sem 2'!O18</f>
        <v>758</v>
      </c>
      <c r="Q49" s="30">
        <f>'12B (NS)Sem 2'!P18</f>
        <v>75.8</v>
      </c>
      <c r="R49" s="30">
        <f>'12B (NS)Sem 2'!Q18</f>
        <v>27</v>
      </c>
      <c r="S49" s="45">
        <f>'12B (NS)Sem 2'!R18</f>
        <v>0</v>
      </c>
      <c r="T49" s="45">
        <f>'12B (NS)Sem 2'!S18</f>
        <v>0</v>
      </c>
      <c r="U49" s="6"/>
      <c r="V49" s="6"/>
      <c r="W49" s="6"/>
      <c r="X49" s="6"/>
      <c r="Y49" s="6"/>
    </row>
    <row r="50" spans="1:25" ht="17.25" customHeight="1" thickBot="1" x14ac:dyDescent="0.3">
      <c r="A50" s="246"/>
      <c r="B50" s="247"/>
      <c r="C50" s="253">
        <v>17</v>
      </c>
      <c r="D50" s="254" t="s">
        <v>23</v>
      </c>
      <c r="E50" s="29" t="s">
        <v>16</v>
      </c>
      <c r="F50" s="30">
        <f>AVERAGE(F48:F49)</f>
        <v>76</v>
      </c>
      <c r="G50" s="30">
        <f t="shared" ref="G50:Q50" si="14">AVERAGE(G48:G49)</f>
        <v>77</v>
      </c>
      <c r="H50" s="30">
        <f t="shared" si="14"/>
        <v>57.5</v>
      </c>
      <c r="I50" s="30">
        <f t="shared" si="14"/>
        <v>71</v>
      </c>
      <c r="J50" s="30">
        <f t="shared" si="14"/>
        <v>65</v>
      </c>
      <c r="K50" s="30">
        <f t="shared" si="14"/>
        <v>63</v>
      </c>
      <c r="L50" s="30">
        <f t="shared" si="14"/>
        <v>90</v>
      </c>
      <c r="M50" s="30">
        <f t="shared" si="14"/>
        <v>87</v>
      </c>
      <c r="N50" s="30">
        <f t="shared" si="14"/>
        <v>69.5</v>
      </c>
      <c r="O50" s="30">
        <f t="shared" si="14"/>
        <v>68.5</v>
      </c>
      <c r="P50" s="30">
        <f t="shared" si="14"/>
        <v>724.5</v>
      </c>
      <c r="Q50" s="30">
        <f t="shared" si="14"/>
        <v>72.449999999999989</v>
      </c>
      <c r="R50" s="30">
        <f>'12B Sem avr (NS) '!$H$18</f>
        <v>24</v>
      </c>
      <c r="S50" s="45">
        <f>AVERAGE(S48:S49)</f>
        <v>0</v>
      </c>
      <c r="T50" s="45">
        <f>AVERAGE(T48:T49)</f>
        <v>0</v>
      </c>
      <c r="U50" s="6"/>
      <c r="V50" s="6"/>
      <c r="W50" s="6"/>
      <c r="X50" s="6"/>
      <c r="Y50" s="6"/>
    </row>
    <row r="51" spans="1:25" ht="17.25" customHeight="1" thickBot="1" x14ac:dyDescent="0.3">
      <c r="A51" s="252">
        <v>16</v>
      </c>
      <c r="B51" s="247"/>
      <c r="C51" s="247">
        <v>17</v>
      </c>
      <c r="D51" s="248" t="s">
        <v>23</v>
      </c>
      <c r="E51" s="29" t="s">
        <v>21</v>
      </c>
      <c r="F51" s="30">
        <f>'12B Sem 1'!E19</f>
        <v>76</v>
      </c>
      <c r="G51" s="30">
        <f>'12B Sem 1'!F19</f>
        <v>87</v>
      </c>
      <c r="H51" s="30">
        <f>'12B Sem 1'!G19</f>
        <v>62</v>
      </c>
      <c r="I51" s="30">
        <f>'12B Sem 1'!H19</f>
        <v>77</v>
      </c>
      <c r="J51" s="30">
        <f>'12B Sem 1'!I19</f>
        <v>76</v>
      </c>
      <c r="K51" s="30">
        <f>'12B Sem 1'!J19</f>
        <v>72</v>
      </c>
      <c r="L51" s="30">
        <f>'12B Sem 1'!K19</f>
        <v>90</v>
      </c>
      <c r="M51" s="30">
        <f>'12B Sem 1'!L19</f>
        <v>90</v>
      </c>
      <c r="N51" s="30">
        <f>'12B Sem 1'!M19</f>
        <v>81</v>
      </c>
      <c r="O51" s="30">
        <f>'12B Sem 1'!N19</f>
        <v>78</v>
      </c>
      <c r="P51" s="30">
        <f>'12B Sem 1'!O19</f>
        <v>789</v>
      </c>
      <c r="Q51" s="30">
        <f>'12B Sem 1'!P19</f>
        <v>78.900000000000006</v>
      </c>
      <c r="R51" s="30">
        <f>'12B Sem 1'!Q19</f>
        <v>11</v>
      </c>
      <c r="S51" s="45">
        <f>'12B Sem 1'!R19</f>
        <v>0</v>
      </c>
      <c r="T51" s="45">
        <f>'12B Sem 1'!S19</f>
        <v>0</v>
      </c>
      <c r="U51" s="6"/>
      <c r="V51" s="6"/>
      <c r="W51" s="6"/>
      <c r="X51" s="6"/>
      <c r="Y51" s="6"/>
    </row>
    <row r="52" spans="1:25" ht="17.25" customHeight="1" thickBot="1" x14ac:dyDescent="0.3">
      <c r="A52" s="252"/>
      <c r="B52" s="247"/>
      <c r="C52" s="247">
        <v>17</v>
      </c>
      <c r="D52" s="248" t="s">
        <v>23</v>
      </c>
      <c r="E52" s="29" t="s">
        <v>22</v>
      </c>
      <c r="F52" s="30">
        <f>'12B (NS)Sem 2'!E19</f>
        <v>84</v>
      </c>
      <c r="G52" s="30">
        <f>'12B (NS)Sem 2'!F19</f>
        <v>86</v>
      </c>
      <c r="H52" s="30">
        <f>'12B (NS)Sem 2'!G19</f>
        <v>60</v>
      </c>
      <c r="I52" s="30">
        <f>'12B (NS)Sem 2'!H19</f>
        <v>80</v>
      </c>
      <c r="J52" s="30">
        <f>'12B (NS)Sem 2'!I19</f>
        <v>87</v>
      </c>
      <c r="K52" s="30">
        <f>'12B (NS)Sem 2'!J19</f>
        <v>80</v>
      </c>
      <c r="L52" s="30">
        <f>'12B (NS)Sem 2'!K19</f>
        <v>95</v>
      </c>
      <c r="M52" s="30">
        <f>'12B (NS)Sem 2'!L19</f>
        <v>95</v>
      </c>
      <c r="N52" s="30">
        <f>'12B (NS)Sem 2'!M19</f>
        <v>86</v>
      </c>
      <c r="O52" s="30">
        <f>'12B (NS)Sem 2'!N19</f>
        <v>87</v>
      </c>
      <c r="P52" s="30">
        <f>'12B (NS)Sem 2'!O19</f>
        <v>840</v>
      </c>
      <c r="Q52" s="30">
        <f>'12B (NS)Sem 2'!P19</f>
        <v>84</v>
      </c>
      <c r="R52" s="30">
        <f>'12B (NS)Sem 2'!Q19</f>
        <v>12</v>
      </c>
      <c r="S52" s="45">
        <f>'12B (NS)Sem 2'!R19</f>
        <v>0</v>
      </c>
      <c r="T52" s="45">
        <f>'12B (NS)Sem 2'!S19</f>
        <v>0</v>
      </c>
      <c r="U52" s="6"/>
      <c r="V52" s="6"/>
      <c r="W52" s="6"/>
      <c r="X52" s="6"/>
      <c r="Y52" s="6"/>
    </row>
    <row r="53" spans="1:25" ht="17.25" customHeight="1" thickBot="1" x14ac:dyDescent="0.3">
      <c r="A53" s="252"/>
      <c r="B53" s="247"/>
      <c r="C53" s="247">
        <v>17</v>
      </c>
      <c r="D53" s="248" t="s">
        <v>23</v>
      </c>
      <c r="E53" s="29" t="s">
        <v>16</v>
      </c>
      <c r="F53" s="30">
        <f>AVERAGE(F51:F52)</f>
        <v>80</v>
      </c>
      <c r="G53" s="30">
        <f t="shared" ref="G53:Q53" si="15">AVERAGE(G51:G52)</f>
        <v>86.5</v>
      </c>
      <c r="H53" s="30">
        <f t="shared" si="15"/>
        <v>61</v>
      </c>
      <c r="I53" s="30">
        <f t="shared" si="15"/>
        <v>78.5</v>
      </c>
      <c r="J53" s="30">
        <f t="shared" si="15"/>
        <v>81.5</v>
      </c>
      <c r="K53" s="30">
        <f t="shared" si="15"/>
        <v>76</v>
      </c>
      <c r="L53" s="30">
        <f t="shared" si="15"/>
        <v>92.5</v>
      </c>
      <c r="M53" s="30">
        <f t="shared" si="15"/>
        <v>92.5</v>
      </c>
      <c r="N53" s="30">
        <f t="shared" si="15"/>
        <v>83.5</v>
      </c>
      <c r="O53" s="30">
        <f t="shared" si="15"/>
        <v>82.5</v>
      </c>
      <c r="P53" s="30">
        <f t="shared" si="15"/>
        <v>814.5</v>
      </c>
      <c r="Q53" s="30">
        <f t="shared" si="15"/>
        <v>81.45</v>
      </c>
      <c r="R53" s="30">
        <f>'12B Sem avr (NS) '!$H$19</f>
        <v>11</v>
      </c>
      <c r="S53" s="45">
        <f>AVERAGE(S51:S52)</f>
        <v>0</v>
      </c>
      <c r="T53" s="45">
        <f>AVERAGE(T51:T52)</f>
        <v>0</v>
      </c>
      <c r="U53" s="6"/>
      <c r="V53" s="6"/>
      <c r="W53" s="6"/>
      <c r="X53" s="6"/>
      <c r="Y53" s="6"/>
    </row>
    <row r="54" spans="1:25" ht="17.25" customHeight="1" thickBot="1" x14ac:dyDescent="0.3">
      <c r="A54" s="252">
        <v>17</v>
      </c>
      <c r="B54" s="247"/>
      <c r="C54" s="253">
        <v>17</v>
      </c>
      <c r="D54" s="254" t="s">
        <v>23</v>
      </c>
      <c r="E54" s="29" t="s">
        <v>21</v>
      </c>
      <c r="F54" s="30">
        <f>'12B Sem 1'!E20</f>
        <v>64</v>
      </c>
      <c r="G54" s="30">
        <f>'12B Sem 1'!F20</f>
        <v>64</v>
      </c>
      <c r="H54" s="30">
        <f>'12B Sem 1'!G20</f>
        <v>48</v>
      </c>
      <c r="I54" s="30">
        <f>'12B Sem 1'!H20</f>
        <v>54</v>
      </c>
      <c r="J54" s="30">
        <f>'12B Sem 1'!I20</f>
        <v>53</v>
      </c>
      <c r="K54" s="30">
        <f>'12B Sem 1'!J20</f>
        <v>54</v>
      </c>
      <c r="L54" s="30">
        <f>'12B Sem 1'!K20</f>
        <v>76</v>
      </c>
      <c r="M54" s="30">
        <f>'12B Sem 1'!L20</f>
        <v>85</v>
      </c>
      <c r="N54" s="30">
        <f>'12B Sem 1'!M20</f>
        <v>52</v>
      </c>
      <c r="O54" s="30">
        <f>'12B Sem 1'!N20</f>
        <v>53</v>
      </c>
      <c r="P54" s="30">
        <f>'12B Sem 1'!O20</f>
        <v>603</v>
      </c>
      <c r="Q54" s="30">
        <f>'12B Sem 1'!P20</f>
        <v>60.3</v>
      </c>
      <c r="R54" s="30">
        <f>'12B Sem 1'!Q20</f>
        <v>33</v>
      </c>
      <c r="S54" s="45">
        <f>'12B Sem 1'!R20</f>
        <v>0</v>
      </c>
      <c r="T54" s="45">
        <f>'12B Sem 1'!S20</f>
        <v>0</v>
      </c>
      <c r="U54" s="6"/>
      <c r="V54" s="6"/>
      <c r="W54" s="6"/>
      <c r="X54" s="6"/>
      <c r="Y54" s="6"/>
    </row>
    <row r="55" spans="1:25" ht="17.25" customHeight="1" thickBot="1" x14ac:dyDescent="0.3">
      <c r="A55" s="252"/>
      <c r="B55" s="247"/>
      <c r="C55" s="253">
        <v>17</v>
      </c>
      <c r="D55" s="254" t="s">
        <v>23</v>
      </c>
      <c r="E55" s="29" t="s">
        <v>22</v>
      </c>
      <c r="F55" s="30">
        <f>'12B (NS)Sem 2'!E20</f>
        <v>81</v>
      </c>
      <c r="G55" s="30">
        <f>'12B (NS)Sem 2'!F20</f>
        <v>77</v>
      </c>
      <c r="H55" s="30">
        <f>'12B (NS)Sem 2'!G20</f>
        <v>60</v>
      </c>
      <c r="I55" s="30">
        <f>'12B (NS)Sem 2'!H20</f>
        <v>70</v>
      </c>
      <c r="J55" s="30">
        <f>'12B (NS)Sem 2'!I20</f>
        <v>69</v>
      </c>
      <c r="K55" s="30">
        <f>'12B (NS)Sem 2'!J20</f>
        <v>73</v>
      </c>
      <c r="L55" s="30">
        <f>'12B (NS)Sem 2'!K20</f>
        <v>95</v>
      </c>
      <c r="M55" s="30">
        <f>'12B (NS)Sem 2'!L20</f>
        <v>90</v>
      </c>
      <c r="N55" s="30">
        <f>'12B (NS)Sem 2'!M20</f>
        <v>59</v>
      </c>
      <c r="O55" s="30">
        <f>'12B (NS)Sem 2'!N20</f>
        <v>69</v>
      </c>
      <c r="P55" s="30">
        <f>'12B (NS)Sem 2'!O20</f>
        <v>743</v>
      </c>
      <c r="Q55" s="30">
        <f>'12B (NS)Sem 2'!P20</f>
        <v>74.3</v>
      </c>
      <c r="R55" s="30">
        <f>'12B (NS)Sem 2'!Q20</f>
        <v>30</v>
      </c>
      <c r="S55" s="45">
        <f>'12B (NS)Sem 2'!R20</f>
        <v>0</v>
      </c>
      <c r="T55" s="45">
        <f>'12B (NS)Sem 2'!S20</f>
        <v>0</v>
      </c>
      <c r="U55" s="6"/>
      <c r="V55" s="6"/>
      <c r="W55" s="6"/>
      <c r="X55" s="6"/>
      <c r="Y55" s="6"/>
    </row>
    <row r="56" spans="1:25" ht="17.25" customHeight="1" thickBot="1" x14ac:dyDescent="0.3">
      <c r="A56" s="252"/>
      <c r="B56" s="247"/>
      <c r="C56" s="253">
        <v>17</v>
      </c>
      <c r="D56" s="254" t="s">
        <v>23</v>
      </c>
      <c r="E56" s="29" t="s">
        <v>16</v>
      </c>
      <c r="F56" s="30">
        <f>AVERAGE(F54:F55)</f>
        <v>72.5</v>
      </c>
      <c r="G56" s="30">
        <f t="shared" ref="G56:Q56" si="16">AVERAGE(G54:G55)</f>
        <v>70.5</v>
      </c>
      <c r="H56" s="30">
        <f t="shared" si="16"/>
        <v>54</v>
      </c>
      <c r="I56" s="30">
        <f t="shared" si="16"/>
        <v>62</v>
      </c>
      <c r="J56" s="30">
        <f t="shared" si="16"/>
        <v>61</v>
      </c>
      <c r="K56" s="30">
        <f t="shared" si="16"/>
        <v>63.5</v>
      </c>
      <c r="L56" s="30">
        <f t="shared" si="16"/>
        <v>85.5</v>
      </c>
      <c r="M56" s="30">
        <f t="shared" si="16"/>
        <v>87.5</v>
      </c>
      <c r="N56" s="30">
        <f t="shared" si="16"/>
        <v>55.5</v>
      </c>
      <c r="O56" s="30">
        <f t="shared" si="16"/>
        <v>61</v>
      </c>
      <c r="P56" s="30">
        <f t="shared" si="16"/>
        <v>673</v>
      </c>
      <c r="Q56" s="30">
        <f t="shared" si="16"/>
        <v>67.3</v>
      </c>
      <c r="R56" s="30">
        <f>'12B Sem avr (NS) '!$H$20</f>
        <v>31</v>
      </c>
      <c r="S56" s="45">
        <f>AVERAGE(S54:S55)</f>
        <v>0</v>
      </c>
      <c r="T56" s="45">
        <f>AVERAGE(T54:T55)</f>
        <v>0</v>
      </c>
      <c r="U56" s="6"/>
      <c r="V56" s="6"/>
      <c r="W56" s="6"/>
      <c r="X56" s="6"/>
      <c r="Y56" s="6"/>
    </row>
    <row r="57" spans="1:25" ht="17.25" customHeight="1" thickBot="1" x14ac:dyDescent="0.3">
      <c r="A57" s="252">
        <v>18</v>
      </c>
      <c r="B57" s="247"/>
      <c r="C57" s="247">
        <v>17</v>
      </c>
      <c r="D57" s="255" t="s">
        <v>23</v>
      </c>
      <c r="E57" s="29" t="s">
        <v>21</v>
      </c>
      <c r="F57" s="30">
        <f>'12B Sem 1'!E21</f>
        <v>71</v>
      </c>
      <c r="G57" s="30">
        <f>'12B Sem 1'!F21</f>
        <v>71</v>
      </c>
      <c r="H57" s="31">
        <f>'12B Sem 1'!G21</f>
        <v>53</v>
      </c>
      <c r="I57" s="30">
        <f>'12B Sem 1'!H21</f>
        <v>66</v>
      </c>
      <c r="J57" s="30">
        <f>'12B Sem 1'!I21</f>
        <v>55</v>
      </c>
      <c r="K57" s="30">
        <f>'12B Sem 1'!J21</f>
        <v>62</v>
      </c>
      <c r="L57" s="30">
        <f>'12B Sem 1'!K21</f>
        <v>86</v>
      </c>
      <c r="M57" s="30">
        <f>'12B Sem 1'!L21</f>
        <v>89</v>
      </c>
      <c r="N57" s="30">
        <f>'12B Sem 1'!M21</f>
        <v>67</v>
      </c>
      <c r="O57" s="30">
        <f>'12B Sem 1'!N21</f>
        <v>58</v>
      </c>
      <c r="P57" s="30">
        <f>'12B Sem 1'!O21</f>
        <v>678</v>
      </c>
      <c r="Q57" s="30">
        <f>'12B Sem 1'!P21</f>
        <v>67.8</v>
      </c>
      <c r="R57" s="30">
        <f>'12B Sem 1'!Q21</f>
        <v>26</v>
      </c>
      <c r="S57" s="45">
        <f>'12B Sem 1'!R21</f>
        <v>0</v>
      </c>
      <c r="T57" s="45">
        <f>'12B Sem 1'!S21</f>
        <v>0</v>
      </c>
      <c r="U57" s="6"/>
      <c r="V57" s="6"/>
      <c r="W57" s="6"/>
      <c r="X57" s="6"/>
      <c r="Y57" s="6"/>
    </row>
    <row r="58" spans="1:25" ht="18.75" customHeight="1" thickBot="1" x14ac:dyDescent="0.3">
      <c r="A58" s="252"/>
      <c r="B58" s="247"/>
      <c r="C58" s="247">
        <v>17</v>
      </c>
      <c r="D58" s="256" t="s">
        <v>23</v>
      </c>
      <c r="E58" s="29" t="s">
        <v>22</v>
      </c>
      <c r="F58" s="30">
        <f>'12B (NS)Sem 2'!E21</f>
        <v>84</v>
      </c>
      <c r="G58" s="30">
        <f>'12B (NS)Sem 2'!F21</f>
        <v>72</v>
      </c>
      <c r="H58" s="31">
        <f>'12B (NS)Sem 2'!G21</f>
        <v>70</v>
      </c>
      <c r="I58" s="30">
        <f>'12B (NS)Sem 2'!H21</f>
        <v>74</v>
      </c>
      <c r="J58" s="30">
        <f>'12B (NS)Sem 2'!I21</f>
        <v>71</v>
      </c>
      <c r="K58" s="30">
        <f>'12B (NS)Sem 2'!J21</f>
        <v>71</v>
      </c>
      <c r="L58" s="30">
        <f>'12B (NS)Sem 2'!K21</f>
        <v>96</v>
      </c>
      <c r="M58" s="30">
        <f>'12B (NS)Sem 2'!L21</f>
        <v>94</v>
      </c>
      <c r="N58" s="30">
        <f>'12B (NS)Sem 2'!M21</f>
        <v>72</v>
      </c>
      <c r="O58" s="30">
        <f>'12B (NS)Sem 2'!N21</f>
        <v>67</v>
      </c>
      <c r="P58" s="30">
        <f>'12B (NS)Sem 2'!O21</f>
        <v>771</v>
      </c>
      <c r="Q58" s="30">
        <f>'12B (NS)Sem 2'!P21</f>
        <v>77.099999999999994</v>
      </c>
      <c r="R58" s="30">
        <f>'12B (NS)Sem 2'!Q21</f>
        <v>22</v>
      </c>
      <c r="S58" s="45">
        <f>'12B (NS)Sem 2'!R21</f>
        <v>0</v>
      </c>
      <c r="T58" s="45">
        <f>'12B (NS)Sem 2'!S21</f>
        <v>0</v>
      </c>
      <c r="U58" s="6"/>
      <c r="V58" s="6"/>
      <c r="W58" s="6"/>
      <c r="X58" s="6"/>
      <c r="Y58" s="6"/>
    </row>
    <row r="59" spans="1:25" ht="18.75" customHeight="1" thickBot="1" x14ac:dyDescent="0.3">
      <c r="A59" s="252"/>
      <c r="B59" s="247"/>
      <c r="C59" s="247">
        <v>17</v>
      </c>
      <c r="D59" s="257" t="s">
        <v>23</v>
      </c>
      <c r="E59" s="29" t="s">
        <v>16</v>
      </c>
      <c r="F59" s="30">
        <f>AVERAGE(F57:F58)</f>
        <v>77.5</v>
      </c>
      <c r="G59" s="30">
        <f t="shared" ref="G59:Q59" si="17">AVERAGE(G57:G58)</f>
        <v>71.5</v>
      </c>
      <c r="H59" s="30">
        <f t="shared" si="17"/>
        <v>61.5</v>
      </c>
      <c r="I59" s="30">
        <f t="shared" si="17"/>
        <v>70</v>
      </c>
      <c r="J59" s="30">
        <f t="shared" si="17"/>
        <v>63</v>
      </c>
      <c r="K59" s="30">
        <f t="shared" si="17"/>
        <v>66.5</v>
      </c>
      <c r="L59" s="30">
        <f t="shared" si="17"/>
        <v>91</v>
      </c>
      <c r="M59" s="30">
        <f t="shared" si="17"/>
        <v>91.5</v>
      </c>
      <c r="N59" s="30">
        <f t="shared" si="17"/>
        <v>69.5</v>
      </c>
      <c r="O59" s="30">
        <f t="shared" si="17"/>
        <v>62.5</v>
      </c>
      <c r="P59" s="30">
        <f t="shared" si="17"/>
        <v>724.5</v>
      </c>
      <c r="Q59" s="30">
        <f t="shared" si="17"/>
        <v>72.449999999999989</v>
      </c>
      <c r="R59" s="30">
        <f>'12B Sem avr (NS) '!$H$21</f>
        <v>24</v>
      </c>
      <c r="S59" s="45">
        <f>AVERAGE(S57:S58)</f>
        <v>0</v>
      </c>
      <c r="T59" s="45">
        <f>AVERAGE(T57:T58)</f>
        <v>0</v>
      </c>
      <c r="U59" s="6"/>
      <c r="V59" s="6"/>
      <c r="W59" s="6"/>
      <c r="X59" s="6"/>
      <c r="Y59" s="6"/>
    </row>
    <row r="60" spans="1:25" ht="18.75" customHeight="1" thickBot="1" x14ac:dyDescent="0.3">
      <c r="A60" s="246">
        <v>19</v>
      </c>
      <c r="B60" s="247"/>
      <c r="C60" s="247">
        <v>17</v>
      </c>
      <c r="D60" s="248" t="s">
        <v>23</v>
      </c>
      <c r="E60" s="29" t="s">
        <v>21</v>
      </c>
      <c r="F60" s="30">
        <f>'12B Sem 1'!E22</f>
        <v>85</v>
      </c>
      <c r="G60" s="30">
        <f>'12B Sem 1'!F22</f>
        <v>94</v>
      </c>
      <c r="H60" s="30">
        <f>'12B Sem 1'!G22</f>
        <v>78</v>
      </c>
      <c r="I60" s="30">
        <f>'12B Sem 1'!H22</f>
        <v>93</v>
      </c>
      <c r="J60" s="30">
        <f>'12B Sem 1'!I22</f>
        <v>94</v>
      </c>
      <c r="K60" s="30">
        <f>'12B Sem 1'!J22</f>
        <v>88</v>
      </c>
      <c r="L60" s="30">
        <f>'12B Sem 1'!K22</f>
        <v>97</v>
      </c>
      <c r="M60" s="30">
        <f>'12B Sem 1'!L22</f>
        <v>96</v>
      </c>
      <c r="N60" s="30">
        <f>'12B Sem 1'!M22</f>
        <v>97</v>
      </c>
      <c r="O60" s="30">
        <f>'12B Sem 1'!N22</f>
        <v>95</v>
      </c>
      <c r="P60" s="30">
        <f>'12B Sem 1'!O22</f>
        <v>917</v>
      </c>
      <c r="Q60" s="30">
        <f>'12B Sem 1'!P22</f>
        <v>91.7</v>
      </c>
      <c r="R60" s="30">
        <f>'12B Sem 1'!Q22</f>
        <v>2</v>
      </c>
      <c r="S60" s="45">
        <f>'12B Sem 1'!R22</f>
        <v>0</v>
      </c>
      <c r="T60" s="45">
        <f>'12B Sem 1'!S22</f>
        <v>0</v>
      </c>
      <c r="U60" s="6"/>
      <c r="V60" s="6"/>
      <c r="W60" s="6"/>
      <c r="X60" s="6"/>
      <c r="Y60" s="6"/>
    </row>
    <row r="61" spans="1:25" ht="18.75" customHeight="1" thickBot="1" x14ac:dyDescent="0.3">
      <c r="A61" s="246"/>
      <c r="B61" s="247"/>
      <c r="C61" s="247">
        <v>17</v>
      </c>
      <c r="D61" s="248" t="s">
        <v>23</v>
      </c>
      <c r="E61" s="29" t="s">
        <v>22</v>
      </c>
      <c r="F61" s="30">
        <f>'12B (NS)Sem 2'!E22</f>
        <v>95</v>
      </c>
      <c r="G61" s="30">
        <f>'12B (NS)Sem 2'!F22</f>
        <v>91</v>
      </c>
      <c r="H61" s="30">
        <f>'12B (NS)Sem 2'!G22</f>
        <v>94</v>
      </c>
      <c r="I61" s="30">
        <f>'12B (NS)Sem 2'!H22</f>
        <v>97</v>
      </c>
      <c r="J61" s="30">
        <f>'12B (NS)Sem 2'!I22</f>
        <v>97</v>
      </c>
      <c r="K61" s="30">
        <f>'12B (NS)Sem 2'!J22</f>
        <v>96</v>
      </c>
      <c r="L61" s="30">
        <f>'12B (NS)Sem 2'!K22</f>
        <v>100</v>
      </c>
      <c r="M61" s="30">
        <f>'12B (NS)Sem 2'!L22</f>
        <v>100</v>
      </c>
      <c r="N61" s="30">
        <f>'12B (NS)Sem 2'!M22</f>
        <v>99</v>
      </c>
      <c r="O61" s="30">
        <f>'12B (NS)Sem 2'!N22</f>
        <v>98</v>
      </c>
      <c r="P61" s="30">
        <f>'12B (NS)Sem 2'!O22</f>
        <v>967</v>
      </c>
      <c r="Q61" s="30">
        <f>'12B (NS)Sem 2'!P22</f>
        <v>96.7</v>
      </c>
      <c r="R61" s="30">
        <f>'12B (NS)Sem 2'!Q22</f>
        <v>1</v>
      </c>
      <c r="S61" s="45">
        <f>'12B (NS)Sem 2'!R22</f>
        <v>0</v>
      </c>
      <c r="T61" s="45">
        <f>'12B (NS)Sem 2'!S22</f>
        <v>0</v>
      </c>
      <c r="U61" s="6"/>
      <c r="V61" s="6"/>
      <c r="W61" s="6"/>
      <c r="X61" s="6"/>
      <c r="Y61" s="6"/>
    </row>
    <row r="62" spans="1:25" ht="18.75" customHeight="1" thickBot="1" x14ac:dyDescent="0.3">
      <c r="A62" s="246"/>
      <c r="B62" s="247"/>
      <c r="C62" s="247">
        <v>17</v>
      </c>
      <c r="D62" s="248" t="s">
        <v>23</v>
      </c>
      <c r="E62" s="29" t="s">
        <v>16</v>
      </c>
      <c r="F62" s="30">
        <f>AVERAGE(F60:F61)</f>
        <v>90</v>
      </c>
      <c r="G62" s="30">
        <f t="shared" ref="G62:Q62" si="18">AVERAGE(G60:G61)</f>
        <v>92.5</v>
      </c>
      <c r="H62" s="30">
        <f t="shared" si="18"/>
        <v>86</v>
      </c>
      <c r="I62" s="30">
        <f t="shared" si="18"/>
        <v>95</v>
      </c>
      <c r="J62" s="30">
        <f t="shared" si="18"/>
        <v>95.5</v>
      </c>
      <c r="K62" s="30">
        <f t="shared" si="18"/>
        <v>92</v>
      </c>
      <c r="L62" s="30">
        <f t="shared" si="18"/>
        <v>98.5</v>
      </c>
      <c r="M62" s="30">
        <f t="shared" si="18"/>
        <v>98</v>
      </c>
      <c r="N62" s="30">
        <f t="shared" si="18"/>
        <v>98</v>
      </c>
      <c r="O62" s="30">
        <f t="shared" si="18"/>
        <v>96.5</v>
      </c>
      <c r="P62" s="30">
        <f t="shared" si="18"/>
        <v>942</v>
      </c>
      <c r="Q62" s="30">
        <f t="shared" si="18"/>
        <v>94.2</v>
      </c>
      <c r="R62" s="30">
        <f>'12B Sem avr (NS) '!$H$22</f>
        <v>2</v>
      </c>
      <c r="S62" s="45">
        <f>AVERAGE(S60:S61)</f>
        <v>0</v>
      </c>
      <c r="T62" s="45">
        <f>AVERAGE(T60:T61)</f>
        <v>0</v>
      </c>
      <c r="U62" s="6"/>
      <c r="V62" s="6"/>
      <c r="W62" s="6"/>
      <c r="X62" s="6"/>
      <c r="Y62" s="6"/>
    </row>
    <row r="63" spans="1:25" ht="18.75" customHeight="1" thickBot="1" x14ac:dyDescent="0.3">
      <c r="A63" s="246">
        <v>20</v>
      </c>
      <c r="B63" s="247"/>
      <c r="C63" s="253">
        <v>17</v>
      </c>
      <c r="D63" s="254" t="s">
        <v>23</v>
      </c>
      <c r="E63" s="29" t="s">
        <v>21</v>
      </c>
      <c r="F63" s="30">
        <f>'12B Sem 1'!E23</f>
        <v>61</v>
      </c>
      <c r="G63" s="30">
        <f>'12B Sem 1'!F23</f>
        <v>66</v>
      </c>
      <c r="H63" s="30">
        <f>'12B Sem 1'!G23</f>
        <v>45</v>
      </c>
      <c r="I63" s="30">
        <f>'12B Sem 1'!H23</f>
        <v>55</v>
      </c>
      <c r="J63" s="30">
        <f>'12B Sem 1'!I23</f>
        <v>50</v>
      </c>
      <c r="K63" s="30">
        <f>'12B Sem 1'!J23</f>
        <v>54</v>
      </c>
      <c r="L63" s="30">
        <f>'12B Sem 1'!K23</f>
        <v>82</v>
      </c>
      <c r="M63" s="30">
        <f>'12B Sem 1'!L23</f>
        <v>84</v>
      </c>
      <c r="N63" s="30">
        <f>'12B Sem 1'!M23</f>
        <v>54</v>
      </c>
      <c r="O63" s="30">
        <f>'12B Sem 1'!N23</f>
        <v>54</v>
      </c>
      <c r="P63" s="30">
        <f>'12B Sem 1'!O23</f>
        <v>605</v>
      </c>
      <c r="Q63" s="30">
        <f>'12B Sem 1'!P23</f>
        <v>60.5</v>
      </c>
      <c r="R63" s="30">
        <f>'12B Sem 1'!Q23</f>
        <v>32</v>
      </c>
      <c r="S63" s="45">
        <f>'12B Sem 1'!R23</f>
        <v>0</v>
      </c>
      <c r="T63" s="45">
        <f>'12B Sem 1'!S23</f>
        <v>0</v>
      </c>
      <c r="U63" s="6"/>
      <c r="V63" s="6"/>
      <c r="W63" s="6"/>
      <c r="X63" s="6"/>
      <c r="Y63" s="6"/>
    </row>
    <row r="64" spans="1:25" ht="18.75" customHeight="1" thickBot="1" x14ac:dyDescent="0.3">
      <c r="A64" s="246"/>
      <c r="B64" s="247"/>
      <c r="C64" s="253">
        <v>17</v>
      </c>
      <c r="D64" s="254" t="s">
        <v>23</v>
      </c>
      <c r="E64" s="29" t="s">
        <v>22</v>
      </c>
      <c r="F64" s="30">
        <f>'12B (NS)Sem 2'!E23</f>
        <v>75</v>
      </c>
      <c r="G64" s="30">
        <f>'12B (NS)Sem 2'!F23</f>
        <v>72</v>
      </c>
      <c r="H64" s="30">
        <f>'12B (NS)Sem 2'!G23</f>
        <v>72</v>
      </c>
      <c r="I64" s="30">
        <f>'12B (NS)Sem 2'!H23</f>
        <v>68</v>
      </c>
      <c r="J64" s="30">
        <f>'12B (NS)Sem 2'!I23</f>
        <v>65</v>
      </c>
      <c r="K64" s="30">
        <f>'12B (NS)Sem 2'!J23</f>
        <v>60</v>
      </c>
      <c r="L64" s="30">
        <f>'12B (NS)Sem 2'!K23</f>
        <v>95</v>
      </c>
      <c r="M64" s="30">
        <f>'12B (NS)Sem 2'!L23</f>
        <v>90</v>
      </c>
      <c r="N64" s="30">
        <f>'12B (NS)Sem 2'!M23</f>
        <v>60</v>
      </c>
      <c r="O64" s="30">
        <f>'12B (NS)Sem 2'!N23</f>
        <v>65</v>
      </c>
      <c r="P64" s="30">
        <f>'12B (NS)Sem 2'!O23</f>
        <v>722</v>
      </c>
      <c r="Q64" s="30">
        <f>'12B (NS)Sem 2'!P23</f>
        <v>72.2</v>
      </c>
      <c r="R64" s="30">
        <f>'12B (NS)Sem 2'!Q23</f>
        <v>32</v>
      </c>
      <c r="S64" s="45">
        <f>'12B (NS)Sem 2'!R23</f>
        <v>0</v>
      </c>
      <c r="T64" s="45">
        <f>'12B (NS)Sem 2'!S23</f>
        <v>0</v>
      </c>
      <c r="U64" s="6"/>
      <c r="V64" s="6"/>
      <c r="W64" s="6"/>
      <c r="X64" s="6"/>
      <c r="Y64" s="6"/>
    </row>
    <row r="65" spans="1:25" ht="18.75" customHeight="1" thickBot="1" x14ac:dyDescent="0.3">
      <c r="A65" s="246"/>
      <c r="B65" s="247"/>
      <c r="C65" s="253">
        <v>17</v>
      </c>
      <c r="D65" s="254" t="s">
        <v>23</v>
      </c>
      <c r="E65" s="29" t="s">
        <v>16</v>
      </c>
      <c r="F65" s="30">
        <f>AVERAGE(F63:F64)</f>
        <v>68</v>
      </c>
      <c r="G65" s="30">
        <f t="shared" ref="G65:Q65" si="19">AVERAGE(G63:G64)</f>
        <v>69</v>
      </c>
      <c r="H65" s="30">
        <f t="shared" si="19"/>
        <v>58.5</v>
      </c>
      <c r="I65" s="30">
        <f t="shared" si="19"/>
        <v>61.5</v>
      </c>
      <c r="J65" s="30">
        <f t="shared" si="19"/>
        <v>57.5</v>
      </c>
      <c r="K65" s="30">
        <f t="shared" si="19"/>
        <v>57</v>
      </c>
      <c r="L65" s="30">
        <f t="shared" si="19"/>
        <v>88.5</v>
      </c>
      <c r="M65" s="30">
        <f t="shared" si="19"/>
        <v>87</v>
      </c>
      <c r="N65" s="30">
        <f t="shared" si="19"/>
        <v>57</v>
      </c>
      <c r="O65" s="30">
        <f t="shared" si="19"/>
        <v>59.5</v>
      </c>
      <c r="P65" s="30">
        <f t="shared" si="19"/>
        <v>663.5</v>
      </c>
      <c r="Q65" s="30">
        <f t="shared" si="19"/>
        <v>66.349999999999994</v>
      </c>
      <c r="R65" s="30">
        <f>'12B Sem avr (NS) '!$H$23</f>
        <v>33</v>
      </c>
      <c r="S65" s="45">
        <f>AVERAGE(S63:S64)</f>
        <v>0</v>
      </c>
      <c r="T65" s="45">
        <f>AVERAGE(T63:T64)</f>
        <v>0</v>
      </c>
      <c r="U65" s="6"/>
      <c r="V65" s="6"/>
      <c r="W65" s="6"/>
      <c r="X65" s="6"/>
      <c r="Y65" s="6"/>
    </row>
    <row r="66" spans="1:25" ht="18.75" customHeight="1" thickBot="1" x14ac:dyDescent="0.3">
      <c r="A66" s="246">
        <v>21</v>
      </c>
      <c r="B66" s="247"/>
      <c r="C66" s="253">
        <v>18</v>
      </c>
      <c r="D66" s="254" t="s">
        <v>20</v>
      </c>
      <c r="E66" s="29" t="s">
        <v>21</v>
      </c>
      <c r="F66" s="30">
        <f>'12B Sem 1'!E24</f>
        <v>72</v>
      </c>
      <c r="G66" s="30">
        <f>'12B Sem 1'!F24</f>
        <v>87</v>
      </c>
      <c r="H66" s="30">
        <f>'12B Sem 1'!G24</f>
        <v>48</v>
      </c>
      <c r="I66" s="30">
        <f>'12B Sem 1'!H24</f>
        <v>68</v>
      </c>
      <c r="J66" s="30">
        <f>'12B Sem 1'!I24</f>
        <v>65</v>
      </c>
      <c r="K66" s="30">
        <f>'12B Sem 1'!J24</f>
        <v>72</v>
      </c>
      <c r="L66" s="30">
        <f>'12B Sem 1'!K24</f>
        <v>95</v>
      </c>
      <c r="M66" s="30">
        <f>'12B Sem 1'!L24</f>
        <v>96</v>
      </c>
      <c r="N66" s="30">
        <f>'12B Sem 1'!M24</f>
        <v>66</v>
      </c>
      <c r="O66" s="30">
        <f>'12B Sem 1'!N24</f>
        <v>68</v>
      </c>
      <c r="P66" s="30">
        <f>'12B Sem 1'!O24</f>
        <v>737</v>
      </c>
      <c r="Q66" s="30">
        <f>'12B Sem 1'!P24</f>
        <v>73.7</v>
      </c>
      <c r="R66" s="30">
        <f>'12B Sem 1'!Q24</f>
        <v>18</v>
      </c>
      <c r="S66" s="45">
        <f>'12B Sem 1'!R24</f>
        <v>0</v>
      </c>
      <c r="T66" s="45">
        <f>'12B Sem 1'!S24</f>
        <v>0</v>
      </c>
      <c r="U66" s="6"/>
      <c r="V66" s="6"/>
      <c r="W66" s="6"/>
      <c r="X66" s="6"/>
      <c r="Y66" s="6"/>
    </row>
    <row r="67" spans="1:25" ht="18.75" customHeight="1" thickBot="1" x14ac:dyDescent="0.3">
      <c r="A67" s="246"/>
      <c r="B67" s="247"/>
      <c r="C67" s="253">
        <v>18</v>
      </c>
      <c r="D67" s="254" t="s">
        <v>20</v>
      </c>
      <c r="E67" s="29" t="s">
        <v>22</v>
      </c>
      <c r="F67" s="30">
        <f>'12B (NS)Sem 2'!E24</f>
        <v>77</v>
      </c>
      <c r="G67" s="30">
        <f>'12B (NS)Sem 2'!F24</f>
        <v>84</v>
      </c>
      <c r="H67" s="30">
        <f>'12B (NS)Sem 2'!G24</f>
        <v>55</v>
      </c>
      <c r="I67" s="30">
        <f>'12B (NS)Sem 2'!H24</f>
        <v>73</v>
      </c>
      <c r="J67" s="30">
        <f>'12B (NS)Sem 2'!I24</f>
        <v>80</v>
      </c>
      <c r="K67" s="30">
        <f>'12B (NS)Sem 2'!J24</f>
        <v>73</v>
      </c>
      <c r="L67" s="30">
        <f>'12B (NS)Sem 2'!K24</f>
        <v>100</v>
      </c>
      <c r="M67" s="30">
        <f>'12B (NS)Sem 2'!L24</f>
        <v>100</v>
      </c>
      <c r="N67" s="30">
        <f>'12B (NS)Sem 2'!M24</f>
        <v>71</v>
      </c>
      <c r="O67" s="30">
        <f>'12B (NS)Sem 2'!N24</f>
        <v>77</v>
      </c>
      <c r="P67" s="30">
        <f>'12B (NS)Sem 2'!O24</f>
        <v>790</v>
      </c>
      <c r="Q67" s="30">
        <f>'12B (NS)Sem 2'!P24</f>
        <v>79</v>
      </c>
      <c r="R67" s="30">
        <f>'12B (NS)Sem 2'!Q24</f>
        <v>19</v>
      </c>
      <c r="S67" s="45">
        <f>'12B (NS)Sem 2'!R24</f>
        <v>0</v>
      </c>
      <c r="T67" s="45">
        <f>'12B (NS)Sem 2'!S24</f>
        <v>0</v>
      </c>
      <c r="U67" s="6"/>
      <c r="V67" s="6"/>
      <c r="W67" s="6"/>
      <c r="X67" s="6"/>
      <c r="Y67" s="6"/>
    </row>
    <row r="68" spans="1:25" ht="18.75" customHeight="1" thickBot="1" x14ac:dyDescent="0.3">
      <c r="A68" s="246"/>
      <c r="B68" s="247"/>
      <c r="C68" s="253">
        <v>18</v>
      </c>
      <c r="D68" s="254" t="s">
        <v>20</v>
      </c>
      <c r="E68" s="29" t="s">
        <v>16</v>
      </c>
      <c r="F68" s="30">
        <f>AVERAGE(F66:F67)</f>
        <v>74.5</v>
      </c>
      <c r="G68" s="30">
        <f t="shared" ref="G68:Q68" si="20">AVERAGE(G66:G67)</f>
        <v>85.5</v>
      </c>
      <c r="H68" s="30">
        <f t="shared" si="20"/>
        <v>51.5</v>
      </c>
      <c r="I68" s="30">
        <f t="shared" si="20"/>
        <v>70.5</v>
      </c>
      <c r="J68" s="30">
        <f t="shared" si="20"/>
        <v>72.5</v>
      </c>
      <c r="K68" s="30">
        <f t="shared" si="20"/>
        <v>72.5</v>
      </c>
      <c r="L68" s="30">
        <f t="shared" si="20"/>
        <v>97.5</v>
      </c>
      <c r="M68" s="30">
        <f t="shared" si="20"/>
        <v>98</v>
      </c>
      <c r="N68" s="30">
        <f t="shared" si="20"/>
        <v>68.5</v>
      </c>
      <c r="O68" s="30">
        <f t="shared" si="20"/>
        <v>72.5</v>
      </c>
      <c r="P68" s="30">
        <f t="shared" si="20"/>
        <v>763.5</v>
      </c>
      <c r="Q68" s="30">
        <f t="shared" si="20"/>
        <v>76.349999999999994</v>
      </c>
      <c r="R68" s="30">
        <f>'12B Sem avr (NS) '!$H$24</f>
        <v>18</v>
      </c>
      <c r="S68" s="45">
        <f>AVERAGE(S66:S67)</f>
        <v>0</v>
      </c>
      <c r="T68" s="45">
        <f>AVERAGE(T66:T67)</f>
        <v>0</v>
      </c>
      <c r="U68" s="6"/>
      <c r="V68" s="6"/>
      <c r="W68" s="6"/>
      <c r="X68" s="6"/>
      <c r="Y68" s="6"/>
    </row>
    <row r="69" spans="1:25" ht="18.75" customHeight="1" thickBot="1" x14ac:dyDescent="0.3">
      <c r="A69" s="252">
        <v>22</v>
      </c>
      <c r="B69" s="247"/>
      <c r="C69" s="247">
        <v>18</v>
      </c>
      <c r="D69" s="248" t="s">
        <v>23</v>
      </c>
      <c r="E69" s="29" t="s">
        <v>21</v>
      </c>
      <c r="F69" s="30">
        <f>'12B Sem 1'!E25</f>
        <v>0</v>
      </c>
      <c r="G69" s="30">
        <f>'12B Sem 1'!F25</f>
        <v>0</v>
      </c>
      <c r="H69" s="30">
        <f>'12B Sem 1'!G25</f>
        <v>0</v>
      </c>
      <c r="I69" s="30">
        <f>'12B Sem 1'!H25</f>
        <v>0</v>
      </c>
      <c r="J69" s="30">
        <f>'12B Sem 1'!I25</f>
        <v>0</v>
      </c>
      <c r="K69" s="30">
        <f>'12B Sem 1'!J25</f>
        <v>0</v>
      </c>
      <c r="L69" s="30">
        <f>'12B Sem 1'!K25</f>
        <v>0</v>
      </c>
      <c r="M69" s="30">
        <f>'12B Sem 1'!L25</f>
        <v>0</v>
      </c>
      <c r="N69" s="30">
        <f>'12B Sem 1'!M25</f>
        <v>0</v>
      </c>
      <c r="O69" s="30">
        <f>'12B Sem 1'!N25</f>
        <v>0</v>
      </c>
      <c r="P69" s="30">
        <f>'12B Sem 1'!O25</f>
        <v>0</v>
      </c>
      <c r="Q69" s="30">
        <f>'12B Sem 1'!P25</f>
        <v>0</v>
      </c>
      <c r="R69" s="30">
        <f>'12B Sem 1'!Q25</f>
        <v>0</v>
      </c>
      <c r="S69" s="45">
        <f>'12B Sem 1'!R25</f>
        <v>0</v>
      </c>
      <c r="T69" s="45">
        <f>'12B Sem 1'!S25</f>
        <v>0</v>
      </c>
      <c r="U69" s="6"/>
      <c r="V69" s="6"/>
      <c r="W69" s="6"/>
      <c r="X69" s="6"/>
      <c r="Y69" s="6"/>
    </row>
    <row r="70" spans="1:25" ht="18.75" customHeight="1" thickBot="1" x14ac:dyDescent="0.3">
      <c r="A70" s="252"/>
      <c r="B70" s="247"/>
      <c r="C70" s="247">
        <v>18</v>
      </c>
      <c r="D70" s="248" t="s">
        <v>23</v>
      </c>
      <c r="E70" s="29" t="s">
        <v>22</v>
      </c>
      <c r="F70" s="30">
        <f>'12B (NS)Sem 2'!E25</f>
        <v>0</v>
      </c>
      <c r="G70" s="30">
        <f>'12B (NS)Sem 2'!F25</f>
        <v>0</v>
      </c>
      <c r="H70" s="30">
        <f>'12B (NS)Sem 2'!G25</f>
        <v>0</v>
      </c>
      <c r="I70" s="30">
        <f>'12B (NS)Sem 2'!H25</f>
        <v>0</v>
      </c>
      <c r="J70" s="30">
        <f>'12B (NS)Sem 2'!I25</f>
        <v>0</v>
      </c>
      <c r="K70" s="30">
        <f>'12B (NS)Sem 2'!J25</f>
        <v>0</v>
      </c>
      <c r="L70" s="30">
        <f>'12B (NS)Sem 2'!K25</f>
        <v>0</v>
      </c>
      <c r="M70" s="30">
        <f>'12B (NS)Sem 2'!L25</f>
        <v>0</v>
      </c>
      <c r="N70" s="30">
        <f>'12B (NS)Sem 2'!M25</f>
        <v>0</v>
      </c>
      <c r="O70" s="30">
        <f>'12B (NS)Sem 2'!N25</f>
        <v>0</v>
      </c>
      <c r="P70" s="30">
        <f>'12B (NS)Sem 2'!O25</f>
        <v>0</v>
      </c>
      <c r="Q70" s="30">
        <f>'12B (NS)Sem 2'!P25</f>
        <v>0</v>
      </c>
      <c r="R70" s="30">
        <f>'12B (NS)Sem 2'!Q25</f>
        <v>0</v>
      </c>
      <c r="S70" s="45">
        <f>'12B (NS)Sem 2'!R25</f>
        <v>0</v>
      </c>
      <c r="T70" s="45">
        <f>'12B (NS)Sem 2'!S25</f>
        <v>0</v>
      </c>
      <c r="U70" s="6"/>
      <c r="V70" s="6"/>
      <c r="W70" s="6"/>
      <c r="X70" s="6"/>
      <c r="Y70" s="6"/>
    </row>
    <row r="71" spans="1:25" ht="18.75" customHeight="1" thickBot="1" x14ac:dyDescent="0.3">
      <c r="A71" s="252"/>
      <c r="B71" s="247"/>
      <c r="C71" s="247">
        <v>18</v>
      </c>
      <c r="D71" s="248" t="s">
        <v>23</v>
      </c>
      <c r="E71" s="29" t="s">
        <v>16</v>
      </c>
      <c r="F71" s="30">
        <f>AVERAGE(F69:F70)</f>
        <v>0</v>
      </c>
      <c r="G71" s="30">
        <f t="shared" ref="G71:Q71" si="21">AVERAGE(G69:G70)</f>
        <v>0</v>
      </c>
      <c r="H71" s="30">
        <f t="shared" si="21"/>
        <v>0</v>
      </c>
      <c r="I71" s="30">
        <f t="shared" si="21"/>
        <v>0</v>
      </c>
      <c r="J71" s="30">
        <f t="shared" si="21"/>
        <v>0</v>
      </c>
      <c r="K71" s="30">
        <f t="shared" si="21"/>
        <v>0</v>
      </c>
      <c r="L71" s="30">
        <f t="shared" si="21"/>
        <v>0</v>
      </c>
      <c r="M71" s="30">
        <f t="shared" si="21"/>
        <v>0</v>
      </c>
      <c r="N71" s="30">
        <f t="shared" si="21"/>
        <v>0</v>
      </c>
      <c r="O71" s="30">
        <f t="shared" si="21"/>
        <v>0</v>
      </c>
      <c r="P71" s="30">
        <f t="shared" si="21"/>
        <v>0</v>
      </c>
      <c r="Q71" s="30">
        <f t="shared" si="21"/>
        <v>0</v>
      </c>
      <c r="R71" s="30">
        <f>'12B Sem avr (NS) '!$H$25</f>
        <v>35</v>
      </c>
      <c r="S71" s="45">
        <f>AVERAGE(S69:S70)</f>
        <v>0</v>
      </c>
      <c r="T71" s="45">
        <f>AVERAGE(T69:T70)</f>
        <v>0</v>
      </c>
      <c r="U71" s="6"/>
      <c r="V71" s="6"/>
      <c r="W71" s="6"/>
      <c r="X71" s="6"/>
      <c r="Y71" s="6"/>
    </row>
    <row r="72" spans="1:25" ht="18.75" customHeight="1" thickBot="1" x14ac:dyDescent="0.3">
      <c r="A72" s="252">
        <v>23</v>
      </c>
      <c r="B72" s="247"/>
      <c r="C72" s="247">
        <v>17</v>
      </c>
      <c r="D72" s="248" t="s">
        <v>23</v>
      </c>
      <c r="E72" s="29" t="s">
        <v>21</v>
      </c>
      <c r="F72" s="30">
        <f>'12B Sem 1'!E26</f>
        <v>69</v>
      </c>
      <c r="G72" s="30">
        <f>'12B Sem 1'!F26</f>
        <v>81</v>
      </c>
      <c r="H72" s="30">
        <f>'12B Sem 1'!G26</f>
        <v>54</v>
      </c>
      <c r="I72" s="30">
        <f>'12B Sem 1'!H26</f>
        <v>67</v>
      </c>
      <c r="J72" s="30">
        <f>'12B Sem 1'!I26</f>
        <v>59</v>
      </c>
      <c r="K72" s="30">
        <f>'12B Sem 1'!J26</f>
        <v>62</v>
      </c>
      <c r="L72" s="30">
        <f>'12B Sem 1'!K26</f>
        <v>98</v>
      </c>
      <c r="M72" s="30">
        <f>'12B Sem 1'!L26</f>
        <v>83</v>
      </c>
      <c r="N72" s="30">
        <f>'12B Sem 1'!M26</f>
        <v>52</v>
      </c>
      <c r="O72" s="30">
        <f>'12B Sem 1'!N26</f>
        <v>79</v>
      </c>
      <c r="P72" s="30">
        <f>'12B Sem 1'!O26</f>
        <v>704</v>
      </c>
      <c r="Q72" s="30">
        <f>'12B Sem 1'!P26</f>
        <v>70.400000000000006</v>
      </c>
      <c r="R72" s="30">
        <f>'12B Sem 1'!Q26</f>
        <v>21</v>
      </c>
      <c r="S72" s="45">
        <f>'12B Sem 1'!R26</f>
        <v>0</v>
      </c>
      <c r="T72" s="45">
        <f>'12B Sem 1'!S26</f>
        <v>0</v>
      </c>
      <c r="U72" s="6"/>
      <c r="V72" s="6"/>
      <c r="W72" s="6"/>
      <c r="X72" s="6"/>
      <c r="Y72" s="6"/>
    </row>
    <row r="73" spans="1:25" ht="18.75" customHeight="1" thickBot="1" x14ac:dyDescent="0.3">
      <c r="A73" s="252"/>
      <c r="B73" s="247"/>
      <c r="C73" s="247">
        <v>17</v>
      </c>
      <c r="D73" s="248" t="s">
        <v>23</v>
      </c>
      <c r="E73" s="29" t="s">
        <v>22</v>
      </c>
      <c r="F73" s="30">
        <f>'12B (NS)Sem 2'!E26</f>
        <v>77</v>
      </c>
      <c r="G73" s="30">
        <f>'12B (NS)Sem 2'!F26</f>
        <v>82</v>
      </c>
      <c r="H73" s="30">
        <f>'12B (NS)Sem 2'!G26</f>
        <v>62</v>
      </c>
      <c r="I73" s="30">
        <f>'12B (NS)Sem 2'!H26</f>
        <v>74</v>
      </c>
      <c r="J73" s="30">
        <f>'12B (NS)Sem 2'!I26</f>
        <v>75</v>
      </c>
      <c r="K73" s="30">
        <f>'12B (NS)Sem 2'!J26</f>
        <v>70</v>
      </c>
      <c r="L73" s="30">
        <f>'12B (NS)Sem 2'!K26</f>
        <v>94</v>
      </c>
      <c r="M73" s="30">
        <f>'12B (NS)Sem 2'!L26</f>
        <v>90</v>
      </c>
      <c r="N73" s="30">
        <f>'12B (NS)Sem 2'!M26</f>
        <v>58</v>
      </c>
      <c r="O73" s="30">
        <f>'12B (NS)Sem 2'!N26</f>
        <v>82</v>
      </c>
      <c r="P73" s="30">
        <f>'12B (NS)Sem 2'!O26</f>
        <v>764</v>
      </c>
      <c r="Q73" s="30">
        <f>'12B (NS)Sem 2'!P26</f>
        <v>76.400000000000006</v>
      </c>
      <c r="R73" s="30">
        <f>'12B (NS)Sem 2'!Q26</f>
        <v>25</v>
      </c>
      <c r="S73" s="45">
        <f>'12B (NS)Sem 2'!R26</f>
        <v>0</v>
      </c>
      <c r="T73" s="45">
        <f>'12B (NS)Sem 2'!S26</f>
        <v>0</v>
      </c>
      <c r="U73" s="6"/>
      <c r="V73" s="6"/>
      <c r="W73" s="6"/>
      <c r="X73" s="6"/>
      <c r="Y73" s="6"/>
    </row>
    <row r="74" spans="1:25" ht="18.75" customHeight="1" thickBot="1" x14ac:dyDescent="0.3">
      <c r="A74" s="252"/>
      <c r="B74" s="247"/>
      <c r="C74" s="247">
        <v>17</v>
      </c>
      <c r="D74" s="248" t="s">
        <v>23</v>
      </c>
      <c r="E74" s="29" t="s">
        <v>16</v>
      </c>
      <c r="F74" s="30">
        <f>AVERAGE(F72:F73)</f>
        <v>73</v>
      </c>
      <c r="G74" s="30">
        <f t="shared" ref="G74:Q74" si="22">AVERAGE(G72:G73)</f>
        <v>81.5</v>
      </c>
      <c r="H74" s="30">
        <f t="shared" si="22"/>
        <v>58</v>
      </c>
      <c r="I74" s="30">
        <f t="shared" si="22"/>
        <v>70.5</v>
      </c>
      <c r="J74" s="30">
        <f t="shared" si="22"/>
        <v>67</v>
      </c>
      <c r="K74" s="30">
        <f t="shared" si="22"/>
        <v>66</v>
      </c>
      <c r="L74" s="30">
        <f t="shared" si="22"/>
        <v>96</v>
      </c>
      <c r="M74" s="30">
        <f t="shared" si="22"/>
        <v>86.5</v>
      </c>
      <c r="N74" s="30">
        <f t="shared" si="22"/>
        <v>55</v>
      </c>
      <c r="O74" s="30">
        <f t="shared" si="22"/>
        <v>80.5</v>
      </c>
      <c r="P74" s="30">
        <f t="shared" si="22"/>
        <v>734</v>
      </c>
      <c r="Q74" s="30">
        <f t="shared" si="22"/>
        <v>73.400000000000006</v>
      </c>
      <c r="R74" s="30">
        <f>'12B Sem avr (NS) '!$H$26</f>
        <v>22</v>
      </c>
      <c r="S74" s="45">
        <f>AVERAGE(S72:S73)</f>
        <v>0</v>
      </c>
      <c r="T74" s="45">
        <f>AVERAGE(T72:T73)</f>
        <v>0</v>
      </c>
      <c r="U74" s="6"/>
      <c r="V74" s="6"/>
      <c r="W74" s="6"/>
      <c r="X74" s="6"/>
      <c r="Y74" s="6"/>
    </row>
    <row r="75" spans="1:25" ht="18.75" customHeight="1" thickBot="1" x14ac:dyDescent="0.3">
      <c r="A75" s="246">
        <v>24</v>
      </c>
      <c r="B75" s="247"/>
      <c r="C75" s="247">
        <v>17</v>
      </c>
      <c r="D75" s="248" t="s">
        <v>23</v>
      </c>
      <c r="E75" s="29" t="s">
        <v>21</v>
      </c>
      <c r="F75" s="30">
        <f>'12B Sem 1'!E27</f>
        <v>85</v>
      </c>
      <c r="G75" s="30">
        <f>'12B Sem 1'!F27</f>
        <v>74</v>
      </c>
      <c r="H75" s="31">
        <f>'12B Sem 1'!G27</f>
        <v>50</v>
      </c>
      <c r="I75" s="31">
        <f>'12B Sem 1'!H27</f>
        <v>68</v>
      </c>
      <c r="J75" s="30">
        <f>'12B Sem 1'!I27</f>
        <v>77</v>
      </c>
      <c r="K75" s="31">
        <f>'12B Sem 1'!J27</f>
        <v>72</v>
      </c>
      <c r="L75" s="30">
        <f>'12B Sem 1'!K27</f>
        <v>90</v>
      </c>
      <c r="M75" s="30">
        <f>'12B Sem 1'!L27</f>
        <v>80</v>
      </c>
      <c r="N75" s="30">
        <f>'12B Sem 1'!M27</f>
        <v>63</v>
      </c>
      <c r="O75" s="30">
        <f>'12B Sem 1'!N27</f>
        <v>59</v>
      </c>
      <c r="P75" s="30">
        <f>'12B Sem 1'!O27</f>
        <v>718</v>
      </c>
      <c r="Q75" s="30">
        <f>'12B Sem 1'!P27</f>
        <v>71.8</v>
      </c>
      <c r="R75" s="30">
        <f>'12B Sem 1'!Q27</f>
        <v>19</v>
      </c>
      <c r="S75" s="45">
        <f>'12B Sem 1'!R27</f>
        <v>0</v>
      </c>
      <c r="T75" s="45">
        <f>'12B Sem 1'!S27</f>
        <v>0</v>
      </c>
      <c r="U75" s="6"/>
      <c r="V75" s="6"/>
      <c r="W75" s="6"/>
      <c r="X75" s="6"/>
      <c r="Y75" s="6"/>
    </row>
    <row r="76" spans="1:25" ht="18.75" customHeight="1" thickBot="1" x14ac:dyDescent="0.3">
      <c r="A76" s="246"/>
      <c r="B76" s="247"/>
      <c r="C76" s="247">
        <v>17</v>
      </c>
      <c r="D76" s="248" t="s">
        <v>23</v>
      </c>
      <c r="E76" s="29" t="s">
        <v>22</v>
      </c>
      <c r="F76" s="30">
        <f>'12B (NS)Sem 2'!E27</f>
        <v>83</v>
      </c>
      <c r="G76" s="30">
        <f>'12B (NS)Sem 2'!F27</f>
        <v>79</v>
      </c>
      <c r="H76" s="31">
        <f>'12B (NS)Sem 2'!G27</f>
        <v>60</v>
      </c>
      <c r="I76" s="31">
        <f>'12B (NS)Sem 2'!H27</f>
        <v>68</v>
      </c>
      <c r="J76" s="30">
        <f>'12B (NS)Sem 2'!I27</f>
        <v>86</v>
      </c>
      <c r="K76" s="31">
        <f>'12B (NS)Sem 2'!J27</f>
        <v>75</v>
      </c>
      <c r="L76" s="30">
        <f>'12B (NS)Sem 2'!K27</f>
        <v>94</v>
      </c>
      <c r="M76" s="30">
        <f>'12B (NS)Sem 2'!L27</f>
        <v>90</v>
      </c>
      <c r="N76" s="30">
        <f>'12B (NS)Sem 2'!M27</f>
        <v>68</v>
      </c>
      <c r="O76" s="30">
        <f>'12B (NS)Sem 2'!N27</f>
        <v>71</v>
      </c>
      <c r="P76" s="30">
        <f>'12B (NS)Sem 2'!O27</f>
        <v>774</v>
      </c>
      <c r="Q76" s="30">
        <f>'12B (NS)Sem 2'!P27</f>
        <v>77.400000000000006</v>
      </c>
      <c r="R76" s="30">
        <f>'12B (NS)Sem 2'!Q27</f>
        <v>20</v>
      </c>
      <c r="S76" s="45">
        <f>'12B (NS)Sem 2'!R27</f>
        <v>0</v>
      </c>
      <c r="T76" s="45">
        <f>'12B (NS)Sem 2'!S27</f>
        <v>0</v>
      </c>
      <c r="U76" s="6"/>
      <c r="V76" s="6"/>
      <c r="W76" s="6"/>
      <c r="X76" s="6"/>
      <c r="Y76" s="6"/>
    </row>
    <row r="77" spans="1:25" ht="18.75" customHeight="1" thickBot="1" x14ac:dyDescent="0.3">
      <c r="A77" s="246"/>
      <c r="B77" s="247"/>
      <c r="C77" s="247">
        <v>17</v>
      </c>
      <c r="D77" s="248" t="s">
        <v>23</v>
      </c>
      <c r="E77" s="29" t="s">
        <v>16</v>
      </c>
      <c r="F77" s="30">
        <f>AVERAGE(F75:F76)</f>
        <v>84</v>
      </c>
      <c r="G77" s="30">
        <f t="shared" ref="G77:Q77" si="23">AVERAGE(G75:G76)</f>
        <v>76.5</v>
      </c>
      <c r="H77" s="30">
        <f t="shared" si="23"/>
        <v>55</v>
      </c>
      <c r="I77" s="30">
        <f t="shared" si="23"/>
        <v>68</v>
      </c>
      <c r="J77" s="30">
        <f t="shared" si="23"/>
        <v>81.5</v>
      </c>
      <c r="K77" s="30">
        <f t="shared" si="23"/>
        <v>73.5</v>
      </c>
      <c r="L77" s="30">
        <f t="shared" si="23"/>
        <v>92</v>
      </c>
      <c r="M77" s="30">
        <f t="shared" si="23"/>
        <v>85</v>
      </c>
      <c r="N77" s="30">
        <f t="shared" si="23"/>
        <v>65.5</v>
      </c>
      <c r="O77" s="30">
        <f t="shared" si="23"/>
        <v>65</v>
      </c>
      <c r="P77" s="30">
        <f t="shared" si="23"/>
        <v>746</v>
      </c>
      <c r="Q77" s="30">
        <f t="shared" si="23"/>
        <v>74.599999999999994</v>
      </c>
      <c r="R77" s="30">
        <f>'12B Sem avr (NS) '!$H$27</f>
        <v>20</v>
      </c>
      <c r="S77" s="45">
        <f>AVERAGE(S75:S76)</f>
        <v>0</v>
      </c>
      <c r="T77" s="45">
        <f>AVERAGE(T75:T76)</f>
        <v>0</v>
      </c>
      <c r="U77" s="6"/>
      <c r="V77" s="6"/>
      <c r="W77" s="6"/>
      <c r="X77" s="6"/>
      <c r="Y77" s="6"/>
    </row>
    <row r="78" spans="1:25" ht="18.75" customHeight="1" thickBot="1" x14ac:dyDescent="0.3">
      <c r="A78" s="252">
        <v>25</v>
      </c>
      <c r="B78" s="247"/>
      <c r="C78" s="247">
        <v>17</v>
      </c>
      <c r="D78" s="248" t="s">
        <v>23</v>
      </c>
      <c r="E78" s="29" t="s">
        <v>21</v>
      </c>
      <c r="F78" s="30">
        <f>'12B Sem 1'!E28</f>
        <v>70</v>
      </c>
      <c r="G78" s="31">
        <f>'12B Sem 1'!F28</f>
        <v>72</v>
      </c>
      <c r="H78" s="31">
        <f>'12B Sem 1'!G28</f>
        <v>46</v>
      </c>
      <c r="I78" s="30">
        <f>'12B Sem 1'!H28</f>
        <v>57</v>
      </c>
      <c r="J78" s="31">
        <f>'12B Sem 1'!I28</f>
        <v>53</v>
      </c>
      <c r="K78" s="30">
        <f>'12B Sem 1'!J28</f>
        <v>56</v>
      </c>
      <c r="L78" s="30">
        <f>'12B Sem 1'!K28</f>
        <v>80</v>
      </c>
      <c r="M78" s="30">
        <f>'12B Sem 1'!L28</f>
        <v>80</v>
      </c>
      <c r="N78" s="30">
        <f>'12B Sem 1'!M28</f>
        <v>47</v>
      </c>
      <c r="O78" s="30">
        <f>'12B Sem 1'!N28</f>
        <v>61</v>
      </c>
      <c r="P78" s="30">
        <f>'12B Sem 1'!O28</f>
        <v>622</v>
      </c>
      <c r="Q78" s="30">
        <f>'12B Sem 1'!P28</f>
        <v>62.2</v>
      </c>
      <c r="R78" s="30">
        <f>'12B Sem 1'!Q28</f>
        <v>31</v>
      </c>
      <c r="S78" s="45">
        <f>'12B Sem 1'!R28</f>
        <v>0</v>
      </c>
      <c r="T78" s="45">
        <f>'12B Sem 1'!S28</f>
        <v>0</v>
      </c>
      <c r="U78" s="6"/>
      <c r="V78" s="6"/>
      <c r="W78" s="6"/>
      <c r="X78" s="6"/>
      <c r="Y78" s="6"/>
    </row>
    <row r="79" spans="1:25" ht="18.75" customHeight="1" thickBot="1" x14ac:dyDescent="0.3">
      <c r="A79" s="252"/>
      <c r="B79" s="247"/>
      <c r="C79" s="247">
        <v>17</v>
      </c>
      <c r="D79" s="248" t="s">
        <v>23</v>
      </c>
      <c r="E79" s="29" t="s">
        <v>22</v>
      </c>
      <c r="F79" s="30">
        <f>'12B (NS)Sem 2'!E28</f>
        <v>82</v>
      </c>
      <c r="G79" s="31">
        <f>'12B (NS)Sem 2'!F28</f>
        <v>68</v>
      </c>
      <c r="H79" s="31">
        <f>'12B (NS)Sem 2'!G28</f>
        <v>63</v>
      </c>
      <c r="I79" s="30">
        <f>'12B (NS)Sem 2'!H28</f>
        <v>66</v>
      </c>
      <c r="J79" s="31">
        <f>'12B (NS)Sem 2'!I28</f>
        <v>68</v>
      </c>
      <c r="K79" s="30">
        <f>'12B (NS)Sem 2'!J28</f>
        <v>57</v>
      </c>
      <c r="L79" s="30">
        <f>'12B (NS)Sem 2'!K28</f>
        <v>94</v>
      </c>
      <c r="M79" s="30">
        <f>'12B (NS)Sem 2'!L28</f>
        <v>90</v>
      </c>
      <c r="N79" s="30">
        <f>'12B (NS)Sem 2'!M28</f>
        <v>54</v>
      </c>
      <c r="O79" s="30">
        <f>'12B (NS)Sem 2'!N28</f>
        <v>72</v>
      </c>
      <c r="P79" s="30">
        <f>'12B (NS)Sem 2'!O28</f>
        <v>714</v>
      </c>
      <c r="Q79" s="30">
        <f>'12B (NS)Sem 2'!P28</f>
        <v>71.400000000000006</v>
      </c>
      <c r="R79" s="30">
        <f>'12B (NS)Sem 2'!Q28</f>
        <v>33</v>
      </c>
      <c r="S79" s="45">
        <f>'12B (NS)Sem 2'!R28</f>
        <v>0</v>
      </c>
      <c r="T79" s="45">
        <f>'12B (NS)Sem 2'!S28</f>
        <v>0</v>
      </c>
      <c r="U79" s="6"/>
      <c r="V79" s="6"/>
      <c r="W79" s="6"/>
      <c r="X79" s="6"/>
      <c r="Y79" s="6"/>
    </row>
    <row r="80" spans="1:25" ht="18.75" customHeight="1" thickBot="1" x14ac:dyDescent="0.3">
      <c r="A80" s="252"/>
      <c r="B80" s="247"/>
      <c r="C80" s="247">
        <v>17</v>
      </c>
      <c r="D80" s="248" t="s">
        <v>23</v>
      </c>
      <c r="E80" s="29" t="s">
        <v>16</v>
      </c>
      <c r="F80" s="30">
        <f>AVERAGE(F78:F79)</f>
        <v>76</v>
      </c>
      <c r="G80" s="30">
        <f t="shared" ref="G80:Q80" si="24">AVERAGE(G78:G79)</f>
        <v>70</v>
      </c>
      <c r="H80" s="30">
        <f t="shared" si="24"/>
        <v>54.5</v>
      </c>
      <c r="I80" s="30">
        <f t="shared" si="24"/>
        <v>61.5</v>
      </c>
      <c r="J80" s="30">
        <f t="shared" si="24"/>
        <v>60.5</v>
      </c>
      <c r="K80" s="30">
        <f t="shared" si="24"/>
        <v>56.5</v>
      </c>
      <c r="L80" s="30">
        <f t="shared" si="24"/>
        <v>87</v>
      </c>
      <c r="M80" s="30">
        <f t="shared" si="24"/>
        <v>85</v>
      </c>
      <c r="N80" s="30">
        <f t="shared" si="24"/>
        <v>50.5</v>
      </c>
      <c r="O80" s="30">
        <f t="shared" si="24"/>
        <v>66.5</v>
      </c>
      <c r="P80" s="30">
        <f t="shared" si="24"/>
        <v>668</v>
      </c>
      <c r="Q80" s="30">
        <f t="shared" si="24"/>
        <v>66.800000000000011</v>
      </c>
      <c r="R80" s="30">
        <f>'12B Sem avr (NS) '!$H$28</f>
        <v>32</v>
      </c>
      <c r="S80" s="45">
        <f>AVERAGE(S78:S79)</f>
        <v>0</v>
      </c>
      <c r="T80" s="45">
        <f>AVERAGE(T78:T79)</f>
        <v>0</v>
      </c>
      <c r="U80" s="6"/>
      <c r="V80" s="6"/>
      <c r="W80" s="6"/>
      <c r="X80" s="6"/>
      <c r="Y80" s="6"/>
    </row>
    <row r="81" spans="1:26" ht="18.75" customHeight="1" thickBot="1" x14ac:dyDescent="0.3">
      <c r="A81" s="246">
        <v>26</v>
      </c>
      <c r="B81" s="247"/>
      <c r="C81" s="253">
        <v>16</v>
      </c>
      <c r="D81" s="254" t="s">
        <v>23</v>
      </c>
      <c r="E81" s="29" t="s">
        <v>21</v>
      </c>
      <c r="F81" s="30">
        <f>'12B Sem 1'!E29</f>
        <v>83</v>
      </c>
      <c r="G81" s="30">
        <f>'12B Sem 1'!F29</f>
        <v>89</v>
      </c>
      <c r="H81" s="30">
        <f>'12B Sem 1'!G29</f>
        <v>48</v>
      </c>
      <c r="I81" s="30">
        <f>'12B Sem 1'!H29</f>
        <v>75</v>
      </c>
      <c r="J81" s="30">
        <f>'12B Sem 1'!I29</f>
        <v>67</v>
      </c>
      <c r="K81" s="30">
        <f>'12B Sem 1'!J29</f>
        <v>75</v>
      </c>
      <c r="L81" s="30">
        <f>'12B Sem 1'!K29</f>
        <v>94</v>
      </c>
      <c r="M81" s="30">
        <f>'12B Sem 1'!L29</f>
        <v>92</v>
      </c>
      <c r="N81" s="30">
        <f>'12B Sem 1'!M29</f>
        <v>78</v>
      </c>
      <c r="O81" s="30">
        <f>'12B Sem 1'!N29</f>
        <v>82</v>
      </c>
      <c r="P81" s="30">
        <f>'12B Sem 1'!O29</f>
        <v>783</v>
      </c>
      <c r="Q81" s="30">
        <f>'12B Sem 1'!P29</f>
        <v>78.3</v>
      </c>
      <c r="R81" s="30">
        <f>'12B Sem 1'!Q29</f>
        <v>13</v>
      </c>
      <c r="S81" s="45">
        <f>'12B Sem 1'!R29</f>
        <v>0</v>
      </c>
      <c r="T81" s="45">
        <f>'12B Sem 1'!S29</f>
        <v>0</v>
      </c>
      <c r="U81" s="6"/>
      <c r="V81" s="6"/>
      <c r="W81" s="6"/>
      <c r="X81" s="6"/>
      <c r="Y81" s="6"/>
    </row>
    <row r="82" spans="1:26" ht="18.75" customHeight="1" thickBot="1" x14ac:dyDescent="0.3">
      <c r="A82" s="246"/>
      <c r="B82" s="247"/>
      <c r="C82" s="253">
        <v>16</v>
      </c>
      <c r="D82" s="254" t="s">
        <v>23</v>
      </c>
      <c r="E82" s="29" t="s">
        <v>22</v>
      </c>
      <c r="F82" s="30">
        <f>'12B (NS)Sem 2'!E29</f>
        <v>83</v>
      </c>
      <c r="G82" s="30">
        <f>'12B (NS)Sem 2'!F29</f>
        <v>84</v>
      </c>
      <c r="H82" s="30">
        <f>'12B (NS)Sem 2'!G29</f>
        <v>60</v>
      </c>
      <c r="I82" s="30">
        <f>'12B (NS)Sem 2'!H29</f>
        <v>78</v>
      </c>
      <c r="J82" s="30">
        <f>'12B (NS)Sem 2'!I29</f>
        <v>78</v>
      </c>
      <c r="K82" s="30">
        <f>'12B (NS)Sem 2'!J29</f>
        <v>72</v>
      </c>
      <c r="L82" s="30">
        <f>'12B (NS)Sem 2'!K29</f>
        <v>96</v>
      </c>
      <c r="M82" s="30">
        <f>'12B (NS)Sem 2'!L29</f>
        <v>96</v>
      </c>
      <c r="N82" s="30">
        <f>'12B (NS)Sem 2'!M29</f>
        <v>83</v>
      </c>
      <c r="O82" s="30">
        <f>'12B (NS)Sem 2'!N29</f>
        <v>88</v>
      </c>
      <c r="P82" s="30">
        <f>'12B (NS)Sem 2'!O29</f>
        <v>818</v>
      </c>
      <c r="Q82" s="30">
        <f>'12B (NS)Sem 2'!P29</f>
        <v>81.8</v>
      </c>
      <c r="R82" s="30">
        <f>'12B (NS)Sem 2'!Q29</f>
        <v>14</v>
      </c>
      <c r="S82" s="45">
        <f>'12B (NS)Sem 2'!R29</f>
        <v>0</v>
      </c>
      <c r="T82" s="45">
        <f>'12B (NS)Sem 2'!S29</f>
        <v>0</v>
      </c>
      <c r="U82" s="6"/>
      <c r="V82" s="6"/>
      <c r="W82" s="6"/>
      <c r="X82" s="6"/>
      <c r="Y82" s="6"/>
    </row>
    <row r="83" spans="1:26" ht="18.75" customHeight="1" thickBot="1" x14ac:dyDescent="0.3">
      <c r="A83" s="246"/>
      <c r="B83" s="250"/>
      <c r="C83" s="266">
        <v>16</v>
      </c>
      <c r="D83" s="354" t="s">
        <v>23</v>
      </c>
      <c r="E83" s="108" t="s">
        <v>16</v>
      </c>
      <c r="F83" s="109">
        <f>AVERAGE(F81:F82)</f>
        <v>83</v>
      </c>
      <c r="G83" s="109">
        <f t="shared" ref="G83:Q83" si="25">AVERAGE(G81:G82)</f>
        <v>86.5</v>
      </c>
      <c r="H83" s="109">
        <f t="shared" si="25"/>
        <v>54</v>
      </c>
      <c r="I83" s="109">
        <f t="shared" si="25"/>
        <v>76.5</v>
      </c>
      <c r="J83" s="109">
        <f t="shared" si="25"/>
        <v>72.5</v>
      </c>
      <c r="K83" s="109">
        <f t="shared" si="25"/>
        <v>73.5</v>
      </c>
      <c r="L83" s="109">
        <f t="shared" si="25"/>
        <v>95</v>
      </c>
      <c r="M83" s="109">
        <f t="shared" si="25"/>
        <v>94</v>
      </c>
      <c r="N83" s="109">
        <f t="shared" si="25"/>
        <v>80.5</v>
      </c>
      <c r="O83" s="109">
        <f t="shared" si="25"/>
        <v>85</v>
      </c>
      <c r="P83" s="109">
        <f t="shared" si="25"/>
        <v>800.5</v>
      </c>
      <c r="Q83" s="109">
        <f t="shared" si="25"/>
        <v>80.05</v>
      </c>
      <c r="R83" s="109">
        <f>'12B Sem avr (NS) '!$H$29</f>
        <v>13</v>
      </c>
      <c r="S83" s="110">
        <f>AVERAGE(S81:S82)</f>
        <v>0</v>
      </c>
      <c r="T83" s="45">
        <f>AVERAGE(T81:T82)</f>
        <v>0</v>
      </c>
      <c r="U83" s="6"/>
      <c r="V83" s="6"/>
      <c r="W83" s="6"/>
      <c r="X83" s="6"/>
      <c r="Y83" s="6"/>
    </row>
    <row r="84" spans="1:26" ht="18.75" customHeight="1" thickBot="1" x14ac:dyDescent="0.3">
      <c r="A84" s="353">
        <v>27</v>
      </c>
      <c r="B84" s="247"/>
      <c r="C84" s="247">
        <v>16</v>
      </c>
      <c r="D84" s="248" t="s">
        <v>23</v>
      </c>
      <c r="E84" s="29" t="s">
        <v>21</v>
      </c>
      <c r="F84" s="15">
        <f>'12B Sem 1'!E30</f>
        <v>77</v>
      </c>
      <c r="G84" s="15">
        <f>'12B Sem 1'!F30</f>
        <v>78</v>
      </c>
      <c r="H84" s="15">
        <f>'12B Sem 1'!G30</f>
        <v>52</v>
      </c>
      <c r="I84" s="15">
        <f>'12B Sem 1'!H30</f>
        <v>68</v>
      </c>
      <c r="J84" s="15">
        <f>'12B Sem 1'!I30</f>
        <v>60</v>
      </c>
      <c r="K84" s="15">
        <f>'12B Sem 1'!J30</f>
        <v>66</v>
      </c>
      <c r="L84" s="15">
        <f>'12B Sem 1'!K30</f>
        <v>94</v>
      </c>
      <c r="M84" s="15">
        <f>'12B Sem 1'!L30</f>
        <v>80</v>
      </c>
      <c r="N84" s="15">
        <f>'12B Sem 1'!M30</f>
        <v>60</v>
      </c>
      <c r="O84" s="15">
        <f>'12B Sem 1'!N30</f>
        <v>73</v>
      </c>
      <c r="P84" s="15">
        <f>'12B Sem 1'!O30</f>
        <v>708</v>
      </c>
      <c r="Q84" s="15">
        <f>'12B Sem 1'!P30</f>
        <v>70.8</v>
      </c>
      <c r="R84" s="15">
        <f>'12B Sem 1'!Q30</f>
        <v>20</v>
      </c>
      <c r="S84" s="15">
        <f>'12B Sem 1'!R30</f>
        <v>0</v>
      </c>
      <c r="T84" s="38">
        <f>'12B Sem 1'!S30</f>
        <v>0</v>
      </c>
      <c r="U84" s="6"/>
      <c r="V84" s="6"/>
      <c r="W84" s="6"/>
      <c r="X84" s="6"/>
      <c r="Y84" s="6"/>
    </row>
    <row r="85" spans="1:26" ht="18.75" customHeight="1" thickBot="1" x14ac:dyDescent="0.3">
      <c r="A85" s="353"/>
      <c r="B85" s="247"/>
      <c r="C85" s="247">
        <v>16</v>
      </c>
      <c r="D85" s="248" t="s">
        <v>23</v>
      </c>
      <c r="E85" s="29" t="s">
        <v>22</v>
      </c>
      <c r="F85" s="15">
        <f>'12B (NS)Sem 2'!E30</f>
        <v>85</v>
      </c>
      <c r="G85" s="15">
        <f>'12B (NS)Sem 2'!F30</f>
        <v>80</v>
      </c>
      <c r="H85" s="15">
        <f>'12B (NS)Sem 2'!G30</f>
        <v>68</v>
      </c>
      <c r="I85" s="15">
        <f>'12B (NS)Sem 2'!H30</f>
        <v>74</v>
      </c>
      <c r="J85" s="15">
        <f>'12B (NS)Sem 2'!I30</f>
        <v>82</v>
      </c>
      <c r="K85" s="15">
        <f>'12B (NS)Sem 2'!J30</f>
        <v>70</v>
      </c>
      <c r="L85" s="15">
        <f>'12B (NS)Sem 2'!K30</f>
        <v>96</v>
      </c>
      <c r="M85" s="15">
        <f>'12B (NS)Sem 2'!L30</f>
        <v>90</v>
      </c>
      <c r="N85" s="15">
        <f>'12B (NS)Sem 2'!M30</f>
        <v>65</v>
      </c>
      <c r="O85" s="15">
        <f>'12B (NS)Sem 2'!N30</f>
        <v>88</v>
      </c>
      <c r="P85" s="15">
        <f>'12B (NS)Sem 2'!O30</f>
        <v>798</v>
      </c>
      <c r="Q85" s="15">
        <f>'12B (NS)Sem 2'!P30</f>
        <v>79.8</v>
      </c>
      <c r="R85" s="15">
        <f>'12B (NS)Sem 2'!Q30</f>
        <v>18</v>
      </c>
      <c r="S85" s="15">
        <f>'12B (NS)Sem 2'!R30</f>
        <v>0</v>
      </c>
      <c r="T85" s="38">
        <f>'12B (NS)Sem 2'!S30</f>
        <v>0</v>
      </c>
      <c r="U85" s="6"/>
      <c r="V85" s="6"/>
      <c r="W85" s="6"/>
      <c r="X85" s="6"/>
      <c r="Y85" s="6"/>
    </row>
    <row r="86" spans="1:26" ht="18.75" customHeight="1" thickBot="1" x14ac:dyDescent="0.3">
      <c r="A86" s="353"/>
      <c r="B86" s="247"/>
      <c r="C86" s="247">
        <v>16</v>
      </c>
      <c r="D86" s="248" t="s">
        <v>23</v>
      </c>
      <c r="E86" s="108" t="s">
        <v>16</v>
      </c>
      <c r="F86" s="15">
        <f>AVERAGE(F84:F85)</f>
        <v>81</v>
      </c>
      <c r="G86" s="15">
        <f t="shared" ref="G86:Q86" si="26">AVERAGE(G84:G85)</f>
        <v>79</v>
      </c>
      <c r="H86" s="15">
        <f t="shared" si="26"/>
        <v>60</v>
      </c>
      <c r="I86" s="15">
        <f t="shared" si="26"/>
        <v>71</v>
      </c>
      <c r="J86" s="15">
        <f t="shared" si="26"/>
        <v>71</v>
      </c>
      <c r="K86" s="15">
        <f t="shared" si="26"/>
        <v>68</v>
      </c>
      <c r="L86" s="15">
        <f t="shared" si="26"/>
        <v>95</v>
      </c>
      <c r="M86" s="15">
        <f t="shared" si="26"/>
        <v>85</v>
      </c>
      <c r="N86" s="15">
        <f t="shared" si="26"/>
        <v>62.5</v>
      </c>
      <c r="O86" s="15">
        <f t="shared" si="26"/>
        <v>80.5</v>
      </c>
      <c r="P86" s="15">
        <f t="shared" si="26"/>
        <v>753</v>
      </c>
      <c r="Q86" s="15">
        <f t="shared" si="26"/>
        <v>75.3</v>
      </c>
      <c r="R86" s="15">
        <f>'12B Sem avr (NS) '!$H$30</f>
        <v>19</v>
      </c>
      <c r="S86" s="15">
        <f>AVERAGE(S84:S85)</f>
        <v>0</v>
      </c>
      <c r="T86" s="38">
        <f>AVERAGE(T84:T85)</f>
        <v>0</v>
      </c>
      <c r="U86" s="6"/>
      <c r="V86" s="6"/>
      <c r="W86" s="6"/>
      <c r="X86" s="6"/>
      <c r="Y86" s="6"/>
    </row>
    <row r="87" spans="1:26" ht="18.75" customHeight="1" thickBot="1" x14ac:dyDescent="0.3">
      <c r="A87" s="286">
        <v>28</v>
      </c>
      <c r="B87" s="247"/>
      <c r="C87" s="247">
        <v>18</v>
      </c>
      <c r="D87" s="248" t="s">
        <v>23</v>
      </c>
      <c r="E87" s="29" t="s">
        <v>21</v>
      </c>
      <c r="F87" s="15">
        <f>'12B Sem 1'!E31</f>
        <v>78</v>
      </c>
      <c r="G87" s="15">
        <f>'12B Sem 1'!F31</f>
        <v>87</v>
      </c>
      <c r="H87" s="15">
        <f>'12B Sem 1'!G31</f>
        <v>50</v>
      </c>
      <c r="I87" s="15">
        <f>'12B Sem 1'!H31</f>
        <v>68</v>
      </c>
      <c r="J87" s="15">
        <f>'12B Sem 1'!I31</f>
        <v>59</v>
      </c>
      <c r="K87" s="15">
        <f>'12B Sem 1'!J31</f>
        <v>70</v>
      </c>
      <c r="L87" s="15">
        <f>'12B Sem 1'!K31</f>
        <v>86</v>
      </c>
      <c r="M87" s="15">
        <f>'12B Sem 1'!L31</f>
        <v>87</v>
      </c>
      <c r="N87" s="15">
        <f>'12B Sem 1'!M31</f>
        <v>71</v>
      </c>
      <c r="O87" s="15">
        <f>'12B Sem 1'!N31</f>
        <v>82</v>
      </c>
      <c r="P87" s="15">
        <f>'12B Sem 1'!O31</f>
        <v>738</v>
      </c>
      <c r="Q87" s="15">
        <f>'12B Sem 1'!P31</f>
        <v>73.8</v>
      </c>
      <c r="R87" s="15">
        <f>'12B Sem 1'!Q31</f>
        <v>16</v>
      </c>
      <c r="S87" s="15">
        <f>'12B Sem 1'!R31</f>
        <v>0</v>
      </c>
      <c r="T87" s="38">
        <f>'12B Sem 1'!S31</f>
        <v>0</v>
      </c>
      <c r="U87" s="6"/>
      <c r="V87" s="6"/>
      <c r="W87" s="6"/>
      <c r="X87" s="6"/>
      <c r="Y87" s="6"/>
    </row>
    <row r="88" spans="1:26" ht="18.75" customHeight="1" thickBot="1" x14ac:dyDescent="0.3">
      <c r="A88" s="286"/>
      <c r="B88" s="247"/>
      <c r="C88" s="247">
        <v>18</v>
      </c>
      <c r="D88" s="248" t="s">
        <v>23</v>
      </c>
      <c r="E88" s="29" t="s">
        <v>22</v>
      </c>
      <c r="F88" s="15">
        <f>'12B (NS)Sem 2'!E31</f>
        <v>82</v>
      </c>
      <c r="G88" s="15">
        <f>'12B (NS)Sem 2'!F31</f>
        <v>85</v>
      </c>
      <c r="H88" s="15">
        <f>'12B (NS)Sem 2'!G31</f>
        <v>56</v>
      </c>
      <c r="I88" s="15">
        <f>'12B (NS)Sem 2'!H31</f>
        <v>76</v>
      </c>
      <c r="J88" s="15">
        <f>'12B (NS)Sem 2'!I31</f>
        <v>80</v>
      </c>
      <c r="K88" s="15">
        <f>'12B (NS)Sem 2'!J31</f>
        <v>85</v>
      </c>
      <c r="L88" s="15">
        <f>'12B (NS)Sem 2'!K31</f>
        <v>89</v>
      </c>
      <c r="M88" s="15">
        <f>'12B (NS)Sem 2'!L31</f>
        <v>92</v>
      </c>
      <c r="N88" s="15">
        <f>'12B (NS)Sem 2'!M31</f>
        <v>76</v>
      </c>
      <c r="O88" s="15">
        <f>'12B (NS)Sem 2'!N31</f>
        <v>82</v>
      </c>
      <c r="P88" s="15">
        <f>'12B (NS)Sem 2'!O31</f>
        <v>803</v>
      </c>
      <c r="Q88" s="15">
        <f>'12B (NS)Sem 2'!P31</f>
        <v>80.3</v>
      </c>
      <c r="R88" s="15">
        <f>'12B (NS)Sem 2'!Q31</f>
        <v>16</v>
      </c>
      <c r="S88" s="15">
        <f>'12B (NS)Sem 2'!R31</f>
        <v>0</v>
      </c>
      <c r="T88" s="38">
        <f>'12B (NS)Sem 2'!S31</f>
        <v>0</v>
      </c>
      <c r="U88" s="6"/>
      <c r="V88" s="6"/>
      <c r="W88" s="6"/>
      <c r="X88" s="6"/>
      <c r="Y88" s="6"/>
    </row>
    <row r="89" spans="1:26" ht="18.75" customHeight="1" thickBot="1" x14ac:dyDescent="0.3">
      <c r="A89" s="286"/>
      <c r="B89" s="247"/>
      <c r="C89" s="247">
        <v>18</v>
      </c>
      <c r="D89" s="248" t="s">
        <v>23</v>
      </c>
      <c r="E89" s="108" t="s">
        <v>16</v>
      </c>
      <c r="F89" s="15">
        <f>AVERAGE(F87:F88)</f>
        <v>80</v>
      </c>
      <c r="G89" s="15">
        <f t="shared" ref="G89:Q89" si="27">AVERAGE(G87:G88)</f>
        <v>86</v>
      </c>
      <c r="H89" s="15">
        <f t="shared" si="27"/>
        <v>53</v>
      </c>
      <c r="I89" s="15">
        <f t="shared" si="27"/>
        <v>72</v>
      </c>
      <c r="J89" s="15">
        <f t="shared" si="27"/>
        <v>69.5</v>
      </c>
      <c r="K89" s="15">
        <f t="shared" si="27"/>
        <v>77.5</v>
      </c>
      <c r="L89" s="15">
        <f t="shared" si="27"/>
        <v>87.5</v>
      </c>
      <c r="M89" s="15">
        <f t="shared" si="27"/>
        <v>89.5</v>
      </c>
      <c r="N89" s="15">
        <f t="shared" si="27"/>
        <v>73.5</v>
      </c>
      <c r="O89" s="15">
        <f t="shared" si="27"/>
        <v>82</v>
      </c>
      <c r="P89" s="15">
        <f t="shared" si="27"/>
        <v>770.5</v>
      </c>
      <c r="Q89" s="15">
        <f t="shared" si="27"/>
        <v>77.05</v>
      </c>
      <c r="R89" s="15">
        <f>'12B Sem avr (NS) '!$H$31</f>
        <v>16</v>
      </c>
      <c r="S89" s="15">
        <f>AVERAGE(S87:S88)</f>
        <v>0</v>
      </c>
      <c r="T89" s="38">
        <f>AVERAGE(T87:T88)</f>
        <v>0</v>
      </c>
      <c r="U89" s="6"/>
      <c r="V89" s="6"/>
      <c r="W89" s="6"/>
      <c r="X89" s="6"/>
      <c r="Y89" s="6"/>
    </row>
    <row r="90" spans="1:26" ht="18.75" customHeight="1" thickBot="1" x14ac:dyDescent="0.3">
      <c r="A90" s="353">
        <v>29</v>
      </c>
      <c r="B90" s="247"/>
      <c r="C90" s="247">
        <v>17</v>
      </c>
      <c r="D90" s="248" t="s">
        <v>20</v>
      </c>
      <c r="E90" s="29" t="s">
        <v>21</v>
      </c>
      <c r="F90" s="15">
        <f>'12B Sem 1'!E32</f>
        <v>77</v>
      </c>
      <c r="G90" s="15">
        <f>'12B Sem 1'!F32</f>
        <v>87</v>
      </c>
      <c r="H90" s="15">
        <f>'12B Sem 1'!G32</f>
        <v>51</v>
      </c>
      <c r="I90" s="15">
        <f>'12B Sem 1'!H32</f>
        <v>69</v>
      </c>
      <c r="J90" s="15">
        <f>'12B Sem 1'!I32</f>
        <v>76</v>
      </c>
      <c r="K90" s="15">
        <f>'12B Sem 1'!J32</f>
        <v>84</v>
      </c>
      <c r="L90" s="15">
        <f>'12B Sem 1'!K32</f>
        <v>95</v>
      </c>
      <c r="M90" s="15">
        <f>'12B Sem 1'!L32</f>
        <v>89</v>
      </c>
      <c r="N90" s="15">
        <f>'12B Sem 1'!M32</f>
        <v>82</v>
      </c>
      <c r="O90" s="15">
        <f>'12B Sem 1'!N32</f>
        <v>75</v>
      </c>
      <c r="P90" s="15">
        <f>'12B Sem 1'!O32</f>
        <v>785</v>
      </c>
      <c r="Q90" s="15">
        <f>'12B Sem 1'!P32</f>
        <v>78.5</v>
      </c>
      <c r="R90" s="15">
        <f>'12B Sem 1'!Q32</f>
        <v>12</v>
      </c>
      <c r="S90" s="15">
        <f>'12B Sem 1'!R32</f>
        <v>0</v>
      </c>
      <c r="T90" s="38">
        <f>'12B Sem 1'!S32</f>
        <v>0</v>
      </c>
      <c r="V90" s="6"/>
      <c r="W90" s="6"/>
      <c r="X90" s="6"/>
      <c r="Y90" s="6"/>
      <c r="Z90" s="6"/>
    </row>
    <row r="91" spans="1:26" ht="18.75" customHeight="1" thickBot="1" x14ac:dyDescent="0.3">
      <c r="A91" s="353"/>
      <c r="B91" s="247"/>
      <c r="C91" s="247">
        <v>17</v>
      </c>
      <c r="D91" s="248" t="s">
        <v>20</v>
      </c>
      <c r="E91" s="29" t="s">
        <v>22</v>
      </c>
      <c r="F91" s="15">
        <f>'12B (NS)Sem 2'!E32</f>
        <v>83</v>
      </c>
      <c r="G91" s="15">
        <f>'12B (NS)Sem 2'!F32</f>
        <v>86</v>
      </c>
      <c r="H91" s="15">
        <f>'12B (NS)Sem 2'!G32</f>
        <v>63</v>
      </c>
      <c r="I91" s="15">
        <f>'12B (NS)Sem 2'!H32</f>
        <v>74</v>
      </c>
      <c r="J91" s="15">
        <f>'12B (NS)Sem 2'!I32</f>
        <v>85</v>
      </c>
      <c r="K91" s="15">
        <f>'12B (NS)Sem 2'!J32</f>
        <v>83</v>
      </c>
      <c r="L91" s="15">
        <f>'12B (NS)Sem 2'!K32</f>
        <v>100</v>
      </c>
      <c r="M91" s="15">
        <f>'12B (NS)Sem 2'!L32</f>
        <v>94</v>
      </c>
      <c r="N91" s="15">
        <f>'12B (NS)Sem 2'!M32</f>
        <v>89</v>
      </c>
      <c r="O91" s="15">
        <f>'12B (NS)Sem 2'!N32</f>
        <v>85</v>
      </c>
      <c r="P91" s="15">
        <f>'12B (NS)Sem 2'!O32</f>
        <v>842</v>
      </c>
      <c r="Q91" s="15">
        <f>'12B (NS)Sem 2'!P32</f>
        <v>84.2</v>
      </c>
      <c r="R91" s="15">
        <f>'12B (NS)Sem 2'!Q32</f>
        <v>11</v>
      </c>
      <c r="S91" s="15">
        <f>'12B (NS)Sem 2'!R32</f>
        <v>0</v>
      </c>
      <c r="T91" s="38">
        <f>'12B (NS)Sem 2'!S32</f>
        <v>0</v>
      </c>
      <c r="V91" s="6"/>
      <c r="W91" s="6"/>
      <c r="X91" s="6"/>
      <c r="Y91" s="6"/>
      <c r="Z91" s="6"/>
    </row>
    <row r="92" spans="1:26" ht="18.75" customHeight="1" thickBot="1" x14ac:dyDescent="0.3">
      <c r="A92" s="353"/>
      <c r="B92" s="247"/>
      <c r="C92" s="247">
        <v>17</v>
      </c>
      <c r="D92" s="248" t="s">
        <v>20</v>
      </c>
      <c r="E92" s="108" t="s">
        <v>16</v>
      </c>
      <c r="F92" s="15">
        <f>AVERAGE(F90:F91)</f>
        <v>80</v>
      </c>
      <c r="G92" s="15">
        <f t="shared" ref="G92:Q92" si="28">AVERAGE(G90:G91)</f>
        <v>86.5</v>
      </c>
      <c r="H92" s="15">
        <f t="shared" si="28"/>
        <v>57</v>
      </c>
      <c r="I92" s="15">
        <f t="shared" si="28"/>
        <v>71.5</v>
      </c>
      <c r="J92" s="15">
        <f t="shared" si="28"/>
        <v>80.5</v>
      </c>
      <c r="K92" s="15">
        <f t="shared" si="28"/>
        <v>83.5</v>
      </c>
      <c r="L92" s="15">
        <f t="shared" si="28"/>
        <v>97.5</v>
      </c>
      <c r="M92" s="15">
        <f t="shared" si="28"/>
        <v>91.5</v>
      </c>
      <c r="N92" s="15">
        <f t="shared" si="28"/>
        <v>85.5</v>
      </c>
      <c r="O92" s="15">
        <f t="shared" si="28"/>
        <v>80</v>
      </c>
      <c r="P92" s="15">
        <f t="shared" si="28"/>
        <v>813.5</v>
      </c>
      <c r="Q92" s="15">
        <f t="shared" si="28"/>
        <v>81.349999999999994</v>
      </c>
      <c r="R92" s="15">
        <f>'12B Sem avr (NS) '!$H$32</f>
        <v>12</v>
      </c>
      <c r="S92" s="15">
        <f>AVERAGE(S90:S91)</f>
        <v>0</v>
      </c>
      <c r="T92" s="38">
        <f>AVERAGE(T90:T91)</f>
        <v>0</v>
      </c>
      <c r="V92" s="6"/>
      <c r="W92" s="6"/>
      <c r="X92" s="6"/>
      <c r="Y92" s="6"/>
      <c r="Z92" s="6"/>
    </row>
    <row r="93" spans="1:26" ht="18.75" customHeight="1" thickBot="1" x14ac:dyDescent="0.3">
      <c r="A93" s="286">
        <v>30</v>
      </c>
      <c r="B93" s="247"/>
      <c r="C93" s="247">
        <v>17</v>
      </c>
      <c r="D93" s="248" t="s">
        <v>23</v>
      </c>
      <c r="E93" s="29" t="s">
        <v>21</v>
      </c>
      <c r="F93" s="15">
        <f>'12B Sem 1'!E33</f>
        <v>68</v>
      </c>
      <c r="G93" s="15">
        <f>'12B Sem 1'!F33</f>
        <v>73</v>
      </c>
      <c r="H93" s="15">
        <f>'12B Sem 1'!G33</f>
        <v>47</v>
      </c>
      <c r="I93" s="15">
        <f>'12B Sem 1'!H33</f>
        <v>55</v>
      </c>
      <c r="J93" s="15">
        <f>'12B Sem 1'!I33</f>
        <v>54</v>
      </c>
      <c r="K93" s="15">
        <f>'12B Sem 1'!J33</f>
        <v>47</v>
      </c>
      <c r="L93" s="15">
        <f>'12B Sem 1'!K33</f>
        <v>71</v>
      </c>
      <c r="M93" s="15">
        <f>'12B Sem 1'!L33</f>
        <v>80</v>
      </c>
      <c r="N93" s="15">
        <f>'12B Sem 1'!M33</f>
        <v>47</v>
      </c>
      <c r="O93" s="15">
        <f>'12B Sem 1'!N33</f>
        <v>53</v>
      </c>
      <c r="P93" s="15">
        <f>'12B Sem 1'!O33</f>
        <v>595</v>
      </c>
      <c r="Q93" s="15">
        <f>'12B Sem 1'!P33</f>
        <v>59.5</v>
      </c>
      <c r="R93" s="15">
        <f>'12B Sem 1'!Q33</f>
        <v>34</v>
      </c>
      <c r="S93" s="15">
        <f>'12B Sem 1'!R33</f>
        <v>0</v>
      </c>
      <c r="T93" s="38">
        <f>'12B Sem 1'!S33</f>
        <v>0</v>
      </c>
      <c r="V93" s="6"/>
      <c r="W93" s="6"/>
      <c r="X93" s="6"/>
      <c r="Y93" s="6"/>
      <c r="Z93" s="6"/>
    </row>
    <row r="94" spans="1:26" ht="18.75" customHeight="1" thickBot="1" x14ac:dyDescent="0.3">
      <c r="A94" s="286"/>
      <c r="B94" s="247"/>
      <c r="C94" s="247">
        <v>17</v>
      </c>
      <c r="D94" s="248" t="s">
        <v>23</v>
      </c>
      <c r="E94" s="29" t="s">
        <v>22</v>
      </c>
      <c r="F94" s="15">
        <f>'12B (NS)Sem 2'!E33</f>
        <v>76</v>
      </c>
      <c r="G94" s="15">
        <f>'12B (NS)Sem 2'!F33</f>
        <v>71</v>
      </c>
      <c r="H94" s="15">
        <f>'12B (NS)Sem 2'!G33</f>
        <v>62</v>
      </c>
      <c r="I94" s="15">
        <f>'12B (NS)Sem 2'!H33</f>
        <v>69</v>
      </c>
      <c r="J94" s="15">
        <f>'12B (NS)Sem 2'!I33</f>
        <v>67</v>
      </c>
      <c r="K94" s="15">
        <f>'12B (NS)Sem 2'!J33</f>
        <v>70</v>
      </c>
      <c r="L94" s="15">
        <f>'12B (NS)Sem 2'!K33</f>
        <v>92</v>
      </c>
      <c r="M94" s="15">
        <f>'12B (NS)Sem 2'!L33</f>
        <v>90</v>
      </c>
      <c r="N94" s="15">
        <f>'12B (NS)Sem 2'!M33</f>
        <v>53</v>
      </c>
      <c r="O94" s="15">
        <f>'12B (NS)Sem 2'!N33</f>
        <v>64</v>
      </c>
      <c r="P94" s="15">
        <f>'12B (NS)Sem 2'!O33</f>
        <v>714</v>
      </c>
      <c r="Q94" s="15">
        <f>'12B (NS)Sem 2'!P33</f>
        <v>71.400000000000006</v>
      </c>
      <c r="R94" s="15">
        <f>'12B (NS)Sem 2'!Q33</f>
        <v>33</v>
      </c>
      <c r="S94" s="15">
        <f>'12B (NS)Sem 2'!R33</f>
        <v>0</v>
      </c>
      <c r="T94" s="38">
        <f>'12B (NS)Sem 2'!S33</f>
        <v>0</v>
      </c>
      <c r="V94" s="6"/>
      <c r="W94" s="6"/>
      <c r="X94" s="6"/>
      <c r="Y94" s="6"/>
      <c r="Z94" s="6"/>
    </row>
    <row r="95" spans="1:26" ht="18.75" customHeight="1" thickBot="1" x14ac:dyDescent="0.3">
      <c r="A95" s="286"/>
      <c r="B95" s="247"/>
      <c r="C95" s="247">
        <v>17</v>
      </c>
      <c r="D95" s="248" t="s">
        <v>23</v>
      </c>
      <c r="E95" s="108" t="s">
        <v>16</v>
      </c>
      <c r="F95" s="15">
        <f>AVERAGE(F93:F94)</f>
        <v>72</v>
      </c>
      <c r="G95" s="15">
        <f t="shared" ref="G95:Q95" si="29">AVERAGE(G93:G94)</f>
        <v>72</v>
      </c>
      <c r="H95" s="15">
        <f t="shared" si="29"/>
        <v>54.5</v>
      </c>
      <c r="I95" s="15">
        <f t="shared" si="29"/>
        <v>62</v>
      </c>
      <c r="J95" s="15">
        <f t="shared" si="29"/>
        <v>60.5</v>
      </c>
      <c r="K95" s="15">
        <f t="shared" si="29"/>
        <v>58.5</v>
      </c>
      <c r="L95" s="15">
        <f t="shared" si="29"/>
        <v>81.5</v>
      </c>
      <c r="M95" s="15">
        <f t="shared" si="29"/>
        <v>85</v>
      </c>
      <c r="N95" s="15">
        <f t="shared" si="29"/>
        <v>50</v>
      </c>
      <c r="O95" s="15">
        <f t="shared" si="29"/>
        <v>58.5</v>
      </c>
      <c r="P95" s="15">
        <f t="shared" si="29"/>
        <v>654.5</v>
      </c>
      <c r="Q95" s="15">
        <f t="shared" si="29"/>
        <v>65.45</v>
      </c>
      <c r="R95" s="15">
        <f>'12B Sem avr (NS) '!$H$33</f>
        <v>34</v>
      </c>
      <c r="S95" s="15">
        <f>AVERAGE(S93:S94)</f>
        <v>0</v>
      </c>
      <c r="T95" s="38">
        <f>AVERAGE(T93:T94)</f>
        <v>0</v>
      </c>
      <c r="V95" s="6"/>
      <c r="W95" s="6"/>
      <c r="X95" s="6"/>
      <c r="Y95" s="6"/>
      <c r="Z95" s="6"/>
    </row>
    <row r="96" spans="1:26" ht="18.75" customHeight="1" thickBot="1" x14ac:dyDescent="0.3">
      <c r="A96" s="353">
        <v>31</v>
      </c>
      <c r="B96" s="247"/>
      <c r="C96" s="247">
        <v>15</v>
      </c>
      <c r="D96" s="248" t="s">
        <v>23</v>
      </c>
      <c r="E96" s="29" t="s">
        <v>21</v>
      </c>
      <c r="F96" s="15">
        <f>'12B Sem 1'!E34</f>
        <v>76</v>
      </c>
      <c r="G96" s="15">
        <f>'12B Sem 1'!F34</f>
        <v>73</v>
      </c>
      <c r="H96" s="15">
        <f>'12B Sem 1'!G34</f>
        <v>50</v>
      </c>
      <c r="I96" s="15">
        <f>'12B Sem 1'!H34</f>
        <v>75</v>
      </c>
      <c r="J96" s="15">
        <f>'12B Sem 1'!I34</f>
        <v>65</v>
      </c>
      <c r="K96" s="15">
        <f>'12B Sem 1'!J34</f>
        <v>71</v>
      </c>
      <c r="L96" s="15">
        <f>'12B Sem 1'!K34</f>
        <v>87</v>
      </c>
      <c r="M96" s="15">
        <f>'12B Sem 1'!L34</f>
        <v>96</v>
      </c>
      <c r="N96" s="15">
        <f>'12B Sem 1'!M34</f>
        <v>74</v>
      </c>
      <c r="O96" s="15">
        <f>'12B Sem 1'!N34</f>
        <v>71</v>
      </c>
      <c r="P96" s="15">
        <f>'12B Sem 1'!O34</f>
        <v>738</v>
      </c>
      <c r="Q96" s="15">
        <f>'12B Sem 1'!P34</f>
        <v>73.8</v>
      </c>
      <c r="R96" s="15">
        <f>'12B Sem 1'!Q34</f>
        <v>16</v>
      </c>
      <c r="S96" s="15">
        <f>'12B Sem 1'!R34</f>
        <v>0</v>
      </c>
      <c r="T96" s="38">
        <f>'12B Sem 1'!S34</f>
        <v>0</v>
      </c>
      <c r="V96" s="6"/>
      <c r="W96" s="6"/>
      <c r="X96" s="6"/>
      <c r="Y96" s="6"/>
      <c r="Z96" s="6"/>
    </row>
    <row r="97" spans="1:26" ht="18.75" customHeight="1" thickBot="1" x14ac:dyDescent="0.3">
      <c r="A97" s="353"/>
      <c r="B97" s="247"/>
      <c r="C97" s="247">
        <v>15</v>
      </c>
      <c r="D97" s="248" t="s">
        <v>23</v>
      </c>
      <c r="E97" s="29" t="s">
        <v>22</v>
      </c>
      <c r="F97" s="15">
        <f>'12B (NS)Sem 2'!E34</f>
        <v>84</v>
      </c>
      <c r="G97" s="15">
        <f>'12B (NS)Sem 2'!F34</f>
        <v>72</v>
      </c>
      <c r="H97" s="15">
        <f>'12B (NS)Sem 2'!G34</f>
        <v>66</v>
      </c>
      <c r="I97" s="15">
        <f>'12B (NS)Sem 2'!H34</f>
        <v>81</v>
      </c>
      <c r="J97" s="15">
        <f>'12B (NS)Sem 2'!I34</f>
        <v>78</v>
      </c>
      <c r="K97" s="15">
        <f>'12B (NS)Sem 2'!J34</f>
        <v>70</v>
      </c>
      <c r="L97" s="15">
        <f>'12B (NS)Sem 2'!K34</f>
        <v>93</v>
      </c>
      <c r="M97" s="15">
        <f>'12B (NS)Sem 2'!L34</f>
        <v>100</v>
      </c>
      <c r="N97" s="15">
        <f>'12B (NS)Sem 2'!M34</f>
        <v>79</v>
      </c>
      <c r="O97" s="15">
        <f>'12B (NS)Sem 2'!N34</f>
        <v>77</v>
      </c>
      <c r="P97" s="15">
        <f>'12B (NS)Sem 2'!O34</f>
        <v>800</v>
      </c>
      <c r="Q97" s="15">
        <f>'12B (NS)Sem 2'!P34</f>
        <v>80</v>
      </c>
      <c r="R97" s="15">
        <f>'12B (NS)Sem 2'!Q34</f>
        <v>17</v>
      </c>
      <c r="S97" s="15">
        <f>'12B (NS)Sem 2'!R34</f>
        <v>0</v>
      </c>
      <c r="T97" s="38">
        <f>'12B (NS)Sem 2'!S34</f>
        <v>0</v>
      </c>
      <c r="V97" s="6"/>
      <c r="W97" s="6"/>
      <c r="X97" s="6"/>
      <c r="Y97" s="6"/>
      <c r="Z97" s="6"/>
    </row>
    <row r="98" spans="1:26" ht="18.75" customHeight="1" thickBot="1" x14ac:dyDescent="0.3">
      <c r="A98" s="353"/>
      <c r="B98" s="247"/>
      <c r="C98" s="247">
        <v>15</v>
      </c>
      <c r="D98" s="248" t="s">
        <v>23</v>
      </c>
      <c r="E98" s="108" t="s">
        <v>16</v>
      </c>
      <c r="F98" s="15">
        <f>AVERAGE(F96:F97)</f>
        <v>80</v>
      </c>
      <c r="G98" s="15">
        <f t="shared" ref="G98:Q98" si="30">AVERAGE(G96:G97)</f>
        <v>72.5</v>
      </c>
      <c r="H98" s="15">
        <f t="shared" si="30"/>
        <v>58</v>
      </c>
      <c r="I98" s="15">
        <f t="shared" si="30"/>
        <v>78</v>
      </c>
      <c r="J98" s="15">
        <f t="shared" si="30"/>
        <v>71.5</v>
      </c>
      <c r="K98" s="15">
        <f t="shared" si="30"/>
        <v>70.5</v>
      </c>
      <c r="L98" s="15">
        <f t="shared" si="30"/>
        <v>90</v>
      </c>
      <c r="M98" s="15">
        <f t="shared" si="30"/>
        <v>98</v>
      </c>
      <c r="N98" s="15">
        <f t="shared" si="30"/>
        <v>76.5</v>
      </c>
      <c r="O98" s="15">
        <f t="shared" si="30"/>
        <v>74</v>
      </c>
      <c r="P98" s="15">
        <f t="shared" si="30"/>
        <v>769</v>
      </c>
      <c r="Q98" s="15">
        <f t="shared" si="30"/>
        <v>76.900000000000006</v>
      </c>
      <c r="R98" s="15">
        <f>'12B Sem avr (NS) '!$H$34</f>
        <v>17</v>
      </c>
      <c r="S98" s="15">
        <f>AVERAGE(S96:S97)</f>
        <v>0</v>
      </c>
      <c r="T98" s="38">
        <f>AVERAGE(T96:T97)</f>
        <v>0</v>
      </c>
      <c r="V98" s="6"/>
      <c r="W98" s="6"/>
      <c r="X98" s="6"/>
      <c r="Y98" s="6"/>
      <c r="Z98" s="6"/>
    </row>
    <row r="99" spans="1:26" ht="18.75" customHeight="1" thickBot="1" x14ac:dyDescent="0.3">
      <c r="A99" s="286">
        <v>32</v>
      </c>
      <c r="B99" s="247"/>
      <c r="C99" s="247">
        <v>16</v>
      </c>
      <c r="D99" s="248" t="s">
        <v>23</v>
      </c>
      <c r="E99" s="29" t="s">
        <v>21</v>
      </c>
      <c r="F99" s="15">
        <f>'12B Sem 1'!E35</f>
        <v>78</v>
      </c>
      <c r="G99" s="15">
        <f>'12B Sem 1'!F35</f>
        <v>74</v>
      </c>
      <c r="H99" s="15">
        <f>'12B Sem 1'!G35</f>
        <v>46</v>
      </c>
      <c r="I99" s="15">
        <f>'12B Sem 1'!H35</f>
        <v>63</v>
      </c>
      <c r="J99" s="15">
        <f>'12B Sem 1'!I35</f>
        <v>58</v>
      </c>
      <c r="K99" s="15">
        <f>'12B Sem 1'!J35</f>
        <v>67</v>
      </c>
      <c r="L99" s="15">
        <f>'12B Sem 1'!K35</f>
        <v>92</v>
      </c>
      <c r="M99" s="15">
        <f>'12B Sem 1'!L35</f>
        <v>88</v>
      </c>
      <c r="N99" s="15">
        <f>'12B Sem 1'!M35</f>
        <v>63</v>
      </c>
      <c r="O99" s="15">
        <f>'12B Sem 1'!N35</f>
        <v>73</v>
      </c>
      <c r="P99" s="15">
        <f>'12B Sem 1'!O35</f>
        <v>702</v>
      </c>
      <c r="Q99" s="15">
        <f>'12B Sem 1'!P35</f>
        <v>70.2</v>
      </c>
      <c r="R99" s="15">
        <f>'12B Sem 1'!Q35</f>
        <v>23</v>
      </c>
      <c r="S99" s="15">
        <f>'12B Sem 1'!R35</f>
        <v>0</v>
      </c>
      <c r="T99" s="38">
        <f>'12B Sem 1'!S35</f>
        <v>0</v>
      </c>
      <c r="V99" s="6"/>
      <c r="W99" s="6"/>
      <c r="X99" s="6"/>
      <c r="Y99" s="6"/>
      <c r="Z99" s="6"/>
    </row>
    <row r="100" spans="1:26" ht="17.25" customHeight="1" thickBot="1" x14ac:dyDescent="0.3">
      <c r="A100" s="286"/>
      <c r="B100" s="247"/>
      <c r="C100" s="247">
        <v>16</v>
      </c>
      <c r="D100" s="248" t="s">
        <v>23</v>
      </c>
      <c r="E100" s="29" t="s">
        <v>22</v>
      </c>
      <c r="F100" s="15">
        <f>'12B (NS)Sem 2'!E35</f>
        <v>84</v>
      </c>
      <c r="G100" s="15">
        <f>'12B (NS)Sem 2'!F35</f>
        <v>78</v>
      </c>
      <c r="H100" s="15">
        <f>'12B (NS)Sem 2'!G35</f>
        <v>70</v>
      </c>
      <c r="I100" s="15">
        <f>'12B (NS)Sem 2'!H35</f>
        <v>72</v>
      </c>
      <c r="J100" s="15">
        <f>'12B (NS)Sem 2'!I35</f>
        <v>70</v>
      </c>
      <c r="K100" s="15">
        <f>'12B (NS)Sem 2'!J35</f>
        <v>65</v>
      </c>
      <c r="L100" s="15">
        <f>'12B (NS)Sem 2'!K35</f>
        <v>93</v>
      </c>
      <c r="M100" s="15">
        <f>'12B (NS)Sem 2'!L35</f>
        <v>94</v>
      </c>
      <c r="N100" s="15">
        <f>'12B (NS)Sem 2'!M35</f>
        <v>68</v>
      </c>
      <c r="O100" s="15">
        <f>'12B (NS)Sem 2'!N35</f>
        <v>80</v>
      </c>
      <c r="P100" s="15">
        <f>'12B (NS)Sem 2'!O35</f>
        <v>774</v>
      </c>
      <c r="Q100" s="15">
        <f>'12B (NS)Sem 2'!P35</f>
        <v>77.400000000000006</v>
      </c>
      <c r="R100" s="15">
        <f>'12B (NS)Sem 2'!Q35</f>
        <v>20</v>
      </c>
      <c r="S100" s="15">
        <f>'12B (NS)Sem 2'!R35</f>
        <v>0</v>
      </c>
      <c r="T100" s="38">
        <f>'12B (NS)Sem 2'!S35</f>
        <v>0</v>
      </c>
      <c r="V100" s="6"/>
      <c r="W100" s="6"/>
      <c r="X100" s="6"/>
      <c r="Y100" s="6"/>
      <c r="Z100" s="6"/>
    </row>
    <row r="101" spans="1:26" ht="17.25" customHeight="1" thickBot="1" x14ac:dyDescent="0.3">
      <c r="A101" s="286"/>
      <c r="B101" s="247"/>
      <c r="C101" s="247">
        <v>16</v>
      </c>
      <c r="D101" s="248" t="s">
        <v>23</v>
      </c>
      <c r="E101" s="108" t="s">
        <v>16</v>
      </c>
      <c r="F101" s="15">
        <f>AVERAGE(F99:F100)</f>
        <v>81</v>
      </c>
      <c r="G101" s="15">
        <f t="shared" ref="G101:Q101" si="31">AVERAGE(G99:G100)</f>
        <v>76</v>
      </c>
      <c r="H101" s="15">
        <f t="shared" si="31"/>
        <v>58</v>
      </c>
      <c r="I101" s="15">
        <f t="shared" si="31"/>
        <v>67.5</v>
      </c>
      <c r="J101" s="15">
        <f t="shared" si="31"/>
        <v>64</v>
      </c>
      <c r="K101" s="15">
        <f t="shared" si="31"/>
        <v>66</v>
      </c>
      <c r="L101" s="15">
        <f t="shared" si="31"/>
        <v>92.5</v>
      </c>
      <c r="M101" s="15">
        <f t="shared" si="31"/>
        <v>91</v>
      </c>
      <c r="N101" s="15">
        <f t="shared" si="31"/>
        <v>65.5</v>
      </c>
      <c r="O101" s="15">
        <f t="shared" si="31"/>
        <v>76.5</v>
      </c>
      <c r="P101" s="15">
        <f t="shared" si="31"/>
        <v>738</v>
      </c>
      <c r="Q101" s="15">
        <f t="shared" si="31"/>
        <v>73.800000000000011</v>
      </c>
      <c r="R101" s="15">
        <f>'12B Sem avr (NS) '!$H$35</f>
        <v>21</v>
      </c>
      <c r="S101" s="15">
        <f>AVERAGE(S99:S100)</f>
        <v>0</v>
      </c>
      <c r="T101" s="38">
        <f>AVERAGE(T99:T100)</f>
        <v>0</v>
      </c>
      <c r="V101" s="6"/>
      <c r="W101" s="6"/>
      <c r="X101" s="6"/>
      <c r="Y101" s="6"/>
      <c r="Z101" s="6"/>
    </row>
    <row r="102" spans="1:26" ht="17.25" customHeight="1" thickBot="1" x14ac:dyDescent="0.3">
      <c r="A102" s="353">
        <v>33</v>
      </c>
      <c r="B102" s="247"/>
      <c r="C102" s="247">
        <v>16</v>
      </c>
      <c r="D102" s="248" t="s">
        <v>23</v>
      </c>
      <c r="E102" s="29" t="s">
        <v>21</v>
      </c>
      <c r="F102" s="15">
        <f>'12B Sem 1'!E36</f>
        <v>81</v>
      </c>
      <c r="G102" s="15">
        <f>'12B Sem 1'!F36</f>
        <v>95</v>
      </c>
      <c r="H102" s="15">
        <f>'12B Sem 1'!G36</f>
        <v>57</v>
      </c>
      <c r="I102" s="15">
        <f>'12B Sem 1'!H36</f>
        <v>88</v>
      </c>
      <c r="J102" s="15">
        <f>'12B Sem 1'!I36</f>
        <v>83</v>
      </c>
      <c r="K102" s="15">
        <f>'12B Sem 1'!J36</f>
        <v>88</v>
      </c>
      <c r="L102" s="15">
        <f>'12B Sem 1'!K36</f>
        <v>99</v>
      </c>
      <c r="M102" s="15">
        <f>'12B Sem 1'!L36</f>
        <v>97</v>
      </c>
      <c r="N102" s="15">
        <f>'12B Sem 1'!M36</f>
        <v>87</v>
      </c>
      <c r="O102" s="15">
        <f>'12B Sem 1'!N36</f>
        <v>89</v>
      </c>
      <c r="P102" s="15">
        <f>'12B Sem 1'!O36</f>
        <v>864</v>
      </c>
      <c r="Q102" s="15">
        <f>'12B Sem 1'!P36</f>
        <v>86.4</v>
      </c>
      <c r="R102" s="15">
        <f>'12B Sem 1'!Q36</f>
        <v>6</v>
      </c>
      <c r="S102" s="15">
        <f>'12B Sem 1'!R36</f>
        <v>0</v>
      </c>
      <c r="T102" s="38">
        <f>'12B Sem 1'!S36</f>
        <v>0</v>
      </c>
      <c r="V102" s="6"/>
      <c r="W102" s="6"/>
      <c r="X102" s="6"/>
      <c r="Y102" s="6"/>
      <c r="Z102" s="6"/>
    </row>
    <row r="103" spans="1:26" ht="17.25" customHeight="1" thickBot="1" x14ac:dyDescent="0.3">
      <c r="A103" s="353"/>
      <c r="B103" s="247"/>
      <c r="C103" s="247">
        <v>16</v>
      </c>
      <c r="D103" s="248" t="s">
        <v>23</v>
      </c>
      <c r="E103" s="29" t="s">
        <v>22</v>
      </c>
      <c r="F103" s="15">
        <f>'12B (NS)Sem 2'!E36</f>
        <v>90</v>
      </c>
      <c r="G103" s="15">
        <f>'12B (NS)Sem 2'!F36</f>
        <v>95</v>
      </c>
      <c r="H103" s="15">
        <f>'12B (NS)Sem 2'!G36</f>
        <v>80</v>
      </c>
      <c r="I103" s="15">
        <f>'12B (NS)Sem 2'!H36</f>
        <v>93</v>
      </c>
      <c r="J103" s="15">
        <f>'12B (NS)Sem 2'!I36</f>
        <v>92</v>
      </c>
      <c r="K103" s="15">
        <f>'12B (NS)Sem 2'!J36</f>
        <v>87</v>
      </c>
      <c r="L103" s="15">
        <f>'12B (NS)Sem 2'!K36</f>
        <v>98</v>
      </c>
      <c r="M103" s="15">
        <f>'12B (NS)Sem 2'!L36</f>
        <v>100</v>
      </c>
      <c r="N103" s="15">
        <f>'12B (NS)Sem 2'!M36</f>
        <v>92</v>
      </c>
      <c r="O103" s="15">
        <f>'12B (NS)Sem 2'!N36</f>
        <v>99</v>
      </c>
      <c r="P103" s="15">
        <f>'12B (NS)Sem 2'!O36</f>
        <v>926</v>
      </c>
      <c r="Q103" s="15">
        <f>'12B (NS)Sem 2'!P36</f>
        <v>92.6</v>
      </c>
      <c r="R103" s="15">
        <f>'12B (NS)Sem 2'!Q36</f>
        <v>4</v>
      </c>
      <c r="S103" s="15">
        <f>'12B (NS)Sem 2'!R36</f>
        <v>0</v>
      </c>
      <c r="T103" s="38">
        <f>'12B (NS)Sem 2'!S36</f>
        <v>0</v>
      </c>
      <c r="V103" s="6"/>
      <c r="W103" s="6"/>
      <c r="X103" s="6"/>
      <c r="Y103" s="6"/>
      <c r="Z103" s="6"/>
    </row>
    <row r="104" spans="1:26" ht="17.25" customHeight="1" thickBot="1" x14ac:dyDescent="0.3">
      <c r="A104" s="353"/>
      <c r="B104" s="247"/>
      <c r="C104" s="247">
        <v>16</v>
      </c>
      <c r="D104" s="248" t="s">
        <v>23</v>
      </c>
      <c r="E104" s="108" t="s">
        <v>16</v>
      </c>
      <c r="F104" s="15">
        <f>AVERAGE(F102:F103)</f>
        <v>85.5</v>
      </c>
      <c r="G104" s="15">
        <f t="shared" ref="G104:Q104" si="32">AVERAGE(G102:G103)</f>
        <v>95</v>
      </c>
      <c r="H104" s="15">
        <f t="shared" si="32"/>
        <v>68.5</v>
      </c>
      <c r="I104" s="15">
        <f t="shared" si="32"/>
        <v>90.5</v>
      </c>
      <c r="J104" s="15">
        <f t="shared" si="32"/>
        <v>87.5</v>
      </c>
      <c r="K104" s="15">
        <f t="shared" si="32"/>
        <v>87.5</v>
      </c>
      <c r="L104" s="15">
        <f t="shared" si="32"/>
        <v>98.5</v>
      </c>
      <c r="M104" s="15">
        <f t="shared" si="32"/>
        <v>98.5</v>
      </c>
      <c r="N104" s="15">
        <f t="shared" si="32"/>
        <v>89.5</v>
      </c>
      <c r="O104" s="15">
        <f t="shared" si="32"/>
        <v>94</v>
      </c>
      <c r="P104" s="15">
        <f t="shared" si="32"/>
        <v>895</v>
      </c>
      <c r="Q104" s="15">
        <f t="shared" si="32"/>
        <v>89.5</v>
      </c>
      <c r="R104" s="15">
        <f>'12B Sem avr (NS) '!$H$36</f>
        <v>6</v>
      </c>
      <c r="S104" s="15">
        <f>AVERAGE(S102:S103)</f>
        <v>0</v>
      </c>
      <c r="T104" s="38">
        <f>AVERAGE(T102:T103)</f>
        <v>0</v>
      </c>
      <c r="V104" s="6"/>
      <c r="W104" s="6"/>
      <c r="X104" s="6"/>
      <c r="Y104" s="6"/>
      <c r="Z104" s="6"/>
    </row>
    <row r="105" spans="1:26" ht="17.25" customHeight="1" thickBot="1" x14ac:dyDescent="0.3">
      <c r="A105" s="286">
        <v>34</v>
      </c>
      <c r="B105" s="247"/>
      <c r="C105" s="247">
        <v>16</v>
      </c>
      <c r="D105" s="248" t="s">
        <v>23</v>
      </c>
      <c r="E105" s="29" t="s">
        <v>21</v>
      </c>
      <c r="F105" s="15">
        <f>'12B Sem 1'!E37</f>
        <v>81</v>
      </c>
      <c r="G105" s="15">
        <f>'12B Sem 1'!F37</f>
        <v>80</v>
      </c>
      <c r="H105" s="15">
        <f>'12B Sem 1'!G37</f>
        <v>55</v>
      </c>
      <c r="I105" s="15">
        <f>'12B Sem 1'!H37</f>
        <v>73</v>
      </c>
      <c r="J105" s="15">
        <f>'12B Sem 1'!I37</f>
        <v>61</v>
      </c>
      <c r="K105" s="15">
        <f>'12B Sem 1'!J37</f>
        <v>80</v>
      </c>
      <c r="L105" s="15">
        <f>'12B Sem 1'!K37</f>
        <v>85</v>
      </c>
      <c r="M105" s="15">
        <f>'12B Sem 1'!L37</f>
        <v>94</v>
      </c>
      <c r="N105" s="15">
        <f>'12B Sem 1'!M37</f>
        <v>76</v>
      </c>
      <c r="O105" s="15">
        <f>'12B Sem 1'!N37</f>
        <v>81</v>
      </c>
      <c r="P105" s="15">
        <f>'12B Sem 1'!O37</f>
        <v>766</v>
      </c>
      <c r="Q105" s="15">
        <f>'12B Sem 1'!P37</f>
        <v>76.599999999999994</v>
      </c>
      <c r="R105" s="15">
        <f>'12B Sem 1'!Q37</f>
        <v>14</v>
      </c>
      <c r="S105" s="15">
        <f>'12B Sem 1'!R37</f>
        <v>0</v>
      </c>
      <c r="T105" s="38">
        <f>'12B Sem 1'!S37</f>
        <v>0</v>
      </c>
      <c r="V105" s="6"/>
      <c r="W105" s="6"/>
      <c r="X105" s="6"/>
      <c r="Y105" s="6"/>
      <c r="Z105" s="6"/>
    </row>
    <row r="106" spans="1:26" ht="17.25" customHeight="1" thickBot="1" x14ac:dyDescent="0.3">
      <c r="A106" s="286"/>
      <c r="B106" s="247"/>
      <c r="C106" s="247">
        <v>16</v>
      </c>
      <c r="D106" s="248" t="s">
        <v>23</v>
      </c>
      <c r="E106" s="29" t="s">
        <v>22</v>
      </c>
      <c r="F106" s="15">
        <f>'12B (NS)Sem 2'!E37</f>
        <v>86</v>
      </c>
      <c r="G106" s="15">
        <f>'12B (NS)Sem 2'!F37</f>
        <v>80</v>
      </c>
      <c r="H106" s="15">
        <f>'12B (NS)Sem 2'!G37</f>
        <v>73</v>
      </c>
      <c r="I106" s="15">
        <f>'12B (NS)Sem 2'!H37</f>
        <v>80</v>
      </c>
      <c r="J106" s="15">
        <f>'12B (NS)Sem 2'!I37</f>
        <v>75</v>
      </c>
      <c r="K106" s="15">
        <f>'12B (NS)Sem 2'!J37</f>
        <v>83</v>
      </c>
      <c r="L106" s="15">
        <f>'12B (NS)Sem 2'!K37</f>
        <v>96</v>
      </c>
      <c r="M106" s="15">
        <f>'12B (NS)Sem 2'!L37</f>
        <v>99</v>
      </c>
      <c r="N106" s="15">
        <f>'12B (NS)Sem 2'!M37</f>
        <v>81</v>
      </c>
      <c r="O106" s="15">
        <f>'12B (NS)Sem 2'!N37</f>
        <v>80</v>
      </c>
      <c r="P106" s="15">
        <f>'12B (NS)Sem 2'!O37</f>
        <v>833</v>
      </c>
      <c r="Q106" s="15">
        <f>'12B (NS)Sem 2'!P37</f>
        <v>83.3</v>
      </c>
      <c r="R106" s="15">
        <f>'12B (NS)Sem 2'!Q37</f>
        <v>13</v>
      </c>
      <c r="S106" s="15">
        <f>'12B (NS)Sem 2'!R37</f>
        <v>0</v>
      </c>
      <c r="T106" s="38">
        <f>'12B (NS)Sem 2'!S37</f>
        <v>0</v>
      </c>
      <c r="V106" s="6"/>
      <c r="W106" s="6"/>
      <c r="X106" s="6"/>
      <c r="Y106" s="6"/>
      <c r="Z106" s="6"/>
    </row>
    <row r="107" spans="1:26" ht="17.25" customHeight="1" thickBot="1" x14ac:dyDescent="0.3">
      <c r="A107" s="286"/>
      <c r="B107" s="247"/>
      <c r="C107" s="247">
        <v>16</v>
      </c>
      <c r="D107" s="248" t="s">
        <v>23</v>
      </c>
      <c r="E107" s="108" t="s">
        <v>16</v>
      </c>
      <c r="F107" s="15">
        <f>AVERAGE(F105:F106)</f>
        <v>83.5</v>
      </c>
      <c r="G107" s="15">
        <f t="shared" ref="G107:Q107" si="33">AVERAGE(G105:G106)</f>
        <v>80</v>
      </c>
      <c r="H107" s="15">
        <f t="shared" si="33"/>
        <v>64</v>
      </c>
      <c r="I107" s="15">
        <f t="shared" si="33"/>
        <v>76.5</v>
      </c>
      <c r="J107" s="15">
        <f t="shared" si="33"/>
        <v>68</v>
      </c>
      <c r="K107" s="15">
        <f t="shared" si="33"/>
        <v>81.5</v>
      </c>
      <c r="L107" s="15">
        <f t="shared" si="33"/>
        <v>90.5</v>
      </c>
      <c r="M107" s="15">
        <f t="shared" si="33"/>
        <v>96.5</v>
      </c>
      <c r="N107" s="15">
        <f t="shared" si="33"/>
        <v>78.5</v>
      </c>
      <c r="O107" s="15">
        <f t="shared" si="33"/>
        <v>80.5</v>
      </c>
      <c r="P107" s="15">
        <f t="shared" si="33"/>
        <v>799.5</v>
      </c>
      <c r="Q107" s="15">
        <f t="shared" si="33"/>
        <v>79.949999999999989</v>
      </c>
      <c r="R107" s="15">
        <f>'12B Sem avr (NS) '!$H$37</f>
        <v>14</v>
      </c>
      <c r="S107" s="15">
        <f>AVERAGE(S105:S106)</f>
        <v>0</v>
      </c>
      <c r="T107" s="38">
        <f>AVERAGE(T105:T106)</f>
        <v>0</v>
      </c>
      <c r="V107" s="6"/>
      <c r="W107" s="6"/>
      <c r="X107" s="6"/>
      <c r="Y107" s="6"/>
      <c r="Z107" s="6"/>
    </row>
    <row r="108" spans="1:26" ht="17.25" customHeight="1" thickBot="1" x14ac:dyDescent="0.3">
      <c r="A108" s="353">
        <v>35</v>
      </c>
      <c r="B108" s="247"/>
      <c r="C108" s="247">
        <v>18</v>
      </c>
      <c r="D108" s="248" t="s">
        <v>20</v>
      </c>
      <c r="E108" s="29" t="s">
        <v>21</v>
      </c>
      <c r="F108" s="15">
        <f>'12B Sem 1'!E38</f>
        <v>79</v>
      </c>
      <c r="G108" s="15">
        <f>'12B Sem 1'!F38</f>
        <v>68</v>
      </c>
      <c r="H108" s="15">
        <f>'12B Sem 1'!G38</f>
        <v>67</v>
      </c>
      <c r="I108" s="15">
        <f>'12B Sem 1'!H38</f>
        <v>77</v>
      </c>
      <c r="J108" s="15">
        <f>'12B Sem 1'!I38</f>
        <v>81</v>
      </c>
      <c r="K108" s="15">
        <f>'12B Sem 1'!J38</f>
        <v>78</v>
      </c>
      <c r="L108" s="15">
        <f>'12B Sem 1'!K38</f>
        <v>85</v>
      </c>
      <c r="M108" s="15">
        <f>'12B Sem 1'!L38</f>
        <v>92</v>
      </c>
      <c r="N108" s="15">
        <f>'12B Sem 1'!M38</f>
        <v>89</v>
      </c>
      <c r="O108" s="15">
        <f>'12B Sem 1'!N38</f>
        <v>77</v>
      </c>
      <c r="P108" s="15">
        <f>'12B Sem 1'!O38</f>
        <v>793</v>
      </c>
      <c r="Q108" s="15">
        <f>'12B Sem 1'!P38</f>
        <v>79.3</v>
      </c>
      <c r="R108" s="15">
        <f>'12B Sem 1'!Q38</f>
        <v>10</v>
      </c>
      <c r="S108" s="15">
        <f>'12B Sem 1'!R38</f>
        <v>0</v>
      </c>
      <c r="T108" s="38">
        <f>'12B Sem 1'!S38</f>
        <v>0</v>
      </c>
      <c r="V108" s="6"/>
      <c r="W108" s="6"/>
      <c r="X108" s="6"/>
      <c r="Y108" s="6"/>
      <c r="Z108" s="6"/>
    </row>
    <row r="109" spans="1:26" ht="17.25" customHeight="1" thickBot="1" x14ac:dyDescent="0.3">
      <c r="A109" s="353"/>
      <c r="B109" s="247"/>
      <c r="C109" s="247">
        <v>18</v>
      </c>
      <c r="D109" s="248" t="s">
        <v>20</v>
      </c>
      <c r="E109" s="29" t="s">
        <v>22</v>
      </c>
      <c r="F109" s="15">
        <f>'12B (NS)Sem 2'!E38</f>
        <v>89</v>
      </c>
      <c r="G109" s="15">
        <f>'12B (NS)Sem 2'!F38</f>
        <v>80</v>
      </c>
      <c r="H109" s="15">
        <f>'12B (NS)Sem 2'!G38</f>
        <v>79</v>
      </c>
      <c r="I109" s="15">
        <f>'12B (NS)Sem 2'!H38</f>
        <v>86</v>
      </c>
      <c r="J109" s="15">
        <f>'12B (NS)Sem 2'!I38</f>
        <v>86</v>
      </c>
      <c r="K109" s="15">
        <f>'12B (NS)Sem 2'!J38</f>
        <v>81</v>
      </c>
      <c r="L109" s="15">
        <f>'12B (NS)Sem 2'!K38</f>
        <v>98</v>
      </c>
      <c r="M109" s="15">
        <f>'12B (NS)Sem 2'!L38</f>
        <v>96</v>
      </c>
      <c r="N109" s="15">
        <f>'12B (NS)Sem 2'!M38</f>
        <v>94</v>
      </c>
      <c r="O109" s="15">
        <f>'12B (NS)Sem 2'!N38</f>
        <v>82</v>
      </c>
      <c r="P109" s="15">
        <f>'12B (NS)Sem 2'!O38</f>
        <v>871</v>
      </c>
      <c r="Q109" s="15">
        <f>'12B (NS)Sem 2'!P38</f>
        <v>87.1</v>
      </c>
      <c r="R109" s="15">
        <f>'12B (NS)Sem 2'!Q38</f>
        <v>10</v>
      </c>
      <c r="S109" s="15">
        <f>'12B (NS)Sem 2'!R38</f>
        <v>0</v>
      </c>
      <c r="T109" s="38">
        <f>'12B (NS)Sem 2'!S38</f>
        <v>0</v>
      </c>
      <c r="V109" s="6"/>
      <c r="W109" s="6"/>
      <c r="X109" s="6"/>
      <c r="Y109" s="6"/>
      <c r="Z109" s="6"/>
    </row>
    <row r="110" spans="1:26" ht="17.25" customHeight="1" thickBot="1" x14ac:dyDescent="0.3">
      <c r="A110" s="353"/>
      <c r="B110" s="247"/>
      <c r="C110" s="247">
        <v>18</v>
      </c>
      <c r="D110" s="248" t="s">
        <v>20</v>
      </c>
      <c r="E110" s="108" t="s">
        <v>16</v>
      </c>
      <c r="F110" s="15">
        <f>AVERAGE(F108:F109)</f>
        <v>84</v>
      </c>
      <c r="G110" s="15">
        <f t="shared" ref="G110:Q110" si="34">AVERAGE(G108:G109)</f>
        <v>74</v>
      </c>
      <c r="H110" s="15">
        <f t="shared" si="34"/>
        <v>73</v>
      </c>
      <c r="I110" s="15">
        <f t="shared" si="34"/>
        <v>81.5</v>
      </c>
      <c r="J110" s="15">
        <f t="shared" si="34"/>
        <v>83.5</v>
      </c>
      <c r="K110" s="15">
        <f t="shared" si="34"/>
        <v>79.5</v>
      </c>
      <c r="L110" s="15">
        <f t="shared" si="34"/>
        <v>91.5</v>
      </c>
      <c r="M110" s="15">
        <f t="shared" si="34"/>
        <v>94</v>
      </c>
      <c r="N110" s="15">
        <f t="shared" si="34"/>
        <v>91.5</v>
      </c>
      <c r="O110" s="15">
        <f t="shared" si="34"/>
        <v>79.5</v>
      </c>
      <c r="P110" s="15">
        <f t="shared" si="34"/>
        <v>832</v>
      </c>
      <c r="Q110" s="15">
        <f t="shared" si="34"/>
        <v>83.199999999999989</v>
      </c>
      <c r="R110" s="15">
        <f>'12B Sem avr (NS) '!$H$38</f>
        <v>10</v>
      </c>
      <c r="S110" s="15">
        <f>AVERAGE(S108:S109)</f>
        <v>0</v>
      </c>
      <c r="T110" s="38">
        <f>AVERAGE(T108:T109)</f>
        <v>0</v>
      </c>
      <c r="V110" s="6"/>
      <c r="W110" s="6"/>
      <c r="X110" s="6"/>
      <c r="Y110" s="6"/>
      <c r="Z110" s="6"/>
    </row>
    <row r="111" spans="1:26" ht="18" customHeight="1" x14ac:dyDescent="0.25">
      <c r="C111"/>
      <c r="D111"/>
    </row>
    <row r="112" spans="1:26" ht="18" customHeight="1" x14ac:dyDescent="0.25">
      <c r="C112"/>
      <c r="D112"/>
    </row>
    <row r="113" spans="3:4" ht="18" customHeight="1" x14ac:dyDescent="0.25">
      <c r="C113"/>
      <c r="D113"/>
    </row>
    <row r="114" spans="3:4" ht="18" customHeight="1" x14ac:dyDescent="0.25">
      <c r="C114"/>
      <c r="D114"/>
    </row>
    <row r="115" spans="3:4" ht="18" customHeight="1" x14ac:dyDescent="0.25">
      <c r="C115"/>
      <c r="D115"/>
    </row>
    <row r="116" spans="3:4" ht="19.5" customHeight="1" x14ac:dyDescent="0.25">
      <c r="C116"/>
      <c r="D116"/>
    </row>
    <row r="117" spans="3:4" ht="18.75" customHeight="1" x14ac:dyDescent="0.25">
      <c r="C117"/>
      <c r="D117"/>
    </row>
    <row r="118" spans="3:4" ht="18" customHeight="1" x14ac:dyDescent="0.25">
      <c r="C118"/>
      <c r="D118"/>
    </row>
    <row r="119" spans="3:4" ht="18" customHeight="1" x14ac:dyDescent="0.25">
      <c r="C119"/>
      <c r="D119"/>
    </row>
    <row r="120" spans="3:4" ht="18" customHeight="1" x14ac:dyDescent="0.25">
      <c r="C120"/>
      <c r="D120"/>
    </row>
    <row r="121" spans="3:4" ht="18" customHeight="1" x14ac:dyDescent="0.25">
      <c r="C121"/>
      <c r="D121"/>
    </row>
    <row r="122" spans="3:4" ht="18" customHeight="1" x14ac:dyDescent="0.25">
      <c r="C122"/>
      <c r="D122"/>
    </row>
    <row r="123" spans="3:4" ht="18" customHeight="1" x14ac:dyDescent="0.25">
      <c r="C123"/>
      <c r="D123"/>
    </row>
    <row r="124" spans="3:4" ht="18" customHeight="1" x14ac:dyDescent="0.25">
      <c r="C124"/>
      <c r="D124"/>
    </row>
    <row r="125" spans="3:4" ht="18" customHeight="1" x14ac:dyDescent="0.25">
      <c r="C125"/>
      <c r="D125"/>
    </row>
    <row r="126" spans="3:4" ht="18" customHeight="1" x14ac:dyDescent="0.25">
      <c r="C126"/>
      <c r="D126"/>
    </row>
    <row r="127" spans="3:4" ht="18" customHeight="1" x14ac:dyDescent="0.25">
      <c r="C127"/>
      <c r="D127"/>
    </row>
    <row r="128" spans="3:4" ht="18" customHeight="1" x14ac:dyDescent="0.25"/>
    <row r="129" ht="18" customHeight="1" x14ac:dyDescent="0.25"/>
    <row r="130" ht="18" customHeight="1" x14ac:dyDescent="0.25"/>
    <row r="131" ht="18" customHeight="1" x14ac:dyDescent="0.25"/>
    <row r="132" ht="18" customHeight="1" x14ac:dyDescent="0.25"/>
    <row r="133" ht="18" customHeight="1" x14ac:dyDescent="0.25"/>
    <row r="134" ht="18" customHeight="1" x14ac:dyDescent="0.25"/>
    <row r="135" ht="18" customHeight="1" x14ac:dyDescent="0.25"/>
    <row r="136" ht="18" customHeight="1" x14ac:dyDescent="0.25"/>
    <row r="137" ht="18" customHeight="1" x14ac:dyDescent="0.25"/>
    <row r="138" ht="18" customHeight="1" x14ac:dyDescent="0.25"/>
    <row r="139" ht="18" customHeight="1" x14ac:dyDescent="0.25"/>
    <row r="140" ht="18" customHeight="1" x14ac:dyDescent="0.25"/>
    <row r="141" ht="18" customHeight="1" x14ac:dyDescent="0.25"/>
    <row r="142" ht="18" customHeight="1" x14ac:dyDescent="0.25"/>
    <row r="143" ht="18" customHeight="1" x14ac:dyDescent="0.25"/>
    <row r="144" ht="18.75" customHeight="1" x14ac:dyDescent="0.25"/>
    <row r="145" ht="18.75" customHeight="1" x14ac:dyDescent="0.25"/>
    <row r="146" ht="18.75" customHeight="1" x14ac:dyDescent="0.25"/>
    <row r="147" ht="18.75" customHeight="1" x14ac:dyDescent="0.25"/>
    <row r="148" ht="18.75" customHeight="1" x14ac:dyDescent="0.25"/>
    <row r="149" ht="18.75" customHeight="1" x14ac:dyDescent="0.25"/>
    <row r="150" ht="18.75" customHeight="1" x14ac:dyDescent="0.25"/>
    <row r="151" ht="18.75" customHeight="1" x14ac:dyDescent="0.25"/>
    <row r="152" ht="18.75" customHeight="1" x14ac:dyDescent="0.25"/>
    <row r="153" ht="18.75" customHeight="1" x14ac:dyDescent="0.25"/>
    <row r="154" ht="18.75" customHeight="1" x14ac:dyDescent="0.25"/>
    <row r="155" ht="18.75" customHeight="1" x14ac:dyDescent="0.25"/>
    <row r="156" ht="18.75" customHeight="1" x14ac:dyDescent="0.25"/>
    <row r="157" ht="18.75" customHeight="1" x14ac:dyDescent="0.25"/>
    <row r="158" ht="18.75" customHeight="1" x14ac:dyDescent="0.25"/>
    <row r="159" ht="18.75" customHeight="1" x14ac:dyDescent="0.25"/>
    <row r="160" ht="18.75" customHeight="1" x14ac:dyDescent="0.25"/>
    <row r="161" ht="18.75" customHeight="1" x14ac:dyDescent="0.25"/>
    <row r="162" ht="18.75" customHeight="1" x14ac:dyDescent="0.25"/>
    <row r="163" ht="18.75" customHeight="1" x14ac:dyDescent="0.25"/>
    <row r="164" ht="18.75" customHeight="1" x14ac:dyDescent="0.25"/>
    <row r="165" ht="18.75" customHeight="1" x14ac:dyDescent="0.25"/>
    <row r="169" ht="19.5" customHeight="1" x14ac:dyDescent="0.25"/>
    <row r="172" ht="16.5" customHeight="1" x14ac:dyDescent="0.25"/>
    <row r="181" ht="17.25" customHeight="1" x14ac:dyDescent="0.25"/>
    <row r="184" ht="19.5" customHeight="1" x14ac:dyDescent="0.25"/>
  </sheetData>
  <mergeCells count="142">
    <mergeCell ref="A102:A104"/>
    <mergeCell ref="B102:B104"/>
    <mergeCell ref="C102:C104"/>
    <mergeCell ref="D102:D104"/>
    <mergeCell ref="A105:A107"/>
    <mergeCell ref="B105:B107"/>
    <mergeCell ref="C105:C107"/>
    <mergeCell ref="D105:D107"/>
    <mergeCell ref="A108:A110"/>
    <mergeCell ref="B108:B110"/>
    <mergeCell ref="C108:C110"/>
    <mergeCell ref="D108:D110"/>
    <mergeCell ref="A93:A95"/>
    <mergeCell ref="B93:B95"/>
    <mergeCell ref="C93:C95"/>
    <mergeCell ref="D93:D95"/>
    <mergeCell ref="A96:A98"/>
    <mergeCell ref="B96:B98"/>
    <mergeCell ref="C96:C98"/>
    <mergeCell ref="D96:D98"/>
    <mergeCell ref="A99:A101"/>
    <mergeCell ref="B99:B101"/>
    <mergeCell ref="C99:C101"/>
    <mergeCell ref="D99:D101"/>
    <mergeCell ref="A84:A86"/>
    <mergeCell ref="B84:B86"/>
    <mergeCell ref="C84:C86"/>
    <mergeCell ref="D84:D86"/>
    <mergeCell ref="A87:A89"/>
    <mergeCell ref="B87:B89"/>
    <mergeCell ref="C87:C89"/>
    <mergeCell ref="D87:D89"/>
    <mergeCell ref="A90:A92"/>
    <mergeCell ref="B90:B92"/>
    <mergeCell ref="C90:C92"/>
    <mergeCell ref="D90:D92"/>
    <mergeCell ref="A81:A83"/>
    <mergeCell ref="B81:B83"/>
    <mergeCell ref="C81:C83"/>
    <mergeCell ref="D81:D83"/>
    <mergeCell ref="A75:A77"/>
    <mergeCell ref="B75:B77"/>
    <mergeCell ref="C75:C77"/>
    <mergeCell ref="D75:D77"/>
    <mergeCell ref="A78:A80"/>
    <mergeCell ref="B78:B80"/>
    <mergeCell ref="C78:C80"/>
    <mergeCell ref="D78:D80"/>
    <mergeCell ref="A69:A71"/>
    <mergeCell ref="B69:B71"/>
    <mergeCell ref="C69:C71"/>
    <mergeCell ref="D69:D71"/>
    <mergeCell ref="A72:A74"/>
    <mergeCell ref="B72:B74"/>
    <mergeCell ref="C72:C74"/>
    <mergeCell ref="D72:D74"/>
    <mergeCell ref="D60:D62"/>
    <mergeCell ref="A63:A65"/>
    <mergeCell ref="B63:B65"/>
    <mergeCell ref="C63:C65"/>
    <mergeCell ref="D63:D65"/>
    <mergeCell ref="A66:A68"/>
    <mergeCell ref="B66:B68"/>
    <mergeCell ref="C66:C68"/>
    <mergeCell ref="D66:D68"/>
    <mergeCell ref="A57:A59"/>
    <mergeCell ref="B57:B59"/>
    <mergeCell ref="C57:C59"/>
    <mergeCell ref="A60:A62"/>
    <mergeCell ref="B60:B62"/>
    <mergeCell ref="C60:C62"/>
    <mergeCell ref="A51:A53"/>
    <mergeCell ref="B51:B53"/>
    <mergeCell ref="C51:C53"/>
    <mergeCell ref="D51:D53"/>
    <mergeCell ref="A54:A56"/>
    <mergeCell ref="B54:B56"/>
    <mergeCell ref="C54:C56"/>
    <mergeCell ref="D54:D56"/>
    <mergeCell ref="A45:A47"/>
    <mergeCell ref="B45:B47"/>
    <mergeCell ref="C45:C47"/>
    <mergeCell ref="D45:D47"/>
    <mergeCell ref="A48:A50"/>
    <mergeCell ref="B48:B50"/>
    <mergeCell ref="C48:C50"/>
    <mergeCell ref="D48:D50"/>
    <mergeCell ref="A39:A41"/>
    <mergeCell ref="B39:B41"/>
    <mergeCell ref="C39:C41"/>
    <mergeCell ref="D39:D41"/>
    <mergeCell ref="A42:A44"/>
    <mergeCell ref="B42:B44"/>
    <mergeCell ref="C42:C44"/>
    <mergeCell ref="D42:D44"/>
    <mergeCell ref="A33:A35"/>
    <mergeCell ref="B33:B35"/>
    <mergeCell ref="C33:C35"/>
    <mergeCell ref="D33:D35"/>
    <mergeCell ref="A36:A38"/>
    <mergeCell ref="B36:B38"/>
    <mergeCell ref="C36:C38"/>
    <mergeCell ref="D36:D38"/>
    <mergeCell ref="B27:B29"/>
    <mergeCell ref="C27:C29"/>
    <mergeCell ref="D27:D29"/>
    <mergeCell ref="A30:A32"/>
    <mergeCell ref="B30:B32"/>
    <mergeCell ref="C30:C32"/>
    <mergeCell ref="D30:D32"/>
    <mergeCell ref="A21:A23"/>
    <mergeCell ref="B21:B23"/>
    <mergeCell ref="C21:C23"/>
    <mergeCell ref="D21:D23"/>
    <mergeCell ref="A24:A26"/>
    <mergeCell ref="B24:B26"/>
    <mergeCell ref="C24:C26"/>
    <mergeCell ref="D24:D26"/>
    <mergeCell ref="D57:D59"/>
    <mergeCell ref="A1:U1"/>
    <mergeCell ref="A3:U3"/>
    <mergeCell ref="A6:A8"/>
    <mergeCell ref="B6:B8"/>
    <mergeCell ref="C6:C8"/>
    <mergeCell ref="D6:D8"/>
    <mergeCell ref="A15:A17"/>
    <mergeCell ref="B15:B17"/>
    <mergeCell ref="C15:C17"/>
    <mergeCell ref="D15:D17"/>
    <mergeCell ref="A18:A20"/>
    <mergeCell ref="B18:B20"/>
    <mergeCell ref="C18:C20"/>
    <mergeCell ref="D18:D20"/>
    <mergeCell ref="A9:A11"/>
    <mergeCell ref="B9:B11"/>
    <mergeCell ref="C9:C11"/>
    <mergeCell ref="D9:D11"/>
    <mergeCell ref="A12:A14"/>
    <mergeCell ref="B12:B14"/>
    <mergeCell ref="C12:C14"/>
    <mergeCell ref="D12:D14"/>
    <mergeCell ref="A27:A29"/>
  </mergeCells>
  <pageMargins left="0.7" right="0.7" top="0.75" bottom="0.75" header="0.3" footer="0.3"/>
  <pageSetup paperSize="9" scale="80" orientation="landscape" verticalDpi="4294967295" r:id="rId1"/>
  <rowBreaks count="2" manualBreakCount="2">
    <brk id="26" max="16383" man="1"/>
    <brk id="89" max="20" man="1"/>
  </rowBreaks>
  <ignoredErrors>
    <ignoredError sqref="R6:R110" formula="1"/>
  </ignoredError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58"/>
  <sheetViews>
    <sheetView workbookViewId="0">
      <selection activeCell="B4" sqref="B4:B38"/>
    </sheetView>
  </sheetViews>
  <sheetFormatPr defaultRowHeight="15" x14ac:dyDescent="0.25"/>
  <cols>
    <col min="1" max="1" width="6.7109375" style="14" customWidth="1"/>
    <col min="2" max="2" width="35.140625" bestFit="1" customWidth="1"/>
    <col min="3" max="3" width="4.7109375" customWidth="1"/>
    <col min="4" max="4" width="4.140625" customWidth="1"/>
    <col min="5" max="15" width="7.7109375" customWidth="1"/>
    <col min="16" max="20" width="7.7109375" style="14" customWidth="1"/>
  </cols>
  <sheetData>
    <row r="1" spans="1:20" ht="20.25" x14ac:dyDescent="0.25">
      <c r="A1" s="272" t="s">
        <v>69</v>
      </c>
      <c r="B1" s="273"/>
      <c r="C1" s="273"/>
      <c r="D1" s="273"/>
      <c r="E1" s="273"/>
      <c r="F1" s="273"/>
      <c r="G1" s="273"/>
      <c r="H1" s="273"/>
      <c r="I1" s="273"/>
      <c r="J1" s="273"/>
      <c r="K1" s="273"/>
      <c r="L1" s="273"/>
      <c r="M1" s="273"/>
      <c r="N1" s="273"/>
      <c r="O1" s="273"/>
      <c r="P1" s="273"/>
      <c r="Q1" s="273"/>
      <c r="R1" s="273"/>
      <c r="S1" s="273"/>
      <c r="T1" s="274"/>
    </row>
    <row r="2" spans="1:20" ht="18" thickBot="1" x14ac:dyDescent="0.3">
      <c r="A2" s="275" t="s">
        <v>75</v>
      </c>
      <c r="B2" s="275"/>
      <c r="C2" s="275"/>
      <c r="D2" s="275"/>
      <c r="E2" s="275"/>
      <c r="F2" s="275"/>
      <c r="G2" s="275"/>
      <c r="H2" s="275"/>
      <c r="I2" s="275"/>
      <c r="J2" s="275"/>
      <c r="K2" s="275"/>
      <c r="L2" s="275"/>
      <c r="M2" s="275"/>
      <c r="N2" s="275"/>
      <c r="O2" s="275"/>
      <c r="P2" s="275"/>
      <c r="Q2" s="275"/>
      <c r="R2" s="275"/>
      <c r="S2" s="275"/>
      <c r="T2" s="275"/>
    </row>
    <row r="3" spans="1:20" ht="67.5" customHeight="1" thickBot="1" x14ac:dyDescent="0.3">
      <c r="A3" s="21" t="s">
        <v>24</v>
      </c>
      <c r="B3" s="22" t="s">
        <v>1</v>
      </c>
      <c r="C3" s="23" t="s">
        <v>2</v>
      </c>
      <c r="D3" s="22" t="s">
        <v>3</v>
      </c>
      <c r="E3" s="25" t="s">
        <v>4</v>
      </c>
      <c r="F3" s="25" t="s">
        <v>5</v>
      </c>
      <c r="G3" s="25" t="s">
        <v>6</v>
      </c>
      <c r="H3" s="195" t="s">
        <v>10</v>
      </c>
      <c r="I3" s="195" t="s">
        <v>11</v>
      </c>
      <c r="J3" s="195" t="s">
        <v>12</v>
      </c>
      <c r="K3" s="195" t="s">
        <v>13</v>
      </c>
      <c r="L3" s="195" t="s">
        <v>14</v>
      </c>
      <c r="M3" s="195" t="s">
        <v>29</v>
      </c>
      <c r="N3" s="195" t="s">
        <v>30</v>
      </c>
      <c r="O3" s="27" t="s">
        <v>15</v>
      </c>
      <c r="P3" s="25" t="s">
        <v>16</v>
      </c>
      <c r="Q3" s="25" t="s">
        <v>17</v>
      </c>
      <c r="R3" s="25" t="s">
        <v>18</v>
      </c>
      <c r="S3" s="82" t="s">
        <v>19</v>
      </c>
      <c r="T3"/>
    </row>
    <row r="4" spans="1:20" ht="20.100000000000001" customHeight="1" x14ac:dyDescent="0.25">
      <c r="A4" s="136">
        <v>1</v>
      </c>
      <c r="B4" s="142"/>
      <c r="C4" s="180">
        <v>17</v>
      </c>
      <c r="D4" s="142" t="s">
        <v>23</v>
      </c>
      <c r="E4" s="138">
        <v>88</v>
      </c>
      <c r="F4" s="30">
        <v>94</v>
      </c>
      <c r="G4" s="30">
        <v>65</v>
      </c>
      <c r="H4" s="30">
        <v>89</v>
      </c>
      <c r="I4" s="30">
        <v>95</v>
      </c>
      <c r="J4" s="30">
        <v>84</v>
      </c>
      <c r="K4" s="30">
        <v>95</v>
      </c>
      <c r="L4" s="30">
        <v>98</v>
      </c>
      <c r="M4" s="30">
        <v>91</v>
      </c>
      <c r="N4" s="30">
        <v>90</v>
      </c>
      <c r="O4" s="15">
        <f>SUM(E4:N4)</f>
        <v>889</v>
      </c>
      <c r="P4" s="197">
        <f>AVERAGE(E4:N4)</f>
        <v>88.9</v>
      </c>
      <c r="Q4" s="15">
        <f>RANK(P4,$P$4:$P$38)</f>
        <v>4</v>
      </c>
      <c r="R4" s="15"/>
      <c r="S4" s="15"/>
      <c r="T4"/>
    </row>
    <row r="5" spans="1:20" ht="20.100000000000001" customHeight="1" x14ac:dyDescent="0.25">
      <c r="A5" s="121">
        <v>2</v>
      </c>
      <c r="B5" s="142"/>
      <c r="C5" s="180">
        <v>17</v>
      </c>
      <c r="D5" s="142" t="s">
        <v>23</v>
      </c>
      <c r="E5" s="138">
        <v>76</v>
      </c>
      <c r="F5" s="30">
        <v>90</v>
      </c>
      <c r="G5" s="30">
        <v>47</v>
      </c>
      <c r="H5" s="30">
        <v>72</v>
      </c>
      <c r="I5" s="30">
        <v>61</v>
      </c>
      <c r="J5" s="30">
        <v>64</v>
      </c>
      <c r="K5" s="30">
        <v>100</v>
      </c>
      <c r="L5" s="30">
        <v>93</v>
      </c>
      <c r="M5" s="30">
        <v>69</v>
      </c>
      <c r="N5" s="30">
        <v>68</v>
      </c>
      <c r="O5" s="15">
        <f t="shared" ref="O5:O38" si="0">SUM(E5:N5)</f>
        <v>740</v>
      </c>
      <c r="P5" s="197">
        <f t="shared" ref="P5:P38" si="1">AVERAGE(E5:N5)</f>
        <v>74</v>
      </c>
      <c r="Q5" s="15">
        <f t="shared" ref="Q5:Q38" si="2">RANK(P5,$P$4:$P$38)</f>
        <v>15</v>
      </c>
      <c r="R5" s="15"/>
      <c r="S5" s="15"/>
      <c r="T5"/>
    </row>
    <row r="6" spans="1:20" ht="20.100000000000001" customHeight="1" x14ac:dyDescent="0.25">
      <c r="A6" s="137">
        <v>3</v>
      </c>
      <c r="B6" s="142"/>
      <c r="C6" s="180">
        <v>18</v>
      </c>
      <c r="D6" s="142" t="s">
        <v>23</v>
      </c>
      <c r="E6" s="138">
        <v>71</v>
      </c>
      <c r="F6" s="30">
        <v>78</v>
      </c>
      <c r="G6" s="30">
        <v>50</v>
      </c>
      <c r="H6" s="30">
        <v>65</v>
      </c>
      <c r="I6" s="30">
        <v>59</v>
      </c>
      <c r="J6" s="30">
        <v>54</v>
      </c>
      <c r="K6" s="30">
        <v>83</v>
      </c>
      <c r="L6" s="30">
        <v>93</v>
      </c>
      <c r="M6" s="30">
        <v>63</v>
      </c>
      <c r="N6" s="30">
        <v>63</v>
      </c>
      <c r="O6" s="15">
        <f t="shared" si="0"/>
        <v>679</v>
      </c>
      <c r="P6" s="197">
        <f t="shared" si="1"/>
        <v>67.900000000000006</v>
      </c>
      <c r="Q6" s="15">
        <f t="shared" si="2"/>
        <v>25</v>
      </c>
      <c r="R6" s="15"/>
      <c r="S6" s="15"/>
      <c r="T6"/>
    </row>
    <row r="7" spans="1:20" ht="20.100000000000001" customHeight="1" x14ac:dyDescent="0.25">
      <c r="A7" s="121">
        <v>4</v>
      </c>
      <c r="B7" s="142"/>
      <c r="C7" s="180">
        <v>17</v>
      </c>
      <c r="D7" s="142" t="s">
        <v>23</v>
      </c>
      <c r="E7" s="138">
        <v>93</v>
      </c>
      <c r="F7" s="30">
        <v>89</v>
      </c>
      <c r="G7" s="30">
        <v>65</v>
      </c>
      <c r="H7" s="30">
        <v>88</v>
      </c>
      <c r="I7" s="30">
        <v>96</v>
      </c>
      <c r="J7" s="30">
        <v>90</v>
      </c>
      <c r="K7" s="30">
        <v>96</v>
      </c>
      <c r="L7" s="30">
        <v>97</v>
      </c>
      <c r="M7" s="30">
        <v>89</v>
      </c>
      <c r="N7" s="30">
        <v>88</v>
      </c>
      <c r="O7" s="15">
        <f t="shared" si="0"/>
        <v>891</v>
      </c>
      <c r="P7" s="197">
        <f t="shared" si="1"/>
        <v>89.1</v>
      </c>
      <c r="Q7" s="15">
        <f t="shared" si="2"/>
        <v>3</v>
      </c>
      <c r="R7" s="15"/>
      <c r="S7" s="15"/>
      <c r="T7"/>
    </row>
    <row r="8" spans="1:20" ht="20.100000000000001" customHeight="1" x14ac:dyDescent="0.25">
      <c r="A8" s="121">
        <v>5</v>
      </c>
      <c r="B8" s="142"/>
      <c r="C8" s="180">
        <v>18</v>
      </c>
      <c r="D8" s="142" t="s">
        <v>23</v>
      </c>
      <c r="E8" s="138">
        <v>71</v>
      </c>
      <c r="F8" s="30">
        <v>79</v>
      </c>
      <c r="G8" s="30">
        <v>47</v>
      </c>
      <c r="H8" s="30">
        <v>60</v>
      </c>
      <c r="I8" s="30">
        <v>62</v>
      </c>
      <c r="J8" s="30">
        <v>62</v>
      </c>
      <c r="K8" s="30">
        <v>80</v>
      </c>
      <c r="L8" s="30">
        <v>84</v>
      </c>
      <c r="M8" s="30">
        <v>58</v>
      </c>
      <c r="N8" s="30">
        <v>53</v>
      </c>
      <c r="O8" s="15">
        <f t="shared" si="0"/>
        <v>656</v>
      </c>
      <c r="P8" s="197">
        <f t="shared" si="1"/>
        <v>65.599999999999994</v>
      </c>
      <c r="Q8" s="15">
        <f t="shared" si="2"/>
        <v>28</v>
      </c>
      <c r="R8" s="15"/>
      <c r="S8" s="15"/>
      <c r="T8"/>
    </row>
    <row r="9" spans="1:20" ht="20.100000000000001" customHeight="1" x14ac:dyDescent="0.25">
      <c r="A9" s="137">
        <v>6</v>
      </c>
      <c r="B9" s="142"/>
      <c r="C9" s="180">
        <v>17</v>
      </c>
      <c r="D9" s="142" t="s">
        <v>23</v>
      </c>
      <c r="E9" s="138">
        <v>88</v>
      </c>
      <c r="F9" s="30">
        <v>85</v>
      </c>
      <c r="G9" s="30">
        <v>50</v>
      </c>
      <c r="H9" s="30">
        <v>87</v>
      </c>
      <c r="I9" s="30">
        <v>89</v>
      </c>
      <c r="J9" s="30">
        <v>86</v>
      </c>
      <c r="K9" s="30">
        <v>98</v>
      </c>
      <c r="L9" s="30">
        <v>100</v>
      </c>
      <c r="M9" s="30">
        <v>89</v>
      </c>
      <c r="N9" s="30">
        <v>80</v>
      </c>
      <c r="O9" s="15">
        <f t="shared" si="0"/>
        <v>852</v>
      </c>
      <c r="P9" s="197">
        <f t="shared" si="1"/>
        <v>85.2</v>
      </c>
      <c r="Q9" s="15">
        <f t="shared" si="2"/>
        <v>7</v>
      </c>
      <c r="R9" s="15"/>
      <c r="S9" s="15"/>
      <c r="T9"/>
    </row>
    <row r="10" spans="1:20" ht="20.100000000000001" customHeight="1" x14ac:dyDescent="0.25">
      <c r="A10" s="121">
        <v>7</v>
      </c>
      <c r="B10" s="142"/>
      <c r="C10" s="180">
        <v>17</v>
      </c>
      <c r="D10" s="142" t="s">
        <v>23</v>
      </c>
      <c r="E10" s="138">
        <v>69</v>
      </c>
      <c r="F10" s="30">
        <v>76</v>
      </c>
      <c r="G10" s="30">
        <v>46</v>
      </c>
      <c r="H10" s="30">
        <v>65</v>
      </c>
      <c r="I10" s="30">
        <v>60</v>
      </c>
      <c r="J10" s="30">
        <v>70</v>
      </c>
      <c r="K10" s="30">
        <v>78</v>
      </c>
      <c r="L10" s="30">
        <v>88</v>
      </c>
      <c r="M10" s="30">
        <v>50</v>
      </c>
      <c r="N10" s="30">
        <v>70</v>
      </c>
      <c r="O10" s="15">
        <f t="shared" si="0"/>
        <v>672</v>
      </c>
      <c r="P10" s="197">
        <f t="shared" si="1"/>
        <v>67.2</v>
      </c>
      <c r="Q10" s="15">
        <f t="shared" si="2"/>
        <v>27</v>
      </c>
      <c r="R10" s="15"/>
      <c r="S10" s="15"/>
      <c r="T10"/>
    </row>
    <row r="11" spans="1:20" ht="20.100000000000001" customHeight="1" x14ac:dyDescent="0.25">
      <c r="A11" s="121">
        <v>8</v>
      </c>
      <c r="B11" s="142"/>
      <c r="C11" s="180">
        <v>17</v>
      </c>
      <c r="D11" s="142" t="s">
        <v>23</v>
      </c>
      <c r="E11" s="138">
        <v>72</v>
      </c>
      <c r="F11" s="30">
        <v>74</v>
      </c>
      <c r="G11" s="30">
        <v>50</v>
      </c>
      <c r="H11" s="30">
        <v>58</v>
      </c>
      <c r="I11" s="30">
        <v>55</v>
      </c>
      <c r="J11" s="30">
        <v>56</v>
      </c>
      <c r="K11" s="30">
        <v>83</v>
      </c>
      <c r="L11" s="30">
        <v>83</v>
      </c>
      <c r="M11" s="30">
        <v>55</v>
      </c>
      <c r="N11" s="30">
        <v>66</v>
      </c>
      <c r="O11" s="15">
        <f t="shared" si="0"/>
        <v>652</v>
      </c>
      <c r="P11" s="197">
        <f t="shared" si="1"/>
        <v>65.2</v>
      </c>
      <c r="Q11" s="15">
        <f t="shared" si="2"/>
        <v>29</v>
      </c>
      <c r="R11" s="15"/>
      <c r="S11" s="15"/>
      <c r="T11"/>
    </row>
    <row r="12" spans="1:20" ht="20.100000000000001" customHeight="1" x14ac:dyDescent="0.25">
      <c r="A12" s="137">
        <v>9</v>
      </c>
      <c r="B12" s="142"/>
      <c r="C12" s="180">
        <v>18</v>
      </c>
      <c r="D12" s="142" t="s">
        <v>23</v>
      </c>
      <c r="E12" s="138">
        <v>86</v>
      </c>
      <c r="F12" s="30">
        <v>83</v>
      </c>
      <c r="G12" s="30">
        <v>65</v>
      </c>
      <c r="H12" s="30">
        <v>86</v>
      </c>
      <c r="I12" s="30">
        <v>78</v>
      </c>
      <c r="J12" s="30">
        <v>86</v>
      </c>
      <c r="K12" s="30">
        <v>97</v>
      </c>
      <c r="L12" s="30">
        <v>96</v>
      </c>
      <c r="M12" s="30">
        <v>86</v>
      </c>
      <c r="N12" s="30">
        <v>86</v>
      </c>
      <c r="O12" s="15">
        <f t="shared" si="0"/>
        <v>849</v>
      </c>
      <c r="P12" s="197">
        <f t="shared" si="1"/>
        <v>84.9</v>
      </c>
      <c r="Q12" s="15">
        <f t="shared" si="2"/>
        <v>8</v>
      </c>
      <c r="R12" s="15"/>
      <c r="S12" s="15"/>
      <c r="T12"/>
    </row>
    <row r="13" spans="1:20" ht="20.100000000000001" customHeight="1" x14ac:dyDescent="0.25">
      <c r="A13" s="121">
        <v>10</v>
      </c>
      <c r="B13" s="142"/>
      <c r="C13" s="180">
        <v>18</v>
      </c>
      <c r="D13" s="142" t="s">
        <v>23</v>
      </c>
      <c r="E13" s="138">
        <v>84</v>
      </c>
      <c r="F13" s="30">
        <v>87</v>
      </c>
      <c r="G13" s="30">
        <v>63</v>
      </c>
      <c r="H13" s="30">
        <v>89</v>
      </c>
      <c r="I13" s="30">
        <v>91</v>
      </c>
      <c r="J13" s="30">
        <v>88</v>
      </c>
      <c r="K13" s="30">
        <v>100</v>
      </c>
      <c r="L13" s="30">
        <v>97</v>
      </c>
      <c r="M13" s="30">
        <v>92</v>
      </c>
      <c r="N13" s="30">
        <v>95</v>
      </c>
      <c r="O13" s="15">
        <f t="shared" si="0"/>
        <v>886</v>
      </c>
      <c r="P13" s="197">
        <f t="shared" si="1"/>
        <v>88.6</v>
      </c>
      <c r="Q13" s="15">
        <f t="shared" si="2"/>
        <v>5</v>
      </c>
      <c r="R13" s="15"/>
      <c r="S13" s="15"/>
      <c r="T13"/>
    </row>
    <row r="14" spans="1:20" ht="20.100000000000001" customHeight="1" x14ac:dyDescent="0.25">
      <c r="A14" s="137">
        <v>11</v>
      </c>
      <c r="B14" s="142"/>
      <c r="C14" s="180">
        <v>18</v>
      </c>
      <c r="D14" s="142" t="s">
        <v>20</v>
      </c>
      <c r="E14" s="138">
        <v>88</v>
      </c>
      <c r="F14" s="30">
        <v>90</v>
      </c>
      <c r="G14" s="30">
        <v>82</v>
      </c>
      <c r="H14" s="30">
        <v>95</v>
      </c>
      <c r="I14" s="30">
        <v>92</v>
      </c>
      <c r="J14" s="30">
        <v>93</v>
      </c>
      <c r="K14" s="30">
        <v>99</v>
      </c>
      <c r="L14" s="30">
        <v>97</v>
      </c>
      <c r="M14" s="30">
        <v>97</v>
      </c>
      <c r="N14" s="30">
        <v>96</v>
      </c>
      <c r="O14" s="15">
        <f t="shared" si="0"/>
        <v>929</v>
      </c>
      <c r="P14" s="197">
        <f t="shared" si="1"/>
        <v>92.9</v>
      </c>
      <c r="Q14" s="15">
        <f t="shared" si="2"/>
        <v>1</v>
      </c>
      <c r="R14" s="15"/>
      <c r="S14" s="15"/>
      <c r="T14"/>
    </row>
    <row r="15" spans="1:20" ht="20.100000000000001" customHeight="1" x14ac:dyDescent="0.25">
      <c r="A15" s="137">
        <v>12</v>
      </c>
      <c r="B15" s="142"/>
      <c r="C15" s="180">
        <v>18</v>
      </c>
      <c r="D15" s="142" t="s">
        <v>23</v>
      </c>
      <c r="E15" s="138">
        <v>87</v>
      </c>
      <c r="F15" s="30">
        <v>79</v>
      </c>
      <c r="G15" s="30">
        <v>57</v>
      </c>
      <c r="H15" s="30">
        <v>81</v>
      </c>
      <c r="I15" s="30">
        <v>77</v>
      </c>
      <c r="J15" s="30">
        <v>79</v>
      </c>
      <c r="K15" s="30">
        <v>95</v>
      </c>
      <c r="L15" s="30">
        <v>92</v>
      </c>
      <c r="M15" s="30">
        <v>85</v>
      </c>
      <c r="N15" s="30">
        <v>90</v>
      </c>
      <c r="O15" s="15">
        <f t="shared" si="0"/>
        <v>822</v>
      </c>
      <c r="P15" s="197">
        <f t="shared" si="1"/>
        <v>82.2</v>
      </c>
      <c r="Q15" s="15">
        <f t="shared" si="2"/>
        <v>9</v>
      </c>
      <c r="R15" s="15"/>
      <c r="S15" s="15"/>
      <c r="T15"/>
    </row>
    <row r="16" spans="1:20" ht="20.100000000000001" customHeight="1" x14ac:dyDescent="0.25">
      <c r="A16" s="137">
        <v>13</v>
      </c>
      <c r="B16" s="142"/>
      <c r="C16" s="142">
        <v>18</v>
      </c>
      <c r="D16" s="142" t="s">
        <v>23</v>
      </c>
      <c r="E16" s="138">
        <v>66</v>
      </c>
      <c r="F16" s="30">
        <v>75</v>
      </c>
      <c r="G16" s="30">
        <v>48</v>
      </c>
      <c r="H16" s="30">
        <v>58</v>
      </c>
      <c r="I16" s="30">
        <v>51</v>
      </c>
      <c r="J16" s="30">
        <v>57</v>
      </c>
      <c r="K16" s="30">
        <v>79</v>
      </c>
      <c r="L16" s="30">
        <v>84</v>
      </c>
      <c r="M16" s="30">
        <v>56</v>
      </c>
      <c r="N16" s="30">
        <v>70</v>
      </c>
      <c r="O16" s="15">
        <f t="shared" si="0"/>
        <v>644</v>
      </c>
      <c r="P16" s="197">
        <f t="shared" si="1"/>
        <v>64.400000000000006</v>
      </c>
      <c r="Q16" s="15">
        <f t="shared" si="2"/>
        <v>30</v>
      </c>
      <c r="R16" s="15"/>
      <c r="S16" s="15"/>
      <c r="T16"/>
    </row>
    <row r="17" spans="1:20" ht="20.100000000000001" customHeight="1" x14ac:dyDescent="0.25">
      <c r="A17" s="121">
        <v>14</v>
      </c>
      <c r="B17" s="142"/>
      <c r="C17" s="180">
        <v>17</v>
      </c>
      <c r="D17" s="142" t="s">
        <v>23</v>
      </c>
      <c r="E17" s="138">
        <v>81</v>
      </c>
      <c r="F17" s="30">
        <v>75</v>
      </c>
      <c r="G17" s="30">
        <v>52</v>
      </c>
      <c r="H17" s="30">
        <v>65</v>
      </c>
      <c r="I17" s="30">
        <v>59</v>
      </c>
      <c r="J17" s="30">
        <v>63</v>
      </c>
      <c r="K17" s="30">
        <v>89</v>
      </c>
      <c r="L17" s="30">
        <v>86</v>
      </c>
      <c r="M17" s="30">
        <v>68</v>
      </c>
      <c r="N17" s="30">
        <v>65</v>
      </c>
      <c r="O17" s="15">
        <f t="shared" si="0"/>
        <v>703</v>
      </c>
      <c r="P17" s="197">
        <f t="shared" si="1"/>
        <v>70.3</v>
      </c>
      <c r="Q17" s="15">
        <f t="shared" si="2"/>
        <v>22</v>
      </c>
      <c r="R17" s="15"/>
      <c r="S17" s="15"/>
      <c r="T17"/>
    </row>
    <row r="18" spans="1:20" ht="20.100000000000001" customHeight="1" x14ac:dyDescent="0.25">
      <c r="A18" s="137">
        <v>15</v>
      </c>
      <c r="B18" s="142"/>
      <c r="C18" s="180">
        <v>17</v>
      </c>
      <c r="D18" s="142" t="s">
        <v>23</v>
      </c>
      <c r="E18" s="138">
        <v>74</v>
      </c>
      <c r="F18" s="30">
        <v>75</v>
      </c>
      <c r="G18" s="31">
        <v>50</v>
      </c>
      <c r="H18" s="30">
        <v>67</v>
      </c>
      <c r="I18" s="30">
        <v>60</v>
      </c>
      <c r="J18" s="30">
        <v>63</v>
      </c>
      <c r="K18" s="30">
        <v>84</v>
      </c>
      <c r="L18" s="30">
        <v>84</v>
      </c>
      <c r="M18" s="30">
        <v>67</v>
      </c>
      <c r="N18" s="30">
        <v>67</v>
      </c>
      <c r="O18" s="15">
        <f t="shared" si="0"/>
        <v>691</v>
      </c>
      <c r="P18" s="197">
        <f t="shared" si="1"/>
        <v>69.099999999999994</v>
      </c>
      <c r="Q18" s="15">
        <f t="shared" si="2"/>
        <v>24</v>
      </c>
      <c r="R18" s="15"/>
      <c r="S18" s="15"/>
      <c r="T18"/>
    </row>
    <row r="19" spans="1:20" ht="20.100000000000001" customHeight="1" x14ac:dyDescent="0.25">
      <c r="A19" s="121">
        <v>16</v>
      </c>
      <c r="B19" s="142"/>
      <c r="C19" s="180">
        <v>17</v>
      </c>
      <c r="D19" s="142" t="s">
        <v>23</v>
      </c>
      <c r="E19" s="138">
        <v>76</v>
      </c>
      <c r="F19" s="30">
        <v>87</v>
      </c>
      <c r="G19" s="30">
        <v>62</v>
      </c>
      <c r="H19" s="30">
        <v>77</v>
      </c>
      <c r="I19" s="30">
        <v>76</v>
      </c>
      <c r="J19" s="30">
        <v>72</v>
      </c>
      <c r="K19" s="30">
        <v>90</v>
      </c>
      <c r="L19" s="30">
        <v>90</v>
      </c>
      <c r="M19" s="30">
        <v>81</v>
      </c>
      <c r="N19" s="30">
        <v>78</v>
      </c>
      <c r="O19" s="15">
        <f t="shared" si="0"/>
        <v>789</v>
      </c>
      <c r="P19" s="197">
        <f t="shared" si="1"/>
        <v>78.900000000000006</v>
      </c>
      <c r="Q19" s="15">
        <f t="shared" si="2"/>
        <v>11</v>
      </c>
      <c r="R19" s="15"/>
      <c r="S19" s="15"/>
      <c r="T19"/>
    </row>
    <row r="20" spans="1:20" ht="20.100000000000001" customHeight="1" x14ac:dyDescent="0.25">
      <c r="A20" s="121">
        <v>17</v>
      </c>
      <c r="B20" s="142"/>
      <c r="C20" s="180">
        <v>17</v>
      </c>
      <c r="D20" s="142" t="s">
        <v>23</v>
      </c>
      <c r="E20" s="138">
        <v>64</v>
      </c>
      <c r="F20" s="30">
        <v>64</v>
      </c>
      <c r="G20" s="30">
        <v>48</v>
      </c>
      <c r="H20" s="30">
        <v>54</v>
      </c>
      <c r="I20" s="30">
        <v>53</v>
      </c>
      <c r="J20" s="30">
        <v>54</v>
      </c>
      <c r="K20" s="30">
        <v>76</v>
      </c>
      <c r="L20" s="30">
        <v>85</v>
      </c>
      <c r="M20" s="30">
        <v>52</v>
      </c>
      <c r="N20" s="30">
        <v>53</v>
      </c>
      <c r="O20" s="15">
        <f t="shared" si="0"/>
        <v>603</v>
      </c>
      <c r="P20" s="197">
        <f t="shared" si="1"/>
        <v>60.3</v>
      </c>
      <c r="Q20" s="15">
        <f t="shared" si="2"/>
        <v>33</v>
      </c>
      <c r="R20" s="15"/>
      <c r="S20" s="15"/>
      <c r="T20"/>
    </row>
    <row r="21" spans="1:20" ht="20.100000000000001" customHeight="1" x14ac:dyDescent="0.25">
      <c r="A21" s="121">
        <v>18</v>
      </c>
      <c r="B21" s="142"/>
      <c r="C21" s="180">
        <v>17</v>
      </c>
      <c r="D21" s="142" t="s">
        <v>23</v>
      </c>
      <c r="E21" s="138">
        <v>71</v>
      </c>
      <c r="F21" s="30">
        <v>71</v>
      </c>
      <c r="G21" s="31">
        <v>53</v>
      </c>
      <c r="H21" s="30">
        <v>66</v>
      </c>
      <c r="I21" s="30">
        <v>55</v>
      </c>
      <c r="J21" s="30">
        <v>62</v>
      </c>
      <c r="K21" s="30">
        <v>86</v>
      </c>
      <c r="L21" s="30">
        <v>89</v>
      </c>
      <c r="M21" s="30">
        <v>67</v>
      </c>
      <c r="N21" s="30">
        <v>58</v>
      </c>
      <c r="O21" s="15">
        <f t="shared" si="0"/>
        <v>678</v>
      </c>
      <c r="P21" s="197">
        <f t="shared" si="1"/>
        <v>67.8</v>
      </c>
      <c r="Q21" s="15">
        <f t="shared" si="2"/>
        <v>26</v>
      </c>
      <c r="R21" s="15"/>
      <c r="S21" s="15"/>
      <c r="T21"/>
    </row>
    <row r="22" spans="1:20" ht="20.100000000000001" customHeight="1" x14ac:dyDescent="0.25">
      <c r="A22" s="137">
        <v>19</v>
      </c>
      <c r="B22" s="142"/>
      <c r="C22" s="180">
        <v>17</v>
      </c>
      <c r="D22" s="142" t="s">
        <v>23</v>
      </c>
      <c r="E22" s="138">
        <v>85</v>
      </c>
      <c r="F22" s="30">
        <v>94</v>
      </c>
      <c r="G22" s="30">
        <v>78</v>
      </c>
      <c r="H22" s="30">
        <v>93</v>
      </c>
      <c r="I22" s="30">
        <v>94</v>
      </c>
      <c r="J22" s="30">
        <v>88</v>
      </c>
      <c r="K22" s="30">
        <v>97</v>
      </c>
      <c r="L22" s="30">
        <v>96</v>
      </c>
      <c r="M22" s="30">
        <v>97</v>
      </c>
      <c r="N22" s="30">
        <v>95</v>
      </c>
      <c r="O22" s="15">
        <f t="shared" si="0"/>
        <v>917</v>
      </c>
      <c r="P22" s="197">
        <f t="shared" si="1"/>
        <v>91.7</v>
      </c>
      <c r="Q22" s="15">
        <f t="shared" si="2"/>
        <v>2</v>
      </c>
      <c r="R22" s="15"/>
      <c r="S22" s="15"/>
      <c r="T22"/>
    </row>
    <row r="23" spans="1:20" ht="20.100000000000001" customHeight="1" x14ac:dyDescent="0.25">
      <c r="A23" s="137">
        <v>20</v>
      </c>
      <c r="B23" s="142"/>
      <c r="C23" s="180">
        <v>17</v>
      </c>
      <c r="D23" s="142" t="s">
        <v>23</v>
      </c>
      <c r="E23" s="138">
        <v>61</v>
      </c>
      <c r="F23" s="30">
        <v>66</v>
      </c>
      <c r="G23" s="30">
        <v>45</v>
      </c>
      <c r="H23" s="30">
        <v>55</v>
      </c>
      <c r="I23" s="30">
        <v>50</v>
      </c>
      <c r="J23" s="30">
        <v>54</v>
      </c>
      <c r="K23" s="30">
        <v>82</v>
      </c>
      <c r="L23" s="30">
        <v>84</v>
      </c>
      <c r="M23" s="30">
        <v>54</v>
      </c>
      <c r="N23" s="30">
        <v>54</v>
      </c>
      <c r="O23" s="15">
        <f t="shared" si="0"/>
        <v>605</v>
      </c>
      <c r="P23" s="197">
        <f t="shared" si="1"/>
        <v>60.5</v>
      </c>
      <c r="Q23" s="15">
        <f t="shared" si="2"/>
        <v>32</v>
      </c>
      <c r="R23" s="15"/>
      <c r="S23" s="15"/>
      <c r="T23"/>
    </row>
    <row r="24" spans="1:20" ht="20.100000000000001" customHeight="1" x14ac:dyDescent="0.25">
      <c r="A24" s="137">
        <v>21</v>
      </c>
      <c r="B24" s="142"/>
      <c r="C24" s="180">
        <v>18</v>
      </c>
      <c r="D24" s="142" t="s">
        <v>20</v>
      </c>
      <c r="E24" s="138">
        <v>72</v>
      </c>
      <c r="F24" s="30">
        <v>87</v>
      </c>
      <c r="G24" s="30">
        <v>48</v>
      </c>
      <c r="H24" s="30">
        <v>68</v>
      </c>
      <c r="I24" s="30">
        <v>65</v>
      </c>
      <c r="J24" s="30">
        <v>72</v>
      </c>
      <c r="K24" s="30">
        <v>95</v>
      </c>
      <c r="L24" s="30">
        <v>96</v>
      </c>
      <c r="M24" s="30">
        <v>66</v>
      </c>
      <c r="N24" s="30">
        <v>68</v>
      </c>
      <c r="O24" s="15">
        <f t="shared" si="0"/>
        <v>737</v>
      </c>
      <c r="P24" s="197">
        <f t="shared" si="1"/>
        <v>73.7</v>
      </c>
      <c r="Q24" s="15">
        <f t="shared" si="2"/>
        <v>18</v>
      </c>
      <c r="R24" s="15"/>
      <c r="S24" s="15"/>
      <c r="T24"/>
    </row>
    <row r="25" spans="1:20" ht="20.100000000000001" customHeight="1" x14ac:dyDescent="0.25">
      <c r="A25" s="121">
        <v>22</v>
      </c>
      <c r="B25" s="142"/>
      <c r="C25" s="180">
        <v>18</v>
      </c>
      <c r="D25" s="142" t="s">
        <v>23</v>
      </c>
      <c r="E25" s="222"/>
      <c r="F25" s="223"/>
      <c r="G25" s="223"/>
      <c r="H25" s="223"/>
      <c r="I25" s="223"/>
      <c r="J25" s="223"/>
      <c r="K25" s="223"/>
      <c r="L25" s="223"/>
      <c r="M25" s="223"/>
      <c r="N25" s="223"/>
      <c r="O25" s="15">
        <f t="shared" si="0"/>
        <v>0</v>
      </c>
      <c r="P25" s="197"/>
      <c r="Q25" s="15"/>
      <c r="R25" s="15"/>
      <c r="S25" s="15"/>
      <c r="T25"/>
    </row>
    <row r="26" spans="1:20" ht="20.100000000000001" customHeight="1" x14ac:dyDescent="0.25">
      <c r="A26" s="121">
        <v>23</v>
      </c>
      <c r="B26" s="142"/>
      <c r="C26" s="180">
        <v>17</v>
      </c>
      <c r="D26" s="142" t="s">
        <v>23</v>
      </c>
      <c r="E26" s="138">
        <v>69</v>
      </c>
      <c r="F26" s="30">
        <v>81</v>
      </c>
      <c r="G26" s="30">
        <v>54</v>
      </c>
      <c r="H26" s="30">
        <v>67</v>
      </c>
      <c r="I26" s="30">
        <v>59</v>
      </c>
      <c r="J26" s="30">
        <v>62</v>
      </c>
      <c r="K26" s="30">
        <v>98</v>
      </c>
      <c r="L26" s="30">
        <v>83</v>
      </c>
      <c r="M26" s="30">
        <v>52</v>
      </c>
      <c r="N26" s="30">
        <v>79</v>
      </c>
      <c r="O26" s="15">
        <f t="shared" si="0"/>
        <v>704</v>
      </c>
      <c r="P26" s="197">
        <f t="shared" si="1"/>
        <v>70.400000000000006</v>
      </c>
      <c r="Q26" s="15">
        <f t="shared" si="2"/>
        <v>21</v>
      </c>
      <c r="R26" s="15"/>
      <c r="S26" s="15"/>
      <c r="T26"/>
    </row>
    <row r="27" spans="1:20" ht="20.100000000000001" customHeight="1" x14ac:dyDescent="0.25">
      <c r="A27" s="137">
        <v>24</v>
      </c>
      <c r="B27" s="142"/>
      <c r="C27" s="180">
        <v>17</v>
      </c>
      <c r="D27" s="142" t="s">
        <v>23</v>
      </c>
      <c r="E27" s="138">
        <v>85</v>
      </c>
      <c r="F27" s="30">
        <v>74</v>
      </c>
      <c r="G27" s="31">
        <v>50</v>
      </c>
      <c r="H27" s="31">
        <v>68</v>
      </c>
      <c r="I27" s="30">
        <v>77</v>
      </c>
      <c r="J27" s="31">
        <v>72</v>
      </c>
      <c r="K27" s="30">
        <v>90</v>
      </c>
      <c r="L27" s="30">
        <v>80</v>
      </c>
      <c r="M27" s="30">
        <v>63</v>
      </c>
      <c r="N27" s="30">
        <v>59</v>
      </c>
      <c r="O27" s="15">
        <f t="shared" si="0"/>
        <v>718</v>
      </c>
      <c r="P27" s="197">
        <f t="shared" si="1"/>
        <v>71.8</v>
      </c>
      <c r="Q27" s="15">
        <f t="shared" si="2"/>
        <v>19</v>
      </c>
      <c r="R27" s="15"/>
      <c r="S27" s="15"/>
      <c r="T27"/>
    </row>
    <row r="28" spans="1:20" ht="20.100000000000001" customHeight="1" x14ac:dyDescent="0.25">
      <c r="A28" s="121">
        <v>25</v>
      </c>
      <c r="B28" s="181"/>
      <c r="C28" s="182">
        <v>17</v>
      </c>
      <c r="D28" s="181" t="s">
        <v>23</v>
      </c>
      <c r="E28" s="138">
        <v>70</v>
      </c>
      <c r="F28" s="31">
        <v>72</v>
      </c>
      <c r="G28" s="31">
        <v>46</v>
      </c>
      <c r="H28" s="30">
        <v>57</v>
      </c>
      <c r="I28" s="31">
        <v>53</v>
      </c>
      <c r="J28" s="30">
        <v>56</v>
      </c>
      <c r="K28" s="30">
        <v>80</v>
      </c>
      <c r="L28" s="30">
        <v>80</v>
      </c>
      <c r="M28" s="30">
        <v>47</v>
      </c>
      <c r="N28" s="30">
        <v>61</v>
      </c>
      <c r="O28" s="15">
        <f t="shared" si="0"/>
        <v>622</v>
      </c>
      <c r="P28" s="197">
        <f t="shared" si="1"/>
        <v>62.2</v>
      </c>
      <c r="Q28" s="15">
        <f t="shared" si="2"/>
        <v>31</v>
      </c>
      <c r="R28" s="15"/>
      <c r="S28" s="15"/>
      <c r="T28"/>
    </row>
    <row r="29" spans="1:20" ht="20.100000000000001" customHeight="1" x14ac:dyDescent="0.25">
      <c r="A29" s="137">
        <v>26</v>
      </c>
      <c r="B29" s="142"/>
      <c r="C29" s="180">
        <v>16</v>
      </c>
      <c r="D29" s="142" t="s">
        <v>23</v>
      </c>
      <c r="E29" s="138">
        <v>83</v>
      </c>
      <c r="F29" s="30">
        <v>89</v>
      </c>
      <c r="G29" s="30">
        <v>48</v>
      </c>
      <c r="H29" s="30">
        <v>75</v>
      </c>
      <c r="I29" s="30">
        <v>67</v>
      </c>
      <c r="J29" s="30">
        <v>75</v>
      </c>
      <c r="K29" s="30">
        <v>94</v>
      </c>
      <c r="L29" s="30">
        <v>92</v>
      </c>
      <c r="M29" s="30">
        <v>78</v>
      </c>
      <c r="N29" s="30">
        <v>82</v>
      </c>
      <c r="O29" s="15">
        <f t="shared" si="0"/>
        <v>783</v>
      </c>
      <c r="P29" s="197">
        <f t="shared" si="1"/>
        <v>78.3</v>
      </c>
      <c r="Q29" s="15">
        <f t="shared" si="2"/>
        <v>13</v>
      </c>
      <c r="R29" s="15"/>
      <c r="S29" s="15"/>
      <c r="T29"/>
    </row>
    <row r="30" spans="1:20" ht="20.100000000000001" customHeight="1" x14ac:dyDescent="0.25">
      <c r="A30" s="121">
        <v>27</v>
      </c>
      <c r="B30" s="142"/>
      <c r="C30" s="180">
        <v>16</v>
      </c>
      <c r="D30" s="142" t="s">
        <v>23</v>
      </c>
      <c r="E30" s="192">
        <v>77</v>
      </c>
      <c r="F30" s="207">
        <v>78</v>
      </c>
      <c r="G30" s="207">
        <v>52</v>
      </c>
      <c r="H30" s="207">
        <v>68</v>
      </c>
      <c r="I30" s="207">
        <v>60</v>
      </c>
      <c r="J30" s="207">
        <v>66</v>
      </c>
      <c r="K30" s="207">
        <v>94</v>
      </c>
      <c r="L30" s="207">
        <v>80</v>
      </c>
      <c r="M30" s="207">
        <v>60</v>
      </c>
      <c r="N30" s="207">
        <v>73</v>
      </c>
      <c r="O30" s="15">
        <f t="shared" si="0"/>
        <v>708</v>
      </c>
      <c r="P30" s="197">
        <f t="shared" si="1"/>
        <v>70.8</v>
      </c>
      <c r="Q30" s="15">
        <f t="shared" si="2"/>
        <v>20</v>
      </c>
      <c r="R30" s="207"/>
      <c r="S30" s="207"/>
      <c r="T30"/>
    </row>
    <row r="31" spans="1:20" ht="20.100000000000001" customHeight="1" x14ac:dyDescent="0.25">
      <c r="A31" s="137">
        <v>28</v>
      </c>
      <c r="B31" s="142"/>
      <c r="C31" s="180">
        <v>18</v>
      </c>
      <c r="D31" s="142" t="s">
        <v>23</v>
      </c>
      <c r="E31" s="192">
        <v>78</v>
      </c>
      <c r="F31" s="207">
        <v>87</v>
      </c>
      <c r="G31" s="207">
        <v>50</v>
      </c>
      <c r="H31" s="207">
        <v>68</v>
      </c>
      <c r="I31" s="207">
        <v>59</v>
      </c>
      <c r="J31" s="207">
        <v>70</v>
      </c>
      <c r="K31" s="207">
        <v>86</v>
      </c>
      <c r="L31" s="207">
        <v>87</v>
      </c>
      <c r="M31" s="207">
        <v>71</v>
      </c>
      <c r="N31" s="207">
        <v>82</v>
      </c>
      <c r="O31" s="15">
        <f t="shared" si="0"/>
        <v>738</v>
      </c>
      <c r="P31" s="197">
        <f t="shared" si="1"/>
        <v>73.8</v>
      </c>
      <c r="Q31" s="15">
        <f t="shared" si="2"/>
        <v>16</v>
      </c>
      <c r="R31" s="207"/>
      <c r="S31" s="207"/>
      <c r="T31"/>
    </row>
    <row r="32" spans="1:20" ht="20.100000000000001" customHeight="1" x14ac:dyDescent="0.25">
      <c r="A32" s="121">
        <v>29</v>
      </c>
      <c r="B32" s="142"/>
      <c r="C32" s="180">
        <v>17</v>
      </c>
      <c r="D32" s="142" t="s">
        <v>20</v>
      </c>
      <c r="E32" s="192">
        <v>77</v>
      </c>
      <c r="F32" s="207">
        <v>87</v>
      </c>
      <c r="G32" s="207">
        <v>51</v>
      </c>
      <c r="H32" s="207">
        <v>69</v>
      </c>
      <c r="I32" s="207">
        <v>76</v>
      </c>
      <c r="J32" s="207">
        <v>84</v>
      </c>
      <c r="K32" s="207">
        <v>95</v>
      </c>
      <c r="L32" s="207">
        <v>89</v>
      </c>
      <c r="M32" s="207">
        <v>82</v>
      </c>
      <c r="N32" s="207">
        <v>75</v>
      </c>
      <c r="O32" s="15">
        <f t="shared" si="0"/>
        <v>785</v>
      </c>
      <c r="P32" s="197">
        <f t="shared" si="1"/>
        <v>78.5</v>
      </c>
      <c r="Q32" s="15">
        <f t="shared" si="2"/>
        <v>12</v>
      </c>
      <c r="R32" s="207"/>
      <c r="S32" s="207"/>
      <c r="T32"/>
    </row>
    <row r="33" spans="1:20" ht="20.100000000000001" customHeight="1" x14ac:dyDescent="0.25">
      <c r="A33" s="137">
        <v>30</v>
      </c>
      <c r="B33" s="142"/>
      <c r="C33" s="180">
        <v>17</v>
      </c>
      <c r="D33" s="142" t="s">
        <v>23</v>
      </c>
      <c r="E33" s="192">
        <v>68</v>
      </c>
      <c r="F33" s="207">
        <v>73</v>
      </c>
      <c r="G33" s="207">
        <v>47</v>
      </c>
      <c r="H33" s="207">
        <v>55</v>
      </c>
      <c r="I33" s="207">
        <v>54</v>
      </c>
      <c r="J33" s="207">
        <v>47</v>
      </c>
      <c r="K33" s="207">
        <v>71</v>
      </c>
      <c r="L33" s="207">
        <v>80</v>
      </c>
      <c r="M33" s="207">
        <v>47</v>
      </c>
      <c r="N33" s="207">
        <v>53</v>
      </c>
      <c r="O33" s="15">
        <f t="shared" si="0"/>
        <v>595</v>
      </c>
      <c r="P33" s="197">
        <f t="shared" si="1"/>
        <v>59.5</v>
      </c>
      <c r="Q33" s="15">
        <f t="shared" si="2"/>
        <v>34</v>
      </c>
      <c r="R33" s="207"/>
      <c r="S33" s="207"/>
      <c r="T33"/>
    </row>
    <row r="34" spans="1:20" ht="20.100000000000001" customHeight="1" x14ac:dyDescent="0.25">
      <c r="A34" s="121">
        <v>31</v>
      </c>
      <c r="B34" s="142"/>
      <c r="C34" s="180">
        <v>15</v>
      </c>
      <c r="D34" s="142" t="s">
        <v>23</v>
      </c>
      <c r="E34" s="192">
        <v>76</v>
      </c>
      <c r="F34" s="207">
        <v>73</v>
      </c>
      <c r="G34" s="207">
        <v>50</v>
      </c>
      <c r="H34" s="207">
        <v>75</v>
      </c>
      <c r="I34" s="207">
        <v>65</v>
      </c>
      <c r="J34" s="207">
        <v>71</v>
      </c>
      <c r="K34" s="207">
        <v>87</v>
      </c>
      <c r="L34" s="207">
        <v>96</v>
      </c>
      <c r="M34" s="207">
        <v>74</v>
      </c>
      <c r="N34" s="207">
        <v>71</v>
      </c>
      <c r="O34" s="15">
        <f t="shared" si="0"/>
        <v>738</v>
      </c>
      <c r="P34" s="197">
        <f t="shared" si="1"/>
        <v>73.8</v>
      </c>
      <c r="Q34" s="15">
        <f t="shared" si="2"/>
        <v>16</v>
      </c>
      <c r="R34" s="207"/>
      <c r="S34" s="207"/>
      <c r="T34"/>
    </row>
    <row r="35" spans="1:20" ht="20.100000000000001" customHeight="1" x14ac:dyDescent="0.25">
      <c r="A35" s="137">
        <v>32</v>
      </c>
      <c r="B35" s="142"/>
      <c r="C35" s="180">
        <v>16</v>
      </c>
      <c r="D35" s="142" t="s">
        <v>23</v>
      </c>
      <c r="E35" s="192">
        <v>78</v>
      </c>
      <c r="F35" s="207">
        <v>74</v>
      </c>
      <c r="G35" s="207">
        <v>46</v>
      </c>
      <c r="H35" s="207">
        <v>63</v>
      </c>
      <c r="I35" s="207">
        <v>58</v>
      </c>
      <c r="J35" s="207">
        <v>67</v>
      </c>
      <c r="K35" s="207">
        <v>92</v>
      </c>
      <c r="L35" s="207">
        <v>88</v>
      </c>
      <c r="M35" s="207">
        <v>63</v>
      </c>
      <c r="N35" s="207">
        <v>73</v>
      </c>
      <c r="O35" s="15">
        <f t="shared" si="0"/>
        <v>702</v>
      </c>
      <c r="P35" s="197">
        <f t="shared" si="1"/>
        <v>70.2</v>
      </c>
      <c r="Q35" s="15">
        <f t="shared" si="2"/>
        <v>23</v>
      </c>
      <c r="R35" s="207"/>
      <c r="S35" s="207"/>
      <c r="T35"/>
    </row>
    <row r="36" spans="1:20" ht="20.100000000000001" customHeight="1" x14ac:dyDescent="0.25">
      <c r="A36" s="121">
        <v>33</v>
      </c>
      <c r="B36" s="142"/>
      <c r="C36" s="180">
        <v>16</v>
      </c>
      <c r="D36" s="142" t="s">
        <v>23</v>
      </c>
      <c r="E36" s="192">
        <v>81</v>
      </c>
      <c r="F36" s="207">
        <v>95</v>
      </c>
      <c r="G36" s="207">
        <v>57</v>
      </c>
      <c r="H36" s="207">
        <v>88</v>
      </c>
      <c r="I36" s="207">
        <v>83</v>
      </c>
      <c r="J36" s="207">
        <v>88</v>
      </c>
      <c r="K36" s="207">
        <v>99</v>
      </c>
      <c r="L36" s="207">
        <v>97</v>
      </c>
      <c r="M36" s="207">
        <v>87</v>
      </c>
      <c r="N36" s="207">
        <v>89</v>
      </c>
      <c r="O36" s="15">
        <f t="shared" si="0"/>
        <v>864</v>
      </c>
      <c r="P36" s="197">
        <f t="shared" si="1"/>
        <v>86.4</v>
      </c>
      <c r="Q36" s="15">
        <f t="shared" si="2"/>
        <v>6</v>
      </c>
      <c r="R36" s="207"/>
      <c r="S36" s="207"/>
      <c r="T36"/>
    </row>
    <row r="37" spans="1:20" ht="20.100000000000001" customHeight="1" x14ac:dyDescent="0.25">
      <c r="A37" s="137">
        <v>34</v>
      </c>
      <c r="B37" s="142"/>
      <c r="C37" s="180">
        <v>16</v>
      </c>
      <c r="D37" s="142" t="s">
        <v>23</v>
      </c>
      <c r="E37" s="192">
        <v>81</v>
      </c>
      <c r="F37" s="207">
        <v>80</v>
      </c>
      <c r="G37" s="207">
        <v>55</v>
      </c>
      <c r="H37" s="207">
        <v>73</v>
      </c>
      <c r="I37" s="207">
        <v>61</v>
      </c>
      <c r="J37" s="207">
        <v>80</v>
      </c>
      <c r="K37" s="207">
        <v>85</v>
      </c>
      <c r="L37" s="207">
        <v>94</v>
      </c>
      <c r="M37" s="207">
        <v>76</v>
      </c>
      <c r="N37" s="207">
        <v>81</v>
      </c>
      <c r="O37" s="15">
        <f t="shared" si="0"/>
        <v>766</v>
      </c>
      <c r="P37" s="197">
        <f t="shared" si="1"/>
        <v>76.599999999999994</v>
      </c>
      <c r="Q37" s="15">
        <f t="shared" si="2"/>
        <v>14</v>
      </c>
      <c r="R37" s="207"/>
      <c r="S37" s="207"/>
      <c r="T37"/>
    </row>
    <row r="38" spans="1:20" ht="20.100000000000001" customHeight="1" x14ac:dyDescent="0.25">
      <c r="A38" s="121">
        <v>35</v>
      </c>
      <c r="B38" s="142"/>
      <c r="C38" s="180">
        <v>18</v>
      </c>
      <c r="D38" s="142" t="s">
        <v>20</v>
      </c>
      <c r="E38" s="192">
        <v>79</v>
      </c>
      <c r="F38" s="207">
        <v>68</v>
      </c>
      <c r="G38" s="207">
        <v>67</v>
      </c>
      <c r="H38" s="207">
        <v>77</v>
      </c>
      <c r="I38" s="207">
        <v>81</v>
      </c>
      <c r="J38" s="207">
        <v>78</v>
      </c>
      <c r="K38" s="207">
        <v>85</v>
      </c>
      <c r="L38" s="207">
        <v>92</v>
      </c>
      <c r="M38" s="207">
        <v>89</v>
      </c>
      <c r="N38" s="207">
        <v>77</v>
      </c>
      <c r="O38" s="15">
        <f t="shared" si="0"/>
        <v>793</v>
      </c>
      <c r="P38" s="197">
        <f t="shared" si="1"/>
        <v>79.3</v>
      </c>
      <c r="Q38" s="15">
        <f t="shared" si="2"/>
        <v>10</v>
      </c>
      <c r="R38" s="207"/>
      <c r="S38" s="207"/>
      <c r="T38"/>
    </row>
    <row r="39" spans="1:20" ht="20.100000000000001" customHeight="1" x14ac:dyDescent="0.25">
      <c r="A39" s="137">
        <v>36</v>
      </c>
      <c r="B39" s="69"/>
      <c r="C39" s="69"/>
      <c r="D39" s="69"/>
      <c r="E39" s="20"/>
      <c r="F39" s="20"/>
      <c r="G39" s="20"/>
      <c r="H39" s="20"/>
      <c r="I39" s="20"/>
      <c r="J39" s="20"/>
      <c r="K39" s="20"/>
      <c r="L39" s="20"/>
      <c r="M39" s="20"/>
      <c r="N39" s="20"/>
      <c r="O39" s="20"/>
      <c r="P39" s="33"/>
      <c r="Q39" s="15"/>
      <c r="R39" s="20"/>
      <c r="S39" s="20"/>
      <c r="T39"/>
    </row>
    <row r="40" spans="1:20" ht="20.100000000000001" customHeight="1" x14ac:dyDescent="0.25">
      <c r="A40" s="121">
        <v>37</v>
      </c>
      <c r="B40" s="20"/>
      <c r="C40" s="20"/>
      <c r="D40" s="20"/>
      <c r="E40" s="20"/>
      <c r="F40" s="20"/>
      <c r="G40" s="20"/>
      <c r="H40" s="20"/>
      <c r="I40" s="20"/>
      <c r="J40" s="20"/>
      <c r="K40" s="20"/>
      <c r="L40" s="20"/>
      <c r="M40" s="20"/>
      <c r="N40" s="20"/>
      <c r="O40" s="20"/>
      <c r="P40" s="33"/>
      <c r="Q40" s="15"/>
      <c r="R40" s="20"/>
      <c r="S40" s="20"/>
      <c r="T40"/>
    </row>
    <row r="41" spans="1:20" ht="20.100000000000001" customHeight="1" x14ac:dyDescent="0.25">
      <c r="A41" s="137">
        <v>38</v>
      </c>
      <c r="B41" s="20"/>
      <c r="C41" s="20"/>
      <c r="D41" s="20"/>
      <c r="E41" s="20"/>
      <c r="F41" s="20"/>
      <c r="G41" s="20"/>
      <c r="H41" s="20"/>
      <c r="I41" s="20"/>
      <c r="J41" s="20"/>
      <c r="K41" s="20"/>
      <c r="L41" s="20"/>
      <c r="M41" s="20"/>
      <c r="N41" s="20"/>
      <c r="O41" s="20"/>
      <c r="P41" s="33"/>
      <c r="Q41" s="15"/>
      <c r="R41" s="20"/>
      <c r="S41" s="20"/>
      <c r="T41"/>
    </row>
    <row r="42" spans="1:20" ht="20.100000000000001" customHeight="1" x14ac:dyDescent="0.25">
      <c r="A42" s="121">
        <v>39</v>
      </c>
      <c r="B42" s="20"/>
      <c r="C42" s="20"/>
      <c r="D42" s="20"/>
      <c r="E42" s="20"/>
      <c r="F42" s="20"/>
      <c r="G42" s="20"/>
      <c r="H42" s="20"/>
      <c r="I42" s="20"/>
      <c r="J42" s="20"/>
      <c r="K42" s="20"/>
      <c r="L42" s="20"/>
      <c r="M42" s="20"/>
      <c r="N42" s="20"/>
      <c r="O42" s="20"/>
      <c r="P42" s="33"/>
      <c r="Q42" s="15"/>
      <c r="R42" s="20"/>
      <c r="S42" s="20"/>
      <c r="T42"/>
    </row>
    <row r="43" spans="1:20" ht="20.100000000000001" customHeight="1" x14ac:dyDescent="0.25">
      <c r="A43" s="137">
        <v>40</v>
      </c>
      <c r="B43" s="20"/>
      <c r="C43" s="20"/>
      <c r="D43" s="20"/>
      <c r="E43" s="20"/>
      <c r="F43" s="20"/>
      <c r="G43" s="20"/>
      <c r="H43" s="20"/>
      <c r="I43" s="20"/>
      <c r="J43" s="20"/>
      <c r="K43" s="20"/>
      <c r="L43" s="20"/>
      <c r="M43" s="20"/>
      <c r="N43" s="20"/>
      <c r="O43" s="20"/>
      <c r="P43" s="33"/>
      <c r="Q43" s="15"/>
      <c r="R43" s="20"/>
      <c r="S43" s="20"/>
      <c r="T43"/>
    </row>
    <row r="44" spans="1:20" ht="20.100000000000001" customHeight="1" x14ac:dyDescent="0.25">
      <c r="A44" s="121">
        <v>41</v>
      </c>
      <c r="B44" s="20"/>
      <c r="C44" s="20"/>
      <c r="D44" s="20"/>
      <c r="E44" s="20"/>
      <c r="F44" s="20"/>
      <c r="G44" s="20"/>
      <c r="H44" s="20"/>
      <c r="I44" s="20"/>
      <c r="J44" s="20"/>
      <c r="K44" s="20"/>
      <c r="L44" s="20"/>
      <c r="M44" s="20"/>
      <c r="N44" s="20"/>
      <c r="O44" s="20"/>
      <c r="P44" s="33"/>
      <c r="Q44" s="15"/>
      <c r="R44" s="20"/>
      <c r="S44" s="20"/>
      <c r="T44"/>
    </row>
    <row r="45" spans="1:20" ht="20.100000000000001" customHeight="1" x14ac:dyDescent="0.25">
      <c r="A45" s="137">
        <v>42</v>
      </c>
      <c r="B45" s="20"/>
      <c r="C45" s="20"/>
      <c r="D45" s="20"/>
      <c r="E45" s="20"/>
      <c r="F45" s="20"/>
      <c r="G45" s="20"/>
      <c r="H45" s="20"/>
      <c r="I45" s="20"/>
      <c r="J45" s="20"/>
      <c r="K45" s="20"/>
      <c r="L45" s="20"/>
      <c r="M45" s="20"/>
      <c r="N45" s="20"/>
      <c r="O45" s="20"/>
      <c r="P45" s="33"/>
      <c r="Q45" s="15"/>
      <c r="R45" s="20"/>
      <c r="S45" s="20"/>
      <c r="T45"/>
    </row>
    <row r="46" spans="1:20" ht="20.100000000000001" customHeight="1" x14ac:dyDescent="0.25">
      <c r="A46" s="121">
        <v>43</v>
      </c>
      <c r="B46" s="20"/>
      <c r="C46" s="20"/>
      <c r="D46" s="20"/>
      <c r="E46" s="20"/>
      <c r="F46" s="20"/>
      <c r="G46" s="20"/>
      <c r="H46" s="20"/>
      <c r="I46" s="20"/>
      <c r="J46" s="20"/>
      <c r="K46" s="20"/>
      <c r="L46" s="20"/>
      <c r="M46" s="20"/>
      <c r="N46" s="20"/>
      <c r="O46" s="20"/>
      <c r="P46" s="33"/>
      <c r="Q46" s="15"/>
      <c r="R46" s="20"/>
      <c r="S46" s="20"/>
      <c r="T46"/>
    </row>
    <row r="47" spans="1:20" ht="20.100000000000001" customHeight="1" x14ac:dyDescent="0.25">
      <c r="A47" s="137">
        <v>44</v>
      </c>
      <c r="B47" s="20"/>
      <c r="C47" s="20"/>
      <c r="D47" s="20"/>
      <c r="E47" s="20"/>
      <c r="F47" s="20"/>
      <c r="G47" s="20"/>
      <c r="H47" s="20"/>
      <c r="I47" s="20"/>
      <c r="J47" s="20"/>
      <c r="K47" s="20"/>
      <c r="L47" s="20"/>
      <c r="M47" s="20"/>
      <c r="N47" s="20"/>
      <c r="O47" s="20"/>
      <c r="P47" s="33"/>
      <c r="Q47" s="15"/>
      <c r="R47" s="20"/>
      <c r="S47" s="20"/>
      <c r="T47"/>
    </row>
    <row r="48" spans="1:20" ht="20.100000000000001" customHeight="1" x14ac:dyDescent="0.25">
      <c r="A48" s="121">
        <v>45</v>
      </c>
      <c r="B48" s="20"/>
      <c r="C48" s="20"/>
      <c r="D48" s="20"/>
      <c r="E48" s="20"/>
      <c r="F48" s="20"/>
      <c r="G48" s="20"/>
      <c r="H48" s="20"/>
      <c r="I48" s="20"/>
      <c r="J48" s="20"/>
      <c r="K48" s="20"/>
      <c r="L48" s="20"/>
      <c r="M48" s="20"/>
      <c r="N48" s="20"/>
      <c r="O48" s="20"/>
      <c r="P48" s="33"/>
      <c r="Q48" s="15"/>
      <c r="R48" s="20"/>
      <c r="S48" s="20"/>
      <c r="T48"/>
    </row>
    <row r="49" spans="1:20" ht="20.100000000000001" customHeight="1" x14ac:dyDescent="0.25">
      <c r="A49" s="137">
        <v>46</v>
      </c>
      <c r="B49" s="20"/>
      <c r="C49" s="20"/>
      <c r="D49" s="20"/>
      <c r="E49" s="20"/>
      <c r="F49" s="20"/>
      <c r="G49" s="20"/>
      <c r="H49" s="20"/>
      <c r="I49" s="20"/>
      <c r="J49" s="20"/>
      <c r="K49" s="20"/>
      <c r="L49" s="20"/>
      <c r="M49" s="20"/>
      <c r="N49" s="20"/>
      <c r="O49" s="20"/>
      <c r="P49" s="33"/>
      <c r="Q49" s="15"/>
      <c r="R49" s="20"/>
      <c r="S49" s="20"/>
      <c r="T49"/>
    </row>
    <row r="50" spans="1:20" ht="20.100000000000001" customHeight="1" x14ac:dyDescent="0.25">
      <c r="A50" s="121">
        <v>47</v>
      </c>
      <c r="B50" s="20"/>
      <c r="C50" s="20"/>
      <c r="D50" s="20"/>
      <c r="E50" s="20"/>
      <c r="F50" s="20"/>
      <c r="G50" s="20"/>
      <c r="H50" s="20"/>
      <c r="I50" s="20"/>
      <c r="J50" s="20"/>
      <c r="K50" s="20"/>
      <c r="L50" s="20"/>
      <c r="M50" s="20"/>
      <c r="N50" s="20"/>
      <c r="O50" s="20"/>
      <c r="P50" s="33"/>
      <c r="Q50" s="15"/>
      <c r="R50" s="20"/>
      <c r="S50" s="20"/>
      <c r="T50"/>
    </row>
    <row r="51" spans="1:20" ht="20.100000000000001" customHeight="1" x14ac:dyDescent="0.25">
      <c r="A51" s="137">
        <v>48</v>
      </c>
      <c r="B51" s="20"/>
      <c r="C51" s="20"/>
      <c r="D51" s="20"/>
      <c r="E51" s="20"/>
      <c r="F51" s="20"/>
      <c r="G51" s="20"/>
      <c r="H51" s="20"/>
      <c r="I51" s="20"/>
      <c r="J51" s="20"/>
      <c r="K51" s="20"/>
      <c r="L51" s="20"/>
      <c r="M51" s="20"/>
      <c r="N51" s="20"/>
      <c r="O51" s="20"/>
      <c r="P51" s="33"/>
      <c r="Q51" s="15"/>
      <c r="R51" s="20"/>
      <c r="S51" s="20"/>
      <c r="T51"/>
    </row>
    <row r="52" spans="1:20" ht="20.100000000000001" customHeight="1" x14ac:dyDescent="0.25">
      <c r="A52" s="121">
        <v>49</v>
      </c>
      <c r="B52" s="20"/>
      <c r="C52" s="20"/>
      <c r="D52" s="20"/>
      <c r="E52" s="20"/>
      <c r="F52" s="20"/>
      <c r="G52" s="20"/>
      <c r="H52" s="20"/>
      <c r="I52" s="20"/>
      <c r="J52" s="20"/>
      <c r="K52" s="20"/>
      <c r="L52" s="20"/>
      <c r="M52" s="20"/>
      <c r="N52" s="20"/>
      <c r="O52" s="20"/>
      <c r="P52" s="33"/>
      <c r="Q52" s="15"/>
      <c r="R52" s="20"/>
      <c r="S52" s="20"/>
      <c r="T52"/>
    </row>
    <row r="53" spans="1:20" ht="20.100000000000001" customHeight="1" x14ac:dyDescent="0.25">
      <c r="A53" s="137">
        <v>50</v>
      </c>
      <c r="B53" s="20"/>
      <c r="C53" s="20"/>
      <c r="D53" s="20"/>
      <c r="E53" s="20"/>
      <c r="F53" s="20"/>
      <c r="G53" s="20"/>
      <c r="H53" s="20"/>
      <c r="I53" s="20"/>
      <c r="J53" s="20"/>
      <c r="K53" s="20"/>
      <c r="L53" s="20"/>
      <c r="M53" s="20"/>
      <c r="N53" s="20"/>
      <c r="O53" s="20"/>
      <c r="P53" s="33"/>
      <c r="Q53" s="15"/>
      <c r="R53" s="20"/>
      <c r="S53" s="20"/>
      <c r="T53"/>
    </row>
    <row r="54" spans="1:20" ht="20.100000000000001" customHeight="1" x14ac:dyDescent="0.25">
      <c r="A54" s="121">
        <v>51</v>
      </c>
      <c r="B54" s="20"/>
      <c r="C54" s="20"/>
      <c r="D54" s="20"/>
      <c r="E54" s="20"/>
      <c r="F54" s="20"/>
      <c r="G54" s="20"/>
      <c r="H54" s="20"/>
      <c r="I54" s="20"/>
      <c r="J54" s="20"/>
      <c r="K54" s="20"/>
      <c r="L54" s="20"/>
      <c r="M54" s="20"/>
      <c r="N54" s="20"/>
      <c r="O54" s="20"/>
      <c r="P54" s="33"/>
      <c r="Q54" s="15"/>
      <c r="R54" s="20"/>
      <c r="S54" s="20"/>
      <c r="T54"/>
    </row>
    <row r="55" spans="1:20" ht="20.100000000000001" customHeight="1" x14ac:dyDescent="0.25">
      <c r="A55" s="137">
        <v>52</v>
      </c>
      <c r="B55" s="20"/>
      <c r="C55" s="20"/>
      <c r="D55" s="20"/>
      <c r="E55" s="20"/>
      <c r="F55" s="20"/>
      <c r="G55" s="20"/>
      <c r="H55" s="20"/>
      <c r="I55" s="20"/>
      <c r="J55" s="20"/>
      <c r="K55" s="20"/>
      <c r="L55" s="20"/>
      <c r="M55" s="20"/>
      <c r="N55" s="20"/>
      <c r="O55" s="20"/>
      <c r="P55" s="33"/>
      <c r="Q55" s="15"/>
      <c r="R55" s="15"/>
      <c r="S55" s="15"/>
    </row>
    <row r="56" spans="1:20" ht="20.100000000000001" customHeight="1" x14ac:dyDescent="0.25">
      <c r="A56" s="121">
        <v>53</v>
      </c>
      <c r="B56" s="20"/>
      <c r="C56" s="20"/>
      <c r="D56" s="20"/>
      <c r="E56" s="20"/>
      <c r="F56" s="20"/>
      <c r="G56" s="20"/>
      <c r="H56" s="20"/>
      <c r="I56" s="20"/>
      <c r="J56" s="20"/>
      <c r="K56" s="20"/>
      <c r="L56" s="20"/>
      <c r="M56" s="20"/>
      <c r="N56" s="20"/>
      <c r="O56" s="20"/>
      <c r="P56" s="33"/>
      <c r="Q56" s="15"/>
      <c r="R56" s="15"/>
      <c r="S56" s="15"/>
    </row>
    <row r="57" spans="1:20" ht="20.100000000000001" customHeight="1" x14ac:dyDescent="0.25">
      <c r="A57" s="137">
        <v>54</v>
      </c>
      <c r="B57" s="20"/>
      <c r="C57" s="20"/>
      <c r="D57" s="20"/>
      <c r="E57" s="20"/>
      <c r="F57" s="20"/>
      <c r="G57" s="20"/>
      <c r="H57" s="20"/>
      <c r="I57" s="20"/>
      <c r="J57" s="20"/>
      <c r="K57" s="20"/>
      <c r="L57" s="20"/>
      <c r="M57" s="20"/>
      <c r="N57" s="20"/>
      <c r="O57" s="20"/>
      <c r="P57" s="33"/>
      <c r="Q57" s="15"/>
      <c r="R57" s="15"/>
      <c r="S57" s="15"/>
    </row>
    <row r="58" spans="1:20" ht="20.100000000000001" customHeight="1" x14ac:dyDescent="0.25">
      <c r="A58" s="121">
        <v>55</v>
      </c>
      <c r="B58" s="20"/>
      <c r="C58" s="20"/>
      <c r="D58" s="20"/>
      <c r="E58" s="20"/>
      <c r="F58" s="20"/>
      <c r="G58" s="20"/>
      <c r="H58" s="20"/>
      <c r="I58" s="20"/>
      <c r="J58" s="20"/>
      <c r="K58" s="20"/>
      <c r="L58" s="20"/>
      <c r="M58" s="20"/>
      <c r="N58" s="20"/>
      <c r="O58" s="20"/>
      <c r="P58" s="33"/>
      <c r="Q58" s="15"/>
      <c r="R58" s="15"/>
      <c r="S58" s="15"/>
    </row>
  </sheetData>
  <mergeCells count="2">
    <mergeCell ref="A1:T1"/>
    <mergeCell ref="A2:T2"/>
  </mergeCells>
  <conditionalFormatting sqref="E4:N38">
    <cfRule type="cellIs" dxfId="0" priority="1" operator="lessThan">
      <formula>50</formula>
    </cfRule>
  </conditionalFormatting>
  <pageMargins left="0.7" right="0.7" top="0.75" bottom="0.75" header="0.3" footer="0.3"/>
  <pageSetup paperSize="9" scale="75" fitToHeight="0" orientation="landscape" verticalDpi="0"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58"/>
  <sheetViews>
    <sheetView workbookViewId="0">
      <selection activeCell="B4" sqref="B4:B38"/>
    </sheetView>
  </sheetViews>
  <sheetFormatPr defaultRowHeight="15" x14ac:dyDescent="0.25"/>
  <cols>
    <col min="1" max="1" width="6.7109375" style="14" customWidth="1"/>
    <col min="2" max="2" width="35.140625" bestFit="1" customWidth="1"/>
    <col min="3" max="3" width="4.7109375" customWidth="1"/>
    <col min="4" max="4" width="4.140625" customWidth="1"/>
    <col min="5" max="15" width="7.7109375" customWidth="1"/>
    <col min="16" max="20" width="7.7109375" style="14" customWidth="1"/>
  </cols>
  <sheetData>
    <row r="1" spans="1:20" ht="20.25" x14ac:dyDescent="0.25">
      <c r="A1" s="272" t="s">
        <v>69</v>
      </c>
      <c r="B1" s="273"/>
      <c r="C1" s="273"/>
      <c r="D1" s="273"/>
      <c r="E1" s="273"/>
      <c r="F1" s="273"/>
      <c r="G1" s="273"/>
      <c r="H1" s="273"/>
      <c r="I1" s="273"/>
      <c r="J1" s="273"/>
      <c r="K1" s="273"/>
      <c r="L1" s="273"/>
      <c r="M1" s="273"/>
      <c r="N1" s="273"/>
      <c r="O1" s="273"/>
      <c r="P1" s="273"/>
      <c r="Q1" s="273"/>
      <c r="R1" s="273"/>
      <c r="S1" s="273"/>
      <c r="T1" s="274"/>
    </row>
    <row r="2" spans="1:20" ht="18" thickBot="1" x14ac:dyDescent="0.3">
      <c r="A2" s="275" t="s">
        <v>71</v>
      </c>
      <c r="B2" s="275"/>
      <c r="C2" s="275"/>
      <c r="D2" s="275"/>
      <c r="E2" s="275"/>
      <c r="F2" s="275"/>
      <c r="G2" s="275"/>
      <c r="H2" s="275"/>
      <c r="I2" s="275"/>
      <c r="J2" s="275"/>
      <c r="K2" s="275"/>
      <c r="L2" s="275"/>
      <c r="M2" s="275"/>
      <c r="N2" s="275"/>
      <c r="O2" s="275"/>
      <c r="P2" s="275"/>
      <c r="Q2" s="275"/>
      <c r="R2" s="275"/>
      <c r="S2" s="275"/>
      <c r="T2" s="275"/>
    </row>
    <row r="3" spans="1:20" ht="67.5" customHeight="1" thickBot="1" x14ac:dyDescent="0.3">
      <c r="A3" s="21" t="s">
        <v>24</v>
      </c>
      <c r="B3" s="22" t="s">
        <v>1</v>
      </c>
      <c r="C3" s="23" t="s">
        <v>2</v>
      </c>
      <c r="D3" s="22" t="s">
        <v>3</v>
      </c>
      <c r="E3" s="25" t="s">
        <v>4</v>
      </c>
      <c r="F3" s="25" t="s">
        <v>5</v>
      </c>
      <c r="G3" s="25" t="s">
        <v>6</v>
      </c>
      <c r="H3" s="195" t="s">
        <v>10</v>
      </c>
      <c r="I3" s="195" t="s">
        <v>11</v>
      </c>
      <c r="J3" s="195" t="s">
        <v>12</v>
      </c>
      <c r="K3" s="195" t="s">
        <v>13</v>
      </c>
      <c r="L3" s="195" t="s">
        <v>14</v>
      </c>
      <c r="M3" s="195" t="s">
        <v>29</v>
      </c>
      <c r="N3" s="195" t="s">
        <v>30</v>
      </c>
      <c r="O3" s="27" t="s">
        <v>15</v>
      </c>
      <c r="P3" s="25" t="s">
        <v>16</v>
      </c>
      <c r="Q3" s="25" t="s">
        <v>17</v>
      </c>
      <c r="R3" s="25" t="s">
        <v>18</v>
      </c>
      <c r="S3" s="82" t="s">
        <v>19</v>
      </c>
      <c r="T3"/>
    </row>
    <row r="4" spans="1:20" ht="20.100000000000001" customHeight="1" x14ac:dyDescent="0.25">
      <c r="A4" s="136">
        <v>1</v>
      </c>
      <c r="B4" s="142"/>
      <c r="C4" s="156">
        <v>17</v>
      </c>
      <c r="D4" s="156" t="s">
        <v>23</v>
      </c>
      <c r="E4" s="30">
        <v>90</v>
      </c>
      <c r="F4" s="30">
        <v>92</v>
      </c>
      <c r="G4" s="30">
        <v>73</v>
      </c>
      <c r="H4" s="30">
        <v>94</v>
      </c>
      <c r="I4" s="30">
        <v>97</v>
      </c>
      <c r="J4" s="239">
        <v>93</v>
      </c>
      <c r="K4" s="242">
        <v>95</v>
      </c>
      <c r="L4" s="138">
        <v>100</v>
      </c>
      <c r="M4" s="30">
        <v>96</v>
      </c>
      <c r="N4" s="30">
        <v>94</v>
      </c>
      <c r="O4" s="15">
        <f>SUM(E4:N4)</f>
        <v>924</v>
      </c>
      <c r="P4" s="33">
        <f>AVERAGE(E4:N4)</f>
        <v>92.4</v>
      </c>
      <c r="Q4" s="15">
        <f>RANK(P4,$P$4:$P$38)</f>
        <v>5</v>
      </c>
      <c r="R4" s="15"/>
      <c r="S4" s="15"/>
      <c r="T4"/>
    </row>
    <row r="5" spans="1:20" ht="20.100000000000001" customHeight="1" x14ac:dyDescent="0.25">
      <c r="A5" s="121">
        <v>2</v>
      </c>
      <c r="B5" s="142"/>
      <c r="C5" s="156">
        <v>17</v>
      </c>
      <c r="D5" s="156" t="s">
        <v>23</v>
      </c>
      <c r="E5" s="30">
        <v>82</v>
      </c>
      <c r="F5" s="30">
        <v>90</v>
      </c>
      <c r="G5" s="30">
        <v>62</v>
      </c>
      <c r="H5" s="30">
        <v>80</v>
      </c>
      <c r="I5" s="30">
        <v>71</v>
      </c>
      <c r="J5" s="239">
        <v>78</v>
      </c>
      <c r="K5" s="242">
        <v>100</v>
      </c>
      <c r="L5" s="138">
        <v>97</v>
      </c>
      <c r="M5" s="30">
        <v>74</v>
      </c>
      <c r="N5" s="30">
        <v>75</v>
      </c>
      <c r="O5" s="15">
        <f t="shared" ref="O5:O38" si="0">SUM(E5:N5)</f>
        <v>809</v>
      </c>
      <c r="P5" s="33">
        <f t="shared" ref="P5:P38" si="1">AVERAGE(E5:N5)</f>
        <v>80.900000000000006</v>
      </c>
      <c r="Q5" s="15">
        <f t="shared" ref="Q5:Q38" si="2">RANK(P5,$P$4:$P$38)</f>
        <v>15</v>
      </c>
      <c r="R5" s="15"/>
      <c r="S5" s="15"/>
      <c r="T5"/>
    </row>
    <row r="6" spans="1:20" ht="20.100000000000001" customHeight="1" x14ac:dyDescent="0.25">
      <c r="A6" s="137">
        <v>3</v>
      </c>
      <c r="B6" s="142"/>
      <c r="C6" s="156">
        <v>18</v>
      </c>
      <c r="D6" s="156" t="s">
        <v>23</v>
      </c>
      <c r="E6" s="30">
        <v>79</v>
      </c>
      <c r="F6" s="30">
        <v>79</v>
      </c>
      <c r="G6" s="30">
        <v>61</v>
      </c>
      <c r="H6" s="30">
        <v>75</v>
      </c>
      <c r="I6" s="30">
        <v>70</v>
      </c>
      <c r="J6" s="239">
        <v>81</v>
      </c>
      <c r="K6" s="242">
        <v>85</v>
      </c>
      <c r="L6" s="138">
        <v>97</v>
      </c>
      <c r="M6" s="30">
        <v>68</v>
      </c>
      <c r="N6" s="30">
        <v>70</v>
      </c>
      <c r="O6" s="15">
        <f t="shared" si="0"/>
        <v>765</v>
      </c>
      <c r="P6" s="33">
        <f t="shared" si="1"/>
        <v>76.5</v>
      </c>
      <c r="Q6" s="15">
        <f t="shared" si="2"/>
        <v>24</v>
      </c>
      <c r="R6" s="15"/>
      <c r="S6" s="15"/>
      <c r="T6"/>
    </row>
    <row r="7" spans="1:20" ht="20.100000000000001" customHeight="1" x14ac:dyDescent="0.25">
      <c r="A7" s="121">
        <v>4</v>
      </c>
      <c r="B7" s="142"/>
      <c r="C7" s="156">
        <v>17</v>
      </c>
      <c r="D7" s="156" t="s">
        <v>23</v>
      </c>
      <c r="E7" s="30">
        <v>91</v>
      </c>
      <c r="F7" s="30">
        <v>90</v>
      </c>
      <c r="G7" s="30">
        <v>78</v>
      </c>
      <c r="H7" s="30">
        <v>94</v>
      </c>
      <c r="I7" s="30">
        <v>96</v>
      </c>
      <c r="J7" s="239">
        <v>88</v>
      </c>
      <c r="K7" s="242">
        <v>97</v>
      </c>
      <c r="L7" s="138">
        <v>100</v>
      </c>
      <c r="M7" s="30">
        <v>94</v>
      </c>
      <c r="N7" s="30">
        <v>87</v>
      </c>
      <c r="O7" s="15">
        <f t="shared" si="0"/>
        <v>915</v>
      </c>
      <c r="P7" s="33">
        <f t="shared" si="1"/>
        <v>91.5</v>
      </c>
      <c r="Q7" s="15">
        <f t="shared" si="2"/>
        <v>6</v>
      </c>
      <c r="R7" s="15"/>
      <c r="S7" s="15"/>
      <c r="T7"/>
    </row>
    <row r="8" spans="1:20" ht="20.100000000000001" customHeight="1" x14ac:dyDescent="0.25">
      <c r="A8" s="121">
        <v>5</v>
      </c>
      <c r="B8" s="142"/>
      <c r="C8" s="156">
        <v>18</v>
      </c>
      <c r="D8" s="156" t="s">
        <v>23</v>
      </c>
      <c r="E8" s="30">
        <v>79</v>
      </c>
      <c r="F8" s="30">
        <v>73</v>
      </c>
      <c r="G8" s="30">
        <v>67</v>
      </c>
      <c r="H8" s="30">
        <v>70</v>
      </c>
      <c r="I8" s="30">
        <v>68</v>
      </c>
      <c r="J8" s="239">
        <v>83</v>
      </c>
      <c r="K8" s="242">
        <v>93</v>
      </c>
      <c r="L8" s="138">
        <v>90</v>
      </c>
      <c r="M8" s="30">
        <v>63</v>
      </c>
      <c r="N8" s="30">
        <v>72</v>
      </c>
      <c r="O8" s="15">
        <f t="shared" si="0"/>
        <v>758</v>
      </c>
      <c r="P8" s="33">
        <f t="shared" si="1"/>
        <v>75.8</v>
      </c>
      <c r="Q8" s="15">
        <f t="shared" si="2"/>
        <v>27</v>
      </c>
      <c r="R8" s="15"/>
      <c r="S8" s="15"/>
      <c r="T8"/>
    </row>
    <row r="9" spans="1:20" ht="20.100000000000001" customHeight="1" x14ac:dyDescent="0.25">
      <c r="A9" s="137">
        <v>6</v>
      </c>
      <c r="B9" s="142"/>
      <c r="C9" s="156">
        <v>17</v>
      </c>
      <c r="D9" s="156" t="s">
        <v>23</v>
      </c>
      <c r="E9" s="30">
        <v>88</v>
      </c>
      <c r="F9" s="30">
        <v>88</v>
      </c>
      <c r="G9" s="30">
        <v>69</v>
      </c>
      <c r="H9" s="30">
        <v>90</v>
      </c>
      <c r="I9" s="30">
        <v>91</v>
      </c>
      <c r="J9" s="239">
        <v>90</v>
      </c>
      <c r="K9" s="242">
        <v>96</v>
      </c>
      <c r="L9" s="138">
        <v>100</v>
      </c>
      <c r="M9" s="30">
        <v>94</v>
      </c>
      <c r="N9" s="30">
        <v>92</v>
      </c>
      <c r="O9" s="15">
        <f t="shared" si="0"/>
        <v>898</v>
      </c>
      <c r="P9" s="33">
        <f t="shared" si="1"/>
        <v>89.8</v>
      </c>
      <c r="Q9" s="15">
        <f t="shared" si="2"/>
        <v>7</v>
      </c>
      <c r="R9" s="15"/>
      <c r="S9" s="15"/>
      <c r="T9"/>
    </row>
    <row r="10" spans="1:20" ht="20.100000000000001" customHeight="1" x14ac:dyDescent="0.25">
      <c r="A10" s="121">
        <v>7</v>
      </c>
      <c r="B10" s="142"/>
      <c r="C10" s="156">
        <v>17</v>
      </c>
      <c r="D10" s="156" t="s">
        <v>23</v>
      </c>
      <c r="E10" s="30">
        <v>78</v>
      </c>
      <c r="F10" s="30">
        <v>73</v>
      </c>
      <c r="G10" s="30">
        <v>74</v>
      </c>
      <c r="H10" s="30">
        <v>70</v>
      </c>
      <c r="I10" s="30">
        <v>72</v>
      </c>
      <c r="J10" s="239">
        <v>81</v>
      </c>
      <c r="K10" s="242">
        <v>96</v>
      </c>
      <c r="L10" s="138">
        <v>92</v>
      </c>
      <c r="M10" s="30">
        <v>55</v>
      </c>
      <c r="N10" s="30">
        <v>75</v>
      </c>
      <c r="O10" s="15">
        <f t="shared" si="0"/>
        <v>766</v>
      </c>
      <c r="P10" s="33">
        <f t="shared" si="1"/>
        <v>76.599999999999994</v>
      </c>
      <c r="Q10" s="15">
        <f t="shared" si="2"/>
        <v>23</v>
      </c>
      <c r="R10" s="15"/>
      <c r="S10" s="15"/>
      <c r="T10"/>
    </row>
    <row r="11" spans="1:20" ht="20.100000000000001" customHeight="1" x14ac:dyDescent="0.25">
      <c r="A11" s="121">
        <v>8</v>
      </c>
      <c r="B11" s="142"/>
      <c r="C11" s="156">
        <v>17</v>
      </c>
      <c r="D11" s="156" t="s">
        <v>23</v>
      </c>
      <c r="E11" s="30">
        <v>79</v>
      </c>
      <c r="F11" s="30">
        <v>72</v>
      </c>
      <c r="G11" s="30">
        <v>80</v>
      </c>
      <c r="H11" s="30">
        <v>68</v>
      </c>
      <c r="I11" s="30">
        <v>68</v>
      </c>
      <c r="J11" s="239">
        <v>62</v>
      </c>
      <c r="K11" s="242">
        <v>93</v>
      </c>
      <c r="L11" s="138">
        <v>90</v>
      </c>
      <c r="M11" s="30">
        <v>60</v>
      </c>
      <c r="N11" s="30">
        <v>74</v>
      </c>
      <c r="O11" s="15">
        <f t="shared" si="0"/>
        <v>746</v>
      </c>
      <c r="P11" s="33">
        <f t="shared" si="1"/>
        <v>74.599999999999994</v>
      </c>
      <c r="Q11" s="15">
        <f t="shared" si="2"/>
        <v>29</v>
      </c>
      <c r="R11" s="15"/>
      <c r="S11" s="15"/>
      <c r="T11"/>
    </row>
    <row r="12" spans="1:20" ht="20.100000000000001" customHeight="1" x14ac:dyDescent="0.25">
      <c r="A12" s="137">
        <v>9</v>
      </c>
      <c r="B12" s="142"/>
      <c r="C12" s="156">
        <v>18</v>
      </c>
      <c r="D12" s="156" t="s">
        <v>23</v>
      </c>
      <c r="E12" s="30">
        <v>88</v>
      </c>
      <c r="F12" s="30">
        <v>87</v>
      </c>
      <c r="G12" s="30">
        <v>74</v>
      </c>
      <c r="H12" s="30">
        <v>92</v>
      </c>
      <c r="I12" s="30">
        <v>85</v>
      </c>
      <c r="J12" s="239">
        <v>84</v>
      </c>
      <c r="K12" s="242">
        <v>93</v>
      </c>
      <c r="L12" s="138">
        <v>100</v>
      </c>
      <c r="M12" s="30">
        <v>91</v>
      </c>
      <c r="N12" s="30">
        <v>93</v>
      </c>
      <c r="O12" s="15">
        <f t="shared" si="0"/>
        <v>887</v>
      </c>
      <c r="P12" s="33">
        <f t="shared" si="1"/>
        <v>88.7</v>
      </c>
      <c r="Q12" s="15">
        <f t="shared" si="2"/>
        <v>8</v>
      </c>
      <c r="R12" s="15"/>
      <c r="S12" s="15"/>
      <c r="T12"/>
    </row>
    <row r="13" spans="1:20" ht="20.100000000000001" customHeight="1" x14ac:dyDescent="0.25">
      <c r="A13" s="121">
        <v>10</v>
      </c>
      <c r="B13" s="142"/>
      <c r="C13" s="156">
        <v>18</v>
      </c>
      <c r="D13" s="156" t="s">
        <v>23</v>
      </c>
      <c r="E13" s="30">
        <v>91</v>
      </c>
      <c r="F13" s="30">
        <v>88</v>
      </c>
      <c r="G13" s="30">
        <v>80</v>
      </c>
      <c r="H13" s="30">
        <v>94</v>
      </c>
      <c r="I13" s="30">
        <v>94</v>
      </c>
      <c r="J13" s="239">
        <v>90</v>
      </c>
      <c r="K13" s="242">
        <v>100</v>
      </c>
      <c r="L13" s="138">
        <v>100</v>
      </c>
      <c r="M13" s="30">
        <v>97</v>
      </c>
      <c r="N13" s="30">
        <v>96</v>
      </c>
      <c r="O13" s="15">
        <f t="shared" si="0"/>
        <v>930</v>
      </c>
      <c r="P13" s="33">
        <f t="shared" si="1"/>
        <v>93</v>
      </c>
      <c r="Q13" s="15">
        <f t="shared" si="2"/>
        <v>3</v>
      </c>
      <c r="R13" s="15"/>
      <c r="S13" s="15"/>
      <c r="T13"/>
    </row>
    <row r="14" spans="1:20" ht="20.100000000000001" customHeight="1" x14ac:dyDescent="0.25">
      <c r="A14" s="137">
        <v>11</v>
      </c>
      <c r="B14" s="142"/>
      <c r="C14" s="156">
        <v>18</v>
      </c>
      <c r="D14" s="156" t="s">
        <v>20</v>
      </c>
      <c r="E14" s="30">
        <v>96</v>
      </c>
      <c r="F14" s="30">
        <v>94</v>
      </c>
      <c r="G14" s="30">
        <v>91</v>
      </c>
      <c r="H14" s="30">
        <v>96</v>
      </c>
      <c r="I14" s="30">
        <v>97</v>
      </c>
      <c r="J14" s="239">
        <v>90</v>
      </c>
      <c r="K14" s="242">
        <v>100</v>
      </c>
      <c r="L14" s="138">
        <v>100</v>
      </c>
      <c r="M14" s="30">
        <v>99</v>
      </c>
      <c r="N14" s="30">
        <v>95</v>
      </c>
      <c r="O14" s="15">
        <f t="shared" si="0"/>
        <v>958</v>
      </c>
      <c r="P14" s="33">
        <f t="shared" si="1"/>
        <v>95.8</v>
      </c>
      <c r="Q14" s="15">
        <f t="shared" si="2"/>
        <v>2</v>
      </c>
      <c r="R14" s="15"/>
      <c r="S14" s="15"/>
      <c r="T14"/>
    </row>
    <row r="15" spans="1:20" ht="20.100000000000001" customHeight="1" x14ac:dyDescent="0.25">
      <c r="A15" s="137">
        <v>12</v>
      </c>
      <c r="B15" s="142"/>
      <c r="C15" s="156">
        <v>18</v>
      </c>
      <c r="D15" s="156" t="s">
        <v>23</v>
      </c>
      <c r="E15" s="30">
        <v>90</v>
      </c>
      <c r="F15" s="30">
        <v>80</v>
      </c>
      <c r="G15" s="30">
        <v>75</v>
      </c>
      <c r="H15" s="30">
        <v>91</v>
      </c>
      <c r="I15" s="30">
        <v>87</v>
      </c>
      <c r="J15" s="239">
        <v>80</v>
      </c>
      <c r="K15" s="242">
        <v>96</v>
      </c>
      <c r="L15" s="138">
        <v>96</v>
      </c>
      <c r="M15" s="30">
        <v>90</v>
      </c>
      <c r="N15" s="30">
        <v>91</v>
      </c>
      <c r="O15" s="15">
        <f t="shared" si="0"/>
        <v>876</v>
      </c>
      <c r="P15" s="33">
        <f t="shared" si="1"/>
        <v>87.6</v>
      </c>
      <c r="Q15" s="15">
        <f t="shared" si="2"/>
        <v>9</v>
      </c>
      <c r="R15" s="15"/>
      <c r="S15" s="15"/>
      <c r="T15"/>
    </row>
    <row r="16" spans="1:20" ht="20.100000000000001" customHeight="1" x14ac:dyDescent="0.25">
      <c r="A16" s="137">
        <v>13</v>
      </c>
      <c r="B16" s="142"/>
      <c r="C16" s="156">
        <v>18</v>
      </c>
      <c r="D16" s="156" t="s">
        <v>23</v>
      </c>
      <c r="E16" s="30">
        <v>78</v>
      </c>
      <c r="F16" s="30">
        <v>77</v>
      </c>
      <c r="G16" s="30">
        <v>58</v>
      </c>
      <c r="H16" s="30">
        <v>68</v>
      </c>
      <c r="I16" s="30">
        <v>69</v>
      </c>
      <c r="J16" s="239">
        <v>65</v>
      </c>
      <c r="K16" s="242">
        <v>95</v>
      </c>
      <c r="L16" s="138">
        <v>90</v>
      </c>
      <c r="M16" s="30">
        <v>61</v>
      </c>
      <c r="N16" s="30">
        <v>73</v>
      </c>
      <c r="O16" s="15">
        <f t="shared" si="0"/>
        <v>734</v>
      </c>
      <c r="P16" s="33">
        <f t="shared" si="1"/>
        <v>73.400000000000006</v>
      </c>
      <c r="Q16" s="15">
        <f t="shared" si="2"/>
        <v>31</v>
      </c>
      <c r="R16" s="15"/>
      <c r="S16" s="15"/>
      <c r="T16"/>
    </row>
    <row r="17" spans="1:20" ht="20.100000000000001" customHeight="1" x14ac:dyDescent="0.25">
      <c r="A17" s="121">
        <v>14</v>
      </c>
      <c r="B17" s="142"/>
      <c r="C17" s="156">
        <v>17</v>
      </c>
      <c r="D17" s="156" t="s">
        <v>23</v>
      </c>
      <c r="E17" s="30">
        <v>83</v>
      </c>
      <c r="F17" s="30">
        <v>73</v>
      </c>
      <c r="G17" s="30">
        <v>65</v>
      </c>
      <c r="H17" s="30">
        <v>74</v>
      </c>
      <c r="I17" s="30">
        <v>70</v>
      </c>
      <c r="J17" s="239">
        <v>67</v>
      </c>
      <c r="K17" s="242">
        <v>95</v>
      </c>
      <c r="L17" s="138">
        <v>90</v>
      </c>
      <c r="M17" s="30">
        <v>73</v>
      </c>
      <c r="N17" s="30">
        <v>71</v>
      </c>
      <c r="O17" s="15">
        <f t="shared" si="0"/>
        <v>761</v>
      </c>
      <c r="P17" s="33">
        <f t="shared" si="1"/>
        <v>76.099999999999994</v>
      </c>
      <c r="Q17" s="15">
        <f t="shared" si="2"/>
        <v>26</v>
      </c>
      <c r="R17" s="15"/>
      <c r="S17" s="15"/>
      <c r="T17"/>
    </row>
    <row r="18" spans="1:20" ht="20.100000000000001" customHeight="1" x14ac:dyDescent="0.25">
      <c r="A18" s="137">
        <v>15</v>
      </c>
      <c r="B18" s="142"/>
      <c r="C18" s="156">
        <v>17</v>
      </c>
      <c r="D18" s="156" t="s">
        <v>23</v>
      </c>
      <c r="E18" s="30">
        <v>78</v>
      </c>
      <c r="F18" s="30">
        <v>79</v>
      </c>
      <c r="G18" s="31">
        <v>65</v>
      </c>
      <c r="H18" s="30">
        <v>75</v>
      </c>
      <c r="I18" s="30">
        <v>70</v>
      </c>
      <c r="J18" s="239">
        <v>63</v>
      </c>
      <c r="K18" s="242">
        <v>96</v>
      </c>
      <c r="L18" s="138">
        <v>90</v>
      </c>
      <c r="M18" s="30">
        <v>72</v>
      </c>
      <c r="N18" s="30">
        <v>70</v>
      </c>
      <c r="O18" s="15">
        <f t="shared" si="0"/>
        <v>758</v>
      </c>
      <c r="P18" s="33">
        <f t="shared" si="1"/>
        <v>75.8</v>
      </c>
      <c r="Q18" s="15">
        <f t="shared" si="2"/>
        <v>27</v>
      </c>
      <c r="R18" s="15"/>
      <c r="S18" s="15"/>
      <c r="T18"/>
    </row>
    <row r="19" spans="1:20" ht="20.100000000000001" customHeight="1" x14ac:dyDescent="0.25">
      <c r="A19" s="121">
        <v>16</v>
      </c>
      <c r="B19" s="142"/>
      <c r="C19" s="156">
        <v>17</v>
      </c>
      <c r="D19" s="156" t="s">
        <v>23</v>
      </c>
      <c r="E19" s="30">
        <v>84</v>
      </c>
      <c r="F19" s="30">
        <v>86</v>
      </c>
      <c r="G19" s="30">
        <v>60</v>
      </c>
      <c r="H19" s="30">
        <v>80</v>
      </c>
      <c r="I19" s="30">
        <v>87</v>
      </c>
      <c r="J19" s="239">
        <v>80</v>
      </c>
      <c r="K19" s="242">
        <v>95</v>
      </c>
      <c r="L19" s="138">
        <v>95</v>
      </c>
      <c r="M19" s="30">
        <v>86</v>
      </c>
      <c r="N19" s="30">
        <v>87</v>
      </c>
      <c r="O19" s="15">
        <f t="shared" si="0"/>
        <v>840</v>
      </c>
      <c r="P19" s="33">
        <f t="shared" si="1"/>
        <v>84</v>
      </c>
      <c r="Q19" s="15">
        <f t="shared" si="2"/>
        <v>12</v>
      </c>
      <c r="R19" s="15"/>
      <c r="S19" s="15"/>
      <c r="T19"/>
    </row>
    <row r="20" spans="1:20" ht="20.100000000000001" customHeight="1" x14ac:dyDescent="0.25">
      <c r="A20" s="121">
        <v>17</v>
      </c>
      <c r="B20" s="142"/>
      <c r="C20" s="156">
        <v>17</v>
      </c>
      <c r="D20" s="156" t="s">
        <v>23</v>
      </c>
      <c r="E20" s="30">
        <v>81</v>
      </c>
      <c r="F20" s="30">
        <v>77</v>
      </c>
      <c r="G20" s="30">
        <v>60</v>
      </c>
      <c r="H20" s="30">
        <v>70</v>
      </c>
      <c r="I20" s="30">
        <v>69</v>
      </c>
      <c r="J20" s="239">
        <v>73</v>
      </c>
      <c r="K20" s="242">
        <v>95</v>
      </c>
      <c r="L20" s="138">
        <v>90</v>
      </c>
      <c r="M20" s="30">
        <v>59</v>
      </c>
      <c r="N20" s="30">
        <v>69</v>
      </c>
      <c r="O20" s="15">
        <f t="shared" si="0"/>
        <v>743</v>
      </c>
      <c r="P20" s="33">
        <f t="shared" si="1"/>
        <v>74.3</v>
      </c>
      <c r="Q20" s="15">
        <f t="shared" si="2"/>
        <v>30</v>
      </c>
      <c r="R20" s="15"/>
      <c r="S20" s="15"/>
      <c r="T20"/>
    </row>
    <row r="21" spans="1:20" ht="20.100000000000001" customHeight="1" x14ac:dyDescent="0.25">
      <c r="A21" s="121">
        <v>18</v>
      </c>
      <c r="B21" s="142"/>
      <c r="C21" s="156">
        <v>17</v>
      </c>
      <c r="D21" s="156" t="s">
        <v>23</v>
      </c>
      <c r="E21" s="30">
        <v>84</v>
      </c>
      <c r="F21" s="30">
        <v>72</v>
      </c>
      <c r="G21" s="31">
        <v>70</v>
      </c>
      <c r="H21" s="30">
        <v>74</v>
      </c>
      <c r="I21" s="30">
        <v>71</v>
      </c>
      <c r="J21" s="239">
        <v>71</v>
      </c>
      <c r="K21" s="242">
        <v>96</v>
      </c>
      <c r="L21" s="138">
        <v>94</v>
      </c>
      <c r="M21" s="30">
        <v>72</v>
      </c>
      <c r="N21" s="30">
        <v>67</v>
      </c>
      <c r="O21" s="15">
        <f t="shared" si="0"/>
        <v>771</v>
      </c>
      <c r="P21" s="33">
        <f t="shared" si="1"/>
        <v>77.099999999999994</v>
      </c>
      <c r="Q21" s="15">
        <f t="shared" si="2"/>
        <v>22</v>
      </c>
      <c r="R21" s="15"/>
      <c r="S21" s="15"/>
      <c r="T21"/>
    </row>
    <row r="22" spans="1:20" ht="20.100000000000001" customHeight="1" x14ac:dyDescent="0.25">
      <c r="A22" s="137">
        <v>19</v>
      </c>
      <c r="B22" s="142"/>
      <c r="C22" s="156">
        <v>17</v>
      </c>
      <c r="D22" s="156" t="s">
        <v>23</v>
      </c>
      <c r="E22" s="30">
        <v>95</v>
      </c>
      <c r="F22" s="30">
        <v>91</v>
      </c>
      <c r="G22" s="30">
        <v>94</v>
      </c>
      <c r="H22" s="30">
        <v>97</v>
      </c>
      <c r="I22" s="30">
        <v>97</v>
      </c>
      <c r="J22" s="239">
        <v>96</v>
      </c>
      <c r="K22" s="242">
        <v>100</v>
      </c>
      <c r="L22" s="138">
        <v>100</v>
      </c>
      <c r="M22" s="30">
        <v>99</v>
      </c>
      <c r="N22" s="30">
        <v>98</v>
      </c>
      <c r="O22" s="15">
        <f t="shared" si="0"/>
        <v>967</v>
      </c>
      <c r="P22" s="33">
        <f t="shared" si="1"/>
        <v>96.7</v>
      </c>
      <c r="Q22" s="15">
        <f t="shared" si="2"/>
        <v>1</v>
      </c>
      <c r="R22" s="15"/>
      <c r="S22" s="15"/>
      <c r="T22"/>
    </row>
    <row r="23" spans="1:20" ht="20.100000000000001" customHeight="1" x14ac:dyDescent="0.25">
      <c r="A23" s="137">
        <v>20</v>
      </c>
      <c r="B23" s="142"/>
      <c r="C23" s="156">
        <v>17</v>
      </c>
      <c r="D23" s="156" t="s">
        <v>23</v>
      </c>
      <c r="E23" s="30">
        <v>75</v>
      </c>
      <c r="F23" s="30">
        <v>72</v>
      </c>
      <c r="G23" s="30">
        <v>72</v>
      </c>
      <c r="H23" s="30">
        <v>68</v>
      </c>
      <c r="I23" s="30">
        <v>65</v>
      </c>
      <c r="J23" s="239">
        <v>60</v>
      </c>
      <c r="K23" s="242">
        <v>95</v>
      </c>
      <c r="L23" s="138">
        <v>90</v>
      </c>
      <c r="M23" s="30">
        <v>60</v>
      </c>
      <c r="N23" s="30">
        <v>65</v>
      </c>
      <c r="O23" s="15">
        <f t="shared" si="0"/>
        <v>722</v>
      </c>
      <c r="P23" s="33">
        <f t="shared" si="1"/>
        <v>72.2</v>
      </c>
      <c r="Q23" s="15">
        <f t="shared" si="2"/>
        <v>32</v>
      </c>
      <c r="R23" s="15"/>
      <c r="S23" s="15"/>
      <c r="T23"/>
    </row>
    <row r="24" spans="1:20" ht="20.100000000000001" customHeight="1" x14ac:dyDescent="0.25">
      <c r="A24" s="137">
        <v>21</v>
      </c>
      <c r="B24" s="142"/>
      <c r="C24" s="156">
        <v>18</v>
      </c>
      <c r="D24" s="156" t="s">
        <v>20</v>
      </c>
      <c r="E24" s="30">
        <v>77</v>
      </c>
      <c r="F24" s="30">
        <v>84</v>
      </c>
      <c r="G24" s="30">
        <v>55</v>
      </c>
      <c r="H24" s="30">
        <v>73</v>
      </c>
      <c r="I24" s="30">
        <v>80</v>
      </c>
      <c r="J24" s="239">
        <v>73</v>
      </c>
      <c r="K24" s="242">
        <v>100</v>
      </c>
      <c r="L24" s="138">
        <v>100</v>
      </c>
      <c r="M24" s="30">
        <v>71</v>
      </c>
      <c r="N24" s="30">
        <v>77</v>
      </c>
      <c r="O24" s="15">
        <f t="shared" si="0"/>
        <v>790</v>
      </c>
      <c r="P24" s="33">
        <f t="shared" si="1"/>
        <v>79</v>
      </c>
      <c r="Q24" s="15">
        <f t="shared" si="2"/>
        <v>19</v>
      </c>
      <c r="R24" s="15"/>
      <c r="S24" s="15"/>
      <c r="T24"/>
    </row>
    <row r="25" spans="1:20" ht="20.100000000000001" customHeight="1" x14ac:dyDescent="0.25">
      <c r="A25" s="121">
        <v>22</v>
      </c>
      <c r="B25" s="142"/>
      <c r="C25" s="156">
        <v>18</v>
      </c>
      <c r="D25" s="156" t="s">
        <v>23</v>
      </c>
      <c r="E25" s="30"/>
      <c r="F25" s="30"/>
      <c r="G25" s="30"/>
      <c r="H25" s="30"/>
      <c r="I25" s="30"/>
      <c r="J25" s="239"/>
      <c r="K25" s="242"/>
      <c r="L25" s="138"/>
      <c r="M25" s="30"/>
      <c r="N25" s="30"/>
      <c r="O25" s="15"/>
      <c r="P25" s="33"/>
      <c r="Q25" s="15"/>
      <c r="R25" s="15"/>
      <c r="S25" s="15"/>
      <c r="T25"/>
    </row>
    <row r="26" spans="1:20" ht="20.100000000000001" customHeight="1" x14ac:dyDescent="0.25">
      <c r="A26" s="121">
        <v>23</v>
      </c>
      <c r="B26" s="142"/>
      <c r="C26" s="156">
        <v>17</v>
      </c>
      <c r="D26" s="156" t="s">
        <v>23</v>
      </c>
      <c r="E26" s="30">
        <v>77</v>
      </c>
      <c r="F26" s="30">
        <v>82</v>
      </c>
      <c r="G26" s="30">
        <v>62</v>
      </c>
      <c r="H26" s="30">
        <v>74</v>
      </c>
      <c r="I26" s="30">
        <v>75</v>
      </c>
      <c r="J26" s="239">
        <v>70</v>
      </c>
      <c r="K26" s="242">
        <v>94</v>
      </c>
      <c r="L26" s="138">
        <v>90</v>
      </c>
      <c r="M26" s="30">
        <v>58</v>
      </c>
      <c r="N26" s="30">
        <v>82</v>
      </c>
      <c r="O26" s="15">
        <f t="shared" si="0"/>
        <v>764</v>
      </c>
      <c r="P26" s="33">
        <f t="shared" si="1"/>
        <v>76.400000000000006</v>
      </c>
      <c r="Q26" s="15">
        <f t="shared" si="2"/>
        <v>25</v>
      </c>
      <c r="R26" s="15"/>
      <c r="S26" s="15"/>
      <c r="T26"/>
    </row>
    <row r="27" spans="1:20" ht="20.100000000000001" customHeight="1" x14ac:dyDescent="0.25">
      <c r="A27" s="137">
        <v>24</v>
      </c>
      <c r="B27" s="142"/>
      <c r="C27" s="156">
        <v>17</v>
      </c>
      <c r="D27" s="156" t="s">
        <v>23</v>
      </c>
      <c r="E27" s="30">
        <v>83</v>
      </c>
      <c r="F27" s="30">
        <v>79</v>
      </c>
      <c r="G27" s="31">
        <v>60</v>
      </c>
      <c r="H27" s="31">
        <v>68</v>
      </c>
      <c r="I27" s="30">
        <v>86</v>
      </c>
      <c r="J27" s="240">
        <v>75</v>
      </c>
      <c r="K27" s="242">
        <v>94</v>
      </c>
      <c r="L27" s="138">
        <v>90</v>
      </c>
      <c r="M27" s="30">
        <v>68</v>
      </c>
      <c r="N27" s="30">
        <v>71</v>
      </c>
      <c r="O27" s="15">
        <f t="shared" si="0"/>
        <v>774</v>
      </c>
      <c r="P27" s="33">
        <f t="shared" si="1"/>
        <v>77.400000000000006</v>
      </c>
      <c r="Q27" s="15">
        <f t="shared" si="2"/>
        <v>20</v>
      </c>
      <c r="R27" s="15"/>
      <c r="S27" s="15"/>
      <c r="T27"/>
    </row>
    <row r="28" spans="1:20" ht="20.100000000000001" customHeight="1" x14ac:dyDescent="0.25">
      <c r="A28" s="121">
        <v>25</v>
      </c>
      <c r="B28" s="181"/>
      <c r="C28" s="183">
        <v>17</v>
      </c>
      <c r="D28" s="183" t="s">
        <v>23</v>
      </c>
      <c r="E28" s="30">
        <v>82</v>
      </c>
      <c r="F28" s="31">
        <v>68</v>
      </c>
      <c r="G28" s="31">
        <v>63</v>
      </c>
      <c r="H28" s="30">
        <v>66</v>
      </c>
      <c r="I28" s="31">
        <v>68</v>
      </c>
      <c r="J28" s="239">
        <v>57</v>
      </c>
      <c r="K28" s="242">
        <v>94</v>
      </c>
      <c r="L28" s="138">
        <v>90</v>
      </c>
      <c r="M28" s="30">
        <v>54</v>
      </c>
      <c r="N28" s="30">
        <v>72</v>
      </c>
      <c r="O28" s="15">
        <f t="shared" si="0"/>
        <v>714</v>
      </c>
      <c r="P28" s="33">
        <f t="shared" si="1"/>
        <v>71.400000000000006</v>
      </c>
      <c r="Q28" s="15">
        <f t="shared" si="2"/>
        <v>33</v>
      </c>
      <c r="R28" s="15"/>
      <c r="S28" s="15"/>
      <c r="T28"/>
    </row>
    <row r="29" spans="1:20" ht="20.100000000000001" customHeight="1" x14ac:dyDescent="0.25">
      <c r="A29" s="137">
        <v>26</v>
      </c>
      <c r="B29" s="142"/>
      <c r="C29" s="156">
        <v>16</v>
      </c>
      <c r="D29" s="156" t="s">
        <v>23</v>
      </c>
      <c r="E29" s="30">
        <v>83</v>
      </c>
      <c r="F29" s="30">
        <v>84</v>
      </c>
      <c r="G29" s="30">
        <v>60</v>
      </c>
      <c r="H29" s="30">
        <v>78</v>
      </c>
      <c r="I29" s="30">
        <v>78</v>
      </c>
      <c r="J29" s="239">
        <v>72</v>
      </c>
      <c r="K29" s="242">
        <v>96</v>
      </c>
      <c r="L29" s="138">
        <v>96</v>
      </c>
      <c r="M29" s="30">
        <v>83</v>
      </c>
      <c r="N29" s="30">
        <v>88</v>
      </c>
      <c r="O29" s="15">
        <f t="shared" si="0"/>
        <v>818</v>
      </c>
      <c r="P29" s="33">
        <f t="shared" si="1"/>
        <v>81.8</v>
      </c>
      <c r="Q29" s="15">
        <f t="shared" si="2"/>
        <v>14</v>
      </c>
      <c r="R29" s="15"/>
      <c r="S29" s="15"/>
      <c r="T29"/>
    </row>
    <row r="30" spans="1:20" ht="20.100000000000001" customHeight="1" x14ac:dyDescent="0.25">
      <c r="A30" s="137">
        <v>27</v>
      </c>
      <c r="B30" s="142"/>
      <c r="C30" s="156">
        <v>16</v>
      </c>
      <c r="D30" s="156" t="s">
        <v>23</v>
      </c>
      <c r="E30" s="30">
        <v>85</v>
      </c>
      <c r="F30" s="30">
        <v>80</v>
      </c>
      <c r="G30" s="31">
        <v>68</v>
      </c>
      <c r="H30" s="30">
        <v>74</v>
      </c>
      <c r="I30" s="30">
        <v>82</v>
      </c>
      <c r="J30" s="239">
        <v>70</v>
      </c>
      <c r="K30" s="242">
        <v>96</v>
      </c>
      <c r="L30" s="138">
        <v>90</v>
      </c>
      <c r="M30" s="30">
        <v>65</v>
      </c>
      <c r="N30" s="30">
        <v>88</v>
      </c>
      <c r="O30" s="15">
        <f t="shared" si="0"/>
        <v>798</v>
      </c>
      <c r="P30" s="33">
        <f t="shared" si="1"/>
        <v>79.8</v>
      </c>
      <c r="Q30" s="15">
        <f t="shared" si="2"/>
        <v>18</v>
      </c>
      <c r="R30" s="15"/>
      <c r="S30" s="15"/>
      <c r="T30"/>
    </row>
    <row r="31" spans="1:20" ht="20.100000000000001" customHeight="1" x14ac:dyDescent="0.25">
      <c r="A31" s="137">
        <v>28</v>
      </c>
      <c r="B31" s="142"/>
      <c r="C31" s="156">
        <v>18</v>
      </c>
      <c r="D31" s="156" t="s">
        <v>23</v>
      </c>
      <c r="E31" s="30">
        <v>82</v>
      </c>
      <c r="F31" s="30">
        <v>85</v>
      </c>
      <c r="G31" s="30">
        <v>56</v>
      </c>
      <c r="H31" s="30">
        <v>76</v>
      </c>
      <c r="I31" s="30">
        <v>80</v>
      </c>
      <c r="J31" s="239">
        <v>85</v>
      </c>
      <c r="K31" s="242">
        <v>89</v>
      </c>
      <c r="L31" s="138">
        <v>92</v>
      </c>
      <c r="M31" s="30">
        <v>76</v>
      </c>
      <c r="N31" s="30">
        <v>82</v>
      </c>
      <c r="O31" s="15">
        <f t="shared" si="0"/>
        <v>803</v>
      </c>
      <c r="P31" s="33">
        <f t="shared" si="1"/>
        <v>80.3</v>
      </c>
      <c r="Q31" s="15">
        <f t="shared" si="2"/>
        <v>16</v>
      </c>
      <c r="R31" s="15"/>
      <c r="S31" s="15"/>
      <c r="T31"/>
    </row>
    <row r="32" spans="1:20" ht="20.100000000000001" customHeight="1" x14ac:dyDescent="0.25">
      <c r="A32" s="137">
        <v>29</v>
      </c>
      <c r="B32" s="142"/>
      <c r="C32" s="156">
        <v>17</v>
      </c>
      <c r="D32" s="156" t="s">
        <v>20</v>
      </c>
      <c r="E32" s="234">
        <v>83</v>
      </c>
      <c r="F32" s="234">
        <v>86</v>
      </c>
      <c r="G32" s="234">
        <v>63</v>
      </c>
      <c r="H32" s="233">
        <v>74</v>
      </c>
      <c r="I32" s="234">
        <v>85</v>
      </c>
      <c r="J32" s="245">
        <v>83</v>
      </c>
      <c r="K32" s="242">
        <v>100</v>
      </c>
      <c r="L32" s="192">
        <v>94</v>
      </c>
      <c r="M32" s="238">
        <v>89</v>
      </c>
      <c r="N32" s="234">
        <v>85</v>
      </c>
      <c r="O32" s="15">
        <f t="shared" si="0"/>
        <v>842</v>
      </c>
      <c r="P32" s="33">
        <f t="shared" si="1"/>
        <v>84.2</v>
      </c>
      <c r="Q32" s="15">
        <f t="shared" si="2"/>
        <v>11</v>
      </c>
      <c r="R32" s="20"/>
      <c r="S32" s="20"/>
      <c r="T32"/>
    </row>
    <row r="33" spans="1:20" ht="20.100000000000001" customHeight="1" x14ac:dyDescent="0.25">
      <c r="A33" s="137">
        <v>30</v>
      </c>
      <c r="B33" s="142"/>
      <c r="C33" s="156">
        <v>17</v>
      </c>
      <c r="D33" s="156" t="s">
        <v>23</v>
      </c>
      <c r="E33" s="234">
        <v>76</v>
      </c>
      <c r="F33" s="234">
        <v>71</v>
      </c>
      <c r="G33" s="234">
        <v>62</v>
      </c>
      <c r="H33" s="233">
        <v>69</v>
      </c>
      <c r="I33" s="234">
        <v>67</v>
      </c>
      <c r="J33" s="245">
        <v>70</v>
      </c>
      <c r="K33" s="242">
        <v>92</v>
      </c>
      <c r="L33" s="192">
        <v>90</v>
      </c>
      <c r="M33" s="238">
        <v>53</v>
      </c>
      <c r="N33" s="234">
        <v>64</v>
      </c>
      <c r="O33" s="15">
        <f t="shared" si="0"/>
        <v>714</v>
      </c>
      <c r="P33" s="33">
        <f t="shared" si="1"/>
        <v>71.400000000000006</v>
      </c>
      <c r="Q33" s="15">
        <f t="shared" si="2"/>
        <v>33</v>
      </c>
      <c r="R33" s="20"/>
      <c r="S33" s="20"/>
      <c r="T33"/>
    </row>
    <row r="34" spans="1:20" ht="20.100000000000001" customHeight="1" x14ac:dyDescent="0.25">
      <c r="A34" s="137">
        <v>31</v>
      </c>
      <c r="B34" s="142"/>
      <c r="C34" s="156">
        <v>15</v>
      </c>
      <c r="D34" s="156" t="s">
        <v>23</v>
      </c>
      <c r="E34" s="234">
        <v>84</v>
      </c>
      <c r="F34" s="234">
        <v>72</v>
      </c>
      <c r="G34" s="234">
        <v>66</v>
      </c>
      <c r="H34" s="233">
        <v>81</v>
      </c>
      <c r="I34" s="234">
        <v>78</v>
      </c>
      <c r="J34" s="245">
        <v>70</v>
      </c>
      <c r="K34" s="242">
        <v>93</v>
      </c>
      <c r="L34" s="192">
        <v>100</v>
      </c>
      <c r="M34" s="238">
        <v>79</v>
      </c>
      <c r="N34" s="234">
        <v>77</v>
      </c>
      <c r="O34" s="15">
        <f t="shared" si="0"/>
        <v>800</v>
      </c>
      <c r="P34" s="33">
        <f t="shared" si="1"/>
        <v>80</v>
      </c>
      <c r="Q34" s="15">
        <f t="shared" si="2"/>
        <v>17</v>
      </c>
      <c r="R34" s="20"/>
      <c r="S34" s="20"/>
      <c r="T34"/>
    </row>
    <row r="35" spans="1:20" ht="20.100000000000001" customHeight="1" x14ac:dyDescent="0.25">
      <c r="A35" s="137">
        <v>32</v>
      </c>
      <c r="B35" s="142"/>
      <c r="C35" s="156">
        <v>16</v>
      </c>
      <c r="D35" s="156" t="s">
        <v>23</v>
      </c>
      <c r="E35" s="234">
        <v>84</v>
      </c>
      <c r="F35" s="234">
        <v>78</v>
      </c>
      <c r="G35" s="234">
        <v>70</v>
      </c>
      <c r="H35" s="233">
        <v>72</v>
      </c>
      <c r="I35" s="234">
        <v>70</v>
      </c>
      <c r="J35" s="245">
        <v>65</v>
      </c>
      <c r="K35" s="242">
        <v>93</v>
      </c>
      <c r="L35" s="192">
        <v>94</v>
      </c>
      <c r="M35" s="238">
        <v>68</v>
      </c>
      <c r="N35" s="234">
        <v>80</v>
      </c>
      <c r="O35" s="15">
        <f t="shared" si="0"/>
        <v>774</v>
      </c>
      <c r="P35" s="33">
        <f t="shared" si="1"/>
        <v>77.400000000000006</v>
      </c>
      <c r="Q35" s="15">
        <f t="shared" si="2"/>
        <v>20</v>
      </c>
      <c r="R35" s="20"/>
      <c r="S35" s="20"/>
      <c r="T35"/>
    </row>
    <row r="36" spans="1:20" ht="20.100000000000001" customHeight="1" x14ac:dyDescent="0.25">
      <c r="A36" s="137">
        <v>33</v>
      </c>
      <c r="B36" s="142"/>
      <c r="C36" s="156">
        <v>16</v>
      </c>
      <c r="D36" s="156" t="s">
        <v>23</v>
      </c>
      <c r="E36" s="234">
        <v>90</v>
      </c>
      <c r="F36" s="234">
        <v>95</v>
      </c>
      <c r="G36" s="234">
        <v>80</v>
      </c>
      <c r="H36" s="233">
        <v>93</v>
      </c>
      <c r="I36" s="234">
        <v>92</v>
      </c>
      <c r="J36" s="245">
        <v>87</v>
      </c>
      <c r="K36" s="242">
        <v>98</v>
      </c>
      <c r="L36" s="192">
        <v>100</v>
      </c>
      <c r="M36" s="238">
        <v>92</v>
      </c>
      <c r="N36" s="234">
        <v>99</v>
      </c>
      <c r="O36" s="15">
        <f t="shared" si="0"/>
        <v>926</v>
      </c>
      <c r="P36" s="33">
        <f t="shared" si="1"/>
        <v>92.6</v>
      </c>
      <c r="Q36" s="15">
        <f t="shared" si="2"/>
        <v>4</v>
      </c>
      <c r="R36" s="20"/>
      <c r="S36" s="20"/>
      <c r="T36"/>
    </row>
    <row r="37" spans="1:20" ht="20.100000000000001" customHeight="1" x14ac:dyDescent="0.25">
      <c r="A37" s="137">
        <v>34</v>
      </c>
      <c r="B37" s="142"/>
      <c r="C37" s="156">
        <v>16</v>
      </c>
      <c r="D37" s="156" t="s">
        <v>23</v>
      </c>
      <c r="E37" s="234">
        <v>86</v>
      </c>
      <c r="F37" s="234">
        <v>80</v>
      </c>
      <c r="G37" s="234">
        <v>73</v>
      </c>
      <c r="H37" s="233">
        <v>80</v>
      </c>
      <c r="I37" s="234">
        <v>75</v>
      </c>
      <c r="J37" s="245">
        <v>83</v>
      </c>
      <c r="K37" s="242">
        <v>96</v>
      </c>
      <c r="L37" s="192">
        <v>99</v>
      </c>
      <c r="M37" s="238">
        <v>81</v>
      </c>
      <c r="N37" s="234">
        <v>80</v>
      </c>
      <c r="O37" s="15">
        <f t="shared" si="0"/>
        <v>833</v>
      </c>
      <c r="P37" s="33">
        <f t="shared" si="1"/>
        <v>83.3</v>
      </c>
      <c r="Q37" s="15">
        <f t="shared" si="2"/>
        <v>13</v>
      </c>
      <c r="R37" s="20"/>
      <c r="S37" s="20"/>
      <c r="T37"/>
    </row>
    <row r="38" spans="1:20" ht="20.100000000000001" customHeight="1" x14ac:dyDescent="0.25">
      <c r="A38" s="137">
        <v>35</v>
      </c>
      <c r="B38" s="142"/>
      <c r="C38" s="156">
        <v>18</v>
      </c>
      <c r="D38" s="156" t="s">
        <v>20</v>
      </c>
      <c r="E38" s="234">
        <v>89</v>
      </c>
      <c r="F38" s="234">
        <v>80</v>
      </c>
      <c r="G38" s="234">
        <v>79</v>
      </c>
      <c r="H38" s="233">
        <v>86</v>
      </c>
      <c r="I38" s="234">
        <v>86</v>
      </c>
      <c r="J38" s="245">
        <v>81</v>
      </c>
      <c r="K38" s="242">
        <v>98</v>
      </c>
      <c r="L38" s="192">
        <v>96</v>
      </c>
      <c r="M38" s="238">
        <v>94</v>
      </c>
      <c r="N38" s="234">
        <v>82</v>
      </c>
      <c r="O38" s="15">
        <f t="shared" si="0"/>
        <v>871</v>
      </c>
      <c r="P38" s="33">
        <f t="shared" si="1"/>
        <v>87.1</v>
      </c>
      <c r="Q38" s="15">
        <f t="shared" si="2"/>
        <v>10</v>
      </c>
      <c r="R38" s="20"/>
      <c r="S38" s="20"/>
      <c r="T38"/>
    </row>
    <row r="39" spans="1:20" ht="20.100000000000001" customHeight="1" x14ac:dyDescent="0.25">
      <c r="A39" s="137">
        <v>36</v>
      </c>
      <c r="B39" s="20"/>
      <c r="C39" s="20"/>
      <c r="D39" s="20"/>
      <c r="E39" s="20"/>
      <c r="F39" s="20"/>
      <c r="G39" s="20"/>
      <c r="H39" s="20"/>
      <c r="I39" s="20"/>
      <c r="J39" s="20"/>
      <c r="K39" s="69"/>
      <c r="L39" s="20"/>
      <c r="M39" s="20"/>
      <c r="N39" s="20"/>
      <c r="O39" s="20"/>
      <c r="P39" s="20"/>
      <c r="Q39" s="20"/>
      <c r="R39" s="20"/>
      <c r="S39" s="20"/>
      <c r="T39"/>
    </row>
    <row r="40" spans="1:20" ht="20.100000000000001" customHeight="1" x14ac:dyDescent="0.25">
      <c r="A40" s="137">
        <v>37</v>
      </c>
      <c r="B40" s="20"/>
      <c r="C40" s="20"/>
      <c r="D40" s="20"/>
      <c r="E40" s="20"/>
      <c r="F40" s="20"/>
      <c r="G40" s="20"/>
      <c r="H40" s="20"/>
      <c r="I40" s="20"/>
      <c r="J40" s="20"/>
      <c r="K40" s="20"/>
      <c r="L40" s="20"/>
      <c r="M40" s="20"/>
      <c r="N40" s="20"/>
      <c r="O40" s="20"/>
      <c r="P40" s="20"/>
      <c r="Q40" s="20"/>
      <c r="R40" s="20"/>
      <c r="S40" s="20"/>
      <c r="T40"/>
    </row>
    <row r="41" spans="1:20" ht="20.100000000000001" customHeight="1" x14ac:dyDescent="0.25">
      <c r="A41" s="137">
        <v>38</v>
      </c>
      <c r="B41" s="20"/>
      <c r="C41" s="20"/>
      <c r="D41" s="20"/>
      <c r="E41" s="20"/>
      <c r="F41" s="20"/>
      <c r="G41" s="20"/>
      <c r="H41" s="20"/>
      <c r="I41" s="20"/>
      <c r="J41" s="20"/>
      <c r="K41" s="20"/>
      <c r="L41" s="20"/>
      <c r="M41" s="20"/>
      <c r="N41" s="20"/>
      <c r="O41" s="20"/>
      <c r="P41" s="20"/>
      <c r="Q41" s="20"/>
      <c r="R41" s="20"/>
      <c r="S41" s="20"/>
      <c r="T41"/>
    </row>
    <row r="42" spans="1:20" ht="20.100000000000001" customHeight="1" x14ac:dyDescent="0.25">
      <c r="A42" s="137">
        <v>39</v>
      </c>
      <c r="B42" s="20"/>
      <c r="C42" s="20"/>
      <c r="D42" s="20"/>
      <c r="E42" s="20"/>
      <c r="F42" s="20"/>
      <c r="G42" s="20"/>
      <c r="H42" s="20"/>
      <c r="I42" s="20"/>
      <c r="J42" s="20"/>
      <c r="K42" s="20"/>
      <c r="L42" s="20"/>
      <c r="M42" s="20"/>
      <c r="N42" s="20"/>
      <c r="O42" s="20"/>
      <c r="P42" s="20"/>
      <c r="Q42" s="20"/>
      <c r="R42" s="20"/>
      <c r="S42" s="20"/>
      <c r="T42"/>
    </row>
    <row r="43" spans="1:20" ht="20.100000000000001" customHeight="1" x14ac:dyDescent="0.25">
      <c r="A43" s="137">
        <v>40</v>
      </c>
      <c r="B43" s="20"/>
      <c r="C43" s="20"/>
      <c r="D43" s="20"/>
      <c r="E43" s="20"/>
      <c r="F43" s="20"/>
      <c r="G43" s="20"/>
      <c r="H43" s="20"/>
      <c r="I43" s="20"/>
      <c r="J43" s="20"/>
      <c r="K43" s="20"/>
      <c r="L43" s="20"/>
      <c r="M43" s="20"/>
      <c r="N43" s="20"/>
      <c r="O43" s="20"/>
      <c r="P43" s="20"/>
      <c r="Q43" s="20"/>
      <c r="R43" s="20"/>
      <c r="S43" s="20"/>
      <c r="T43"/>
    </row>
    <row r="44" spans="1:20" ht="20.100000000000001" customHeight="1" x14ac:dyDescent="0.25">
      <c r="A44" s="137">
        <v>41</v>
      </c>
      <c r="B44" s="20"/>
      <c r="C44" s="20"/>
      <c r="D44" s="20"/>
      <c r="E44" s="20"/>
      <c r="F44" s="20"/>
      <c r="G44" s="20"/>
      <c r="H44" s="20"/>
      <c r="I44" s="20"/>
      <c r="J44" s="20"/>
      <c r="K44" s="20"/>
      <c r="L44" s="20"/>
      <c r="M44" s="20"/>
      <c r="N44" s="20"/>
      <c r="O44" s="20"/>
      <c r="P44" s="20"/>
      <c r="Q44" s="20"/>
      <c r="R44" s="20"/>
      <c r="S44" s="20"/>
      <c r="T44"/>
    </row>
    <row r="45" spans="1:20" ht="20.100000000000001" customHeight="1" x14ac:dyDescent="0.25">
      <c r="A45" s="137">
        <v>42</v>
      </c>
      <c r="B45" s="20"/>
      <c r="C45" s="20"/>
      <c r="D45" s="20"/>
      <c r="E45" s="20"/>
      <c r="F45" s="20"/>
      <c r="G45" s="20"/>
      <c r="H45" s="20"/>
      <c r="I45" s="20"/>
      <c r="J45" s="20"/>
      <c r="K45" s="20"/>
      <c r="L45" s="20"/>
      <c r="M45" s="20"/>
      <c r="N45" s="20"/>
      <c r="O45" s="20"/>
      <c r="P45" s="20"/>
      <c r="Q45" s="20"/>
      <c r="R45" s="20"/>
      <c r="S45" s="20"/>
      <c r="T45"/>
    </row>
    <row r="46" spans="1:20" ht="20.100000000000001" customHeight="1" x14ac:dyDescent="0.25">
      <c r="A46" s="137">
        <v>43</v>
      </c>
      <c r="B46" s="20"/>
      <c r="C46" s="20"/>
      <c r="D46" s="20"/>
      <c r="E46" s="20"/>
      <c r="F46" s="20"/>
      <c r="G46" s="20"/>
      <c r="H46" s="20"/>
      <c r="I46" s="20"/>
      <c r="J46" s="20"/>
      <c r="K46" s="20"/>
      <c r="L46" s="20"/>
      <c r="M46" s="20"/>
      <c r="N46" s="20"/>
      <c r="O46" s="20"/>
      <c r="P46" s="20"/>
      <c r="Q46" s="20"/>
      <c r="R46" s="20"/>
      <c r="S46" s="20"/>
      <c r="T46"/>
    </row>
    <row r="47" spans="1:20" ht="20.100000000000001" customHeight="1" x14ac:dyDescent="0.25">
      <c r="A47" s="137">
        <v>44</v>
      </c>
      <c r="B47" s="20"/>
      <c r="C47" s="20"/>
      <c r="D47" s="20"/>
      <c r="E47" s="20"/>
      <c r="F47" s="20"/>
      <c r="G47" s="20"/>
      <c r="H47" s="20"/>
      <c r="I47" s="20"/>
      <c r="J47" s="20"/>
      <c r="K47" s="20"/>
      <c r="L47" s="20"/>
      <c r="M47" s="20"/>
      <c r="N47" s="20"/>
      <c r="O47" s="20"/>
      <c r="P47" s="20"/>
      <c r="Q47" s="20"/>
      <c r="R47" s="20"/>
      <c r="S47" s="20"/>
      <c r="T47"/>
    </row>
    <row r="48" spans="1:20" ht="20.100000000000001" customHeight="1" x14ac:dyDescent="0.25">
      <c r="A48" s="137">
        <v>45</v>
      </c>
      <c r="B48" s="20"/>
      <c r="C48" s="20"/>
      <c r="D48" s="20"/>
      <c r="E48" s="20"/>
      <c r="F48" s="20"/>
      <c r="G48" s="20"/>
      <c r="H48" s="20"/>
      <c r="I48" s="20"/>
      <c r="J48" s="20"/>
      <c r="K48" s="20"/>
      <c r="L48" s="20"/>
      <c r="M48" s="20"/>
      <c r="N48" s="20"/>
      <c r="O48" s="20"/>
      <c r="P48" s="20"/>
      <c r="Q48" s="20"/>
      <c r="R48" s="20"/>
      <c r="S48" s="20"/>
      <c r="T48"/>
    </row>
    <row r="49" spans="1:20" ht="20.100000000000001" customHeight="1" x14ac:dyDescent="0.25">
      <c r="A49" s="137">
        <v>46</v>
      </c>
      <c r="B49" s="20"/>
      <c r="C49" s="20"/>
      <c r="D49" s="20"/>
      <c r="E49" s="20"/>
      <c r="F49" s="20"/>
      <c r="G49" s="20"/>
      <c r="H49" s="20"/>
      <c r="I49" s="20"/>
      <c r="J49" s="20"/>
      <c r="K49" s="20"/>
      <c r="L49" s="20"/>
      <c r="M49" s="20"/>
      <c r="N49" s="20"/>
      <c r="O49" s="20"/>
      <c r="P49" s="20"/>
      <c r="Q49" s="20"/>
      <c r="R49" s="20"/>
      <c r="S49" s="20"/>
      <c r="T49"/>
    </row>
    <row r="50" spans="1:20" ht="20.100000000000001" customHeight="1" x14ac:dyDescent="0.25">
      <c r="A50" s="137">
        <v>47</v>
      </c>
      <c r="B50" s="20"/>
      <c r="C50" s="20"/>
      <c r="D50" s="20"/>
      <c r="E50" s="20"/>
      <c r="F50" s="20"/>
      <c r="G50" s="20"/>
      <c r="H50" s="20"/>
      <c r="I50" s="20"/>
      <c r="J50" s="20"/>
      <c r="K50" s="20"/>
      <c r="L50" s="20"/>
      <c r="M50" s="20"/>
      <c r="N50" s="20"/>
      <c r="O50" s="20"/>
      <c r="P50" s="20"/>
      <c r="Q50" s="20"/>
      <c r="R50" s="20"/>
      <c r="S50" s="20"/>
      <c r="T50"/>
    </row>
    <row r="51" spans="1:20" ht="20.100000000000001" customHeight="1" x14ac:dyDescent="0.25">
      <c r="A51" s="137">
        <v>48</v>
      </c>
      <c r="B51" s="20"/>
      <c r="C51" s="20"/>
      <c r="D51" s="20"/>
      <c r="E51" s="20"/>
      <c r="F51" s="20"/>
      <c r="G51" s="20"/>
      <c r="H51" s="20"/>
      <c r="I51" s="20"/>
      <c r="J51" s="20"/>
      <c r="K51" s="20"/>
      <c r="L51" s="20"/>
      <c r="M51" s="20"/>
      <c r="N51" s="20"/>
      <c r="O51" s="20"/>
      <c r="P51" s="20"/>
      <c r="Q51" s="20"/>
      <c r="R51" s="20"/>
      <c r="S51" s="20"/>
      <c r="T51"/>
    </row>
    <row r="52" spans="1:20" ht="20.100000000000001" customHeight="1" x14ac:dyDescent="0.25">
      <c r="A52" s="137">
        <v>49</v>
      </c>
      <c r="B52" s="20"/>
      <c r="C52" s="20"/>
      <c r="D52" s="20"/>
      <c r="E52" s="20"/>
      <c r="F52" s="20"/>
      <c r="G52" s="20"/>
      <c r="H52" s="20"/>
      <c r="I52" s="20"/>
      <c r="J52" s="20"/>
      <c r="K52" s="20"/>
      <c r="L52" s="20"/>
      <c r="M52" s="20"/>
      <c r="N52" s="20"/>
      <c r="O52" s="20"/>
      <c r="P52" s="20"/>
      <c r="Q52" s="20"/>
      <c r="R52" s="20"/>
      <c r="S52" s="20"/>
      <c r="T52"/>
    </row>
    <row r="53" spans="1:20" ht="20.100000000000001" customHeight="1" x14ac:dyDescent="0.25">
      <c r="A53" s="137">
        <v>50</v>
      </c>
      <c r="B53" s="20"/>
      <c r="C53" s="20"/>
      <c r="D53" s="20"/>
      <c r="E53" s="20"/>
      <c r="F53" s="20"/>
      <c r="G53" s="20"/>
      <c r="H53" s="20"/>
      <c r="I53" s="20"/>
      <c r="J53" s="20"/>
      <c r="K53" s="20"/>
      <c r="L53" s="20"/>
      <c r="M53" s="20"/>
      <c r="N53" s="20"/>
      <c r="O53" s="20"/>
      <c r="P53" s="20"/>
      <c r="Q53" s="20"/>
      <c r="R53" s="20"/>
      <c r="S53" s="20"/>
      <c r="T53"/>
    </row>
    <row r="54" spans="1:20" ht="20.100000000000001" customHeight="1" x14ac:dyDescent="0.25">
      <c r="A54" s="107">
        <v>51</v>
      </c>
      <c r="B54" s="20"/>
      <c r="C54" s="20"/>
      <c r="D54" s="20"/>
      <c r="E54" s="20"/>
      <c r="F54" s="20"/>
      <c r="G54" s="20"/>
      <c r="H54" s="20"/>
      <c r="I54" s="20"/>
      <c r="J54" s="20"/>
      <c r="K54" s="20"/>
      <c r="L54" s="20"/>
      <c r="M54" s="20"/>
      <c r="N54" s="20"/>
      <c r="O54" s="20"/>
      <c r="P54" s="20"/>
      <c r="Q54" s="20"/>
      <c r="R54" s="20"/>
      <c r="S54" s="20"/>
      <c r="T54"/>
    </row>
    <row r="55" spans="1:20" ht="20.100000000000001" customHeight="1" x14ac:dyDescent="0.25">
      <c r="A55" s="107">
        <v>52</v>
      </c>
      <c r="B55" s="20"/>
      <c r="C55" s="20"/>
      <c r="D55" s="20"/>
      <c r="E55" s="20"/>
      <c r="F55" s="20"/>
      <c r="G55" s="20"/>
      <c r="H55" s="20"/>
      <c r="I55" s="20"/>
      <c r="J55" s="20"/>
      <c r="K55" s="20"/>
      <c r="L55" s="20"/>
      <c r="M55" s="20"/>
      <c r="N55" s="20"/>
      <c r="O55" s="20"/>
      <c r="P55" s="15"/>
      <c r="Q55" s="15"/>
      <c r="R55" s="15"/>
      <c r="S55" s="15"/>
    </row>
    <row r="56" spans="1:20" ht="20.100000000000001" customHeight="1" x14ac:dyDescent="0.25">
      <c r="A56" s="107">
        <v>53</v>
      </c>
      <c r="B56" s="20"/>
      <c r="C56" s="20"/>
      <c r="D56" s="20"/>
      <c r="E56" s="20"/>
      <c r="F56" s="20"/>
      <c r="G56" s="20"/>
      <c r="H56" s="20"/>
      <c r="I56" s="20"/>
      <c r="J56" s="20"/>
      <c r="K56" s="20"/>
      <c r="L56" s="20"/>
      <c r="M56" s="20"/>
      <c r="N56" s="20"/>
      <c r="O56" s="20"/>
      <c r="P56" s="15"/>
      <c r="Q56" s="15"/>
      <c r="R56" s="15"/>
      <c r="S56" s="15"/>
    </row>
    <row r="57" spans="1:20" ht="20.100000000000001" customHeight="1" x14ac:dyDescent="0.25">
      <c r="A57" s="107">
        <v>54</v>
      </c>
      <c r="B57" s="20"/>
      <c r="C57" s="20"/>
      <c r="D57" s="20"/>
      <c r="E57" s="20"/>
      <c r="F57" s="20"/>
      <c r="G57" s="20"/>
      <c r="H57" s="20"/>
      <c r="I57" s="20"/>
      <c r="J57" s="20"/>
      <c r="K57" s="20"/>
      <c r="L57" s="20"/>
      <c r="M57" s="20"/>
      <c r="N57" s="20"/>
      <c r="O57" s="20"/>
      <c r="P57" s="15"/>
      <c r="Q57" s="15"/>
      <c r="R57" s="15"/>
      <c r="S57" s="15"/>
    </row>
    <row r="58" spans="1:20" ht="20.100000000000001" customHeight="1" x14ac:dyDescent="0.25">
      <c r="A58" s="107">
        <v>55</v>
      </c>
      <c r="B58" s="20"/>
      <c r="C58" s="20"/>
      <c r="D58" s="20"/>
      <c r="E58" s="20"/>
      <c r="F58" s="20"/>
      <c r="G58" s="20"/>
      <c r="H58" s="20"/>
      <c r="I58" s="20"/>
      <c r="J58" s="20"/>
      <c r="K58" s="20"/>
      <c r="L58" s="20"/>
      <c r="M58" s="20"/>
      <c r="N58" s="20"/>
      <c r="O58" s="20"/>
      <c r="P58" s="15"/>
      <c r="Q58" s="15"/>
      <c r="R58" s="15"/>
      <c r="S58" s="15"/>
    </row>
  </sheetData>
  <mergeCells count="2">
    <mergeCell ref="A1:T1"/>
    <mergeCell ref="A2:T2"/>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8"/>
  <sheetViews>
    <sheetView workbookViewId="0">
      <selection activeCell="B4" sqref="B4:B38"/>
    </sheetView>
  </sheetViews>
  <sheetFormatPr defaultRowHeight="15" x14ac:dyDescent="0.25"/>
  <cols>
    <col min="1" max="1" width="6.7109375" style="14" customWidth="1"/>
    <col min="2" max="2" width="35.140625" bestFit="1" customWidth="1"/>
    <col min="3" max="3" width="4.7109375" customWidth="1"/>
    <col min="4" max="4" width="4.140625" customWidth="1"/>
    <col min="5" max="5" width="12" style="14" customWidth="1"/>
    <col min="6" max="7" width="10.5703125" style="14" customWidth="1"/>
  </cols>
  <sheetData>
    <row r="1" spans="1:8" ht="20.25" x14ac:dyDescent="0.25">
      <c r="A1" s="288" t="s">
        <v>69</v>
      </c>
      <c r="B1" s="289"/>
      <c r="C1" s="289"/>
      <c r="D1" s="289"/>
      <c r="E1" s="289"/>
      <c r="F1" s="289"/>
      <c r="G1" s="289"/>
    </row>
    <row r="2" spans="1:8" x14ac:dyDescent="0.25">
      <c r="A2" s="358" t="s">
        <v>72</v>
      </c>
      <c r="B2" s="359"/>
      <c r="C2" s="359"/>
      <c r="D2" s="359"/>
      <c r="E2" s="359"/>
      <c r="F2" s="359"/>
      <c r="G2" s="359"/>
      <c r="H2" s="359"/>
    </row>
    <row r="3" spans="1:8" ht="67.5" customHeight="1" thickBot="1" x14ac:dyDescent="0.3">
      <c r="A3" s="21" t="s">
        <v>24</v>
      </c>
      <c r="B3" s="22" t="s">
        <v>1</v>
      </c>
      <c r="C3" s="23" t="s">
        <v>2</v>
      </c>
      <c r="D3" s="22" t="s">
        <v>3</v>
      </c>
      <c r="E3" s="72" t="s">
        <v>26</v>
      </c>
      <c r="F3" s="72" t="s">
        <v>27</v>
      </c>
      <c r="G3" s="72" t="s">
        <v>16</v>
      </c>
      <c r="H3" s="123" t="s">
        <v>17</v>
      </c>
    </row>
    <row r="4" spans="1:8" ht="20.100000000000001" customHeight="1" x14ac:dyDescent="0.25">
      <c r="A4" s="136">
        <v>1</v>
      </c>
      <c r="B4" s="142"/>
      <c r="C4" s="180">
        <v>17</v>
      </c>
      <c r="D4" s="142" t="s">
        <v>23</v>
      </c>
      <c r="E4" s="33">
        <f>'12B Sem 1'!P4</f>
        <v>88.9</v>
      </c>
      <c r="F4" s="33">
        <f>'12B (NS)Sem 2'!P4</f>
        <v>92.4</v>
      </c>
      <c r="G4" s="33">
        <f>AVERAGE(E4:F4)</f>
        <v>90.65</v>
      </c>
      <c r="H4" s="20">
        <f>RANK(G4,$G$4:$G$38)</f>
        <v>4</v>
      </c>
    </row>
    <row r="5" spans="1:8" ht="20.100000000000001" customHeight="1" x14ac:dyDescent="0.25">
      <c r="A5" s="121">
        <v>2</v>
      </c>
      <c r="B5" s="142"/>
      <c r="C5" s="180">
        <v>17</v>
      </c>
      <c r="D5" s="142" t="s">
        <v>23</v>
      </c>
      <c r="E5" s="33">
        <f>'12B Sem 1'!P5</f>
        <v>74</v>
      </c>
      <c r="F5" s="33">
        <f>'12B (NS)Sem 2'!P5</f>
        <v>80.900000000000006</v>
      </c>
      <c r="G5" s="33">
        <f t="shared" ref="G5:G58" si="0">AVERAGE(E5:F5)</f>
        <v>77.45</v>
      </c>
      <c r="H5" s="20">
        <f t="shared" ref="H5:H38" si="1">RANK(G5,$G$4:$G$38)</f>
        <v>15</v>
      </c>
    </row>
    <row r="6" spans="1:8" ht="20.100000000000001" customHeight="1" x14ac:dyDescent="0.25">
      <c r="A6" s="137">
        <v>3</v>
      </c>
      <c r="B6" s="142"/>
      <c r="C6" s="180">
        <v>18</v>
      </c>
      <c r="D6" s="142" t="s">
        <v>23</v>
      </c>
      <c r="E6" s="33">
        <f>'12B Sem 1'!P6</f>
        <v>67.900000000000006</v>
      </c>
      <c r="F6" s="33">
        <f>'12B (NS)Sem 2'!P6</f>
        <v>76.5</v>
      </c>
      <c r="G6" s="33">
        <f t="shared" si="0"/>
        <v>72.2</v>
      </c>
      <c r="H6" s="20">
        <f t="shared" si="1"/>
        <v>26</v>
      </c>
    </row>
    <row r="7" spans="1:8" ht="20.100000000000001" customHeight="1" x14ac:dyDescent="0.25">
      <c r="A7" s="121">
        <v>4</v>
      </c>
      <c r="B7" s="142"/>
      <c r="C7" s="180">
        <v>17</v>
      </c>
      <c r="D7" s="142" t="s">
        <v>23</v>
      </c>
      <c r="E7" s="33">
        <f>'12B Sem 1'!P7</f>
        <v>89.1</v>
      </c>
      <c r="F7" s="33">
        <f>'12B (NS)Sem 2'!P7</f>
        <v>91.5</v>
      </c>
      <c r="G7" s="33">
        <f t="shared" si="0"/>
        <v>90.3</v>
      </c>
      <c r="H7" s="20">
        <f t="shared" si="1"/>
        <v>5</v>
      </c>
    </row>
    <row r="8" spans="1:8" ht="20.100000000000001" customHeight="1" x14ac:dyDescent="0.25">
      <c r="A8" s="121">
        <v>5</v>
      </c>
      <c r="B8" s="142"/>
      <c r="C8" s="180">
        <v>18</v>
      </c>
      <c r="D8" s="142" t="s">
        <v>23</v>
      </c>
      <c r="E8" s="33">
        <f>'12B Sem 1'!P8</f>
        <v>65.599999999999994</v>
      </c>
      <c r="F8" s="33">
        <f>'12B (NS)Sem 2'!P8</f>
        <v>75.8</v>
      </c>
      <c r="G8" s="33">
        <f t="shared" si="0"/>
        <v>70.699999999999989</v>
      </c>
      <c r="H8" s="20">
        <f t="shared" si="1"/>
        <v>28</v>
      </c>
    </row>
    <row r="9" spans="1:8" ht="20.100000000000001" customHeight="1" x14ac:dyDescent="0.25">
      <c r="A9" s="137">
        <v>6</v>
      </c>
      <c r="B9" s="142"/>
      <c r="C9" s="180">
        <v>17</v>
      </c>
      <c r="D9" s="142" t="s">
        <v>23</v>
      </c>
      <c r="E9" s="33">
        <f>'12B Sem 1'!P9</f>
        <v>85.2</v>
      </c>
      <c r="F9" s="33">
        <f>'12B (NS)Sem 2'!P9</f>
        <v>89.8</v>
      </c>
      <c r="G9" s="33">
        <f t="shared" si="0"/>
        <v>87.5</v>
      </c>
      <c r="H9" s="20">
        <f t="shared" si="1"/>
        <v>7</v>
      </c>
    </row>
    <row r="10" spans="1:8" ht="20.100000000000001" customHeight="1" x14ac:dyDescent="0.25">
      <c r="A10" s="121">
        <v>7</v>
      </c>
      <c r="B10" s="142"/>
      <c r="C10" s="180">
        <v>17</v>
      </c>
      <c r="D10" s="142" t="s">
        <v>23</v>
      </c>
      <c r="E10" s="33">
        <f>'12B Sem 1'!P10</f>
        <v>67.2</v>
      </c>
      <c r="F10" s="33">
        <f>'12B (NS)Sem 2'!P10</f>
        <v>76.599999999999994</v>
      </c>
      <c r="G10" s="33">
        <f t="shared" si="0"/>
        <v>71.900000000000006</v>
      </c>
      <c r="H10" s="20">
        <f t="shared" si="1"/>
        <v>27</v>
      </c>
    </row>
    <row r="11" spans="1:8" ht="20.100000000000001" customHeight="1" x14ac:dyDescent="0.25">
      <c r="A11" s="121">
        <v>8</v>
      </c>
      <c r="B11" s="142"/>
      <c r="C11" s="180">
        <v>17</v>
      </c>
      <c r="D11" s="142" t="s">
        <v>23</v>
      </c>
      <c r="E11" s="33">
        <f>'12B Sem 1'!P11</f>
        <v>65.2</v>
      </c>
      <c r="F11" s="33">
        <f>'12B (NS)Sem 2'!P11</f>
        <v>74.599999999999994</v>
      </c>
      <c r="G11" s="33">
        <f t="shared" si="0"/>
        <v>69.900000000000006</v>
      </c>
      <c r="H11" s="20">
        <f t="shared" si="1"/>
        <v>29</v>
      </c>
    </row>
    <row r="12" spans="1:8" ht="20.100000000000001" customHeight="1" x14ac:dyDescent="0.25">
      <c r="A12" s="137">
        <v>9</v>
      </c>
      <c r="B12" s="142"/>
      <c r="C12" s="180">
        <v>18</v>
      </c>
      <c r="D12" s="142" t="s">
        <v>23</v>
      </c>
      <c r="E12" s="33">
        <f>'12B Sem 1'!P12</f>
        <v>84.9</v>
      </c>
      <c r="F12" s="33">
        <f>'12B (NS)Sem 2'!P12</f>
        <v>88.7</v>
      </c>
      <c r="G12" s="33">
        <f t="shared" si="0"/>
        <v>86.800000000000011</v>
      </c>
      <c r="H12" s="20">
        <f t="shared" si="1"/>
        <v>8</v>
      </c>
    </row>
    <row r="13" spans="1:8" ht="20.100000000000001" customHeight="1" x14ac:dyDescent="0.25">
      <c r="A13" s="121">
        <v>10</v>
      </c>
      <c r="B13" s="142"/>
      <c r="C13" s="180">
        <v>18</v>
      </c>
      <c r="D13" s="142" t="s">
        <v>23</v>
      </c>
      <c r="E13" s="33">
        <f>'12B Sem 1'!P13</f>
        <v>88.6</v>
      </c>
      <c r="F13" s="33">
        <f>'12B (NS)Sem 2'!P13</f>
        <v>93</v>
      </c>
      <c r="G13" s="33">
        <f t="shared" si="0"/>
        <v>90.8</v>
      </c>
      <c r="H13" s="20">
        <f t="shared" si="1"/>
        <v>3</v>
      </c>
    </row>
    <row r="14" spans="1:8" ht="20.100000000000001" customHeight="1" x14ac:dyDescent="0.25">
      <c r="A14" s="137">
        <v>11</v>
      </c>
      <c r="B14" s="142"/>
      <c r="C14" s="180">
        <v>18</v>
      </c>
      <c r="D14" s="142" t="s">
        <v>20</v>
      </c>
      <c r="E14" s="33">
        <f>'12B Sem 1'!P14</f>
        <v>92.9</v>
      </c>
      <c r="F14" s="33">
        <f>'12B (NS)Sem 2'!P14</f>
        <v>95.8</v>
      </c>
      <c r="G14" s="33">
        <f t="shared" si="0"/>
        <v>94.35</v>
      </c>
      <c r="H14" s="20">
        <f t="shared" si="1"/>
        <v>1</v>
      </c>
    </row>
    <row r="15" spans="1:8" ht="20.100000000000001" customHeight="1" x14ac:dyDescent="0.25">
      <c r="A15" s="137">
        <v>12</v>
      </c>
      <c r="B15" s="142"/>
      <c r="C15" s="180">
        <v>18</v>
      </c>
      <c r="D15" s="142" t="s">
        <v>23</v>
      </c>
      <c r="E15" s="33">
        <f>'12B Sem 1'!P15</f>
        <v>82.2</v>
      </c>
      <c r="F15" s="33">
        <f>'12B (NS)Sem 2'!P15</f>
        <v>87.6</v>
      </c>
      <c r="G15" s="33">
        <f t="shared" si="0"/>
        <v>84.9</v>
      </c>
      <c r="H15" s="20">
        <f t="shared" si="1"/>
        <v>9</v>
      </c>
    </row>
    <row r="16" spans="1:8" ht="20.100000000000001" customHeight="1" x14ac:dyDescent="0.25">
      <c r="A16" s="137">
        <v>13</v>
      </c>
      <c r="B16" s="142"/>
      <c r="C16" s="142">
        <v>18</v>
      </c>
      <c r="D16" s="142" t="s">
        <v>23</v>
      </c>
      <c r="E16" s="33">
        <f>'12B Sem 1'!P16</f>
        <v>64.400000000000006</v>
      </c>
      <c r="F16" s="33">
        <f>'12B (NS)Sem 2'!P16</f>
        <v>73.400000000000006</v>
      </c>
      <c r="G16" s="33">
        <f t="shared" si="0"/>
        <v>68.900000000000006</v>
      </c>
      <c r="H16" s="20">
        <f t="shared" si="1"/>
        <v>30</v>
      </c>
    </row>
    <row r="17" spans="1:8" ht="20.100000000000001" customHeight="1" x14ac:dyDescent="0.25">
      <c r="A17" s="121">
        <v>14</v>
      </c>
      <c r="B17" s="142"/>
      <c r="C17" s="180">
        <v>17</v>
      </c>
      <c r="D17" s="142" t="s">
        <v>23</v>
      </c>
      <c r="E17" s="33">
        <f>'12B Sem 1'!P17</f>
        <v>70.3</v>
      </c>
      <c r="F17" s="33">
        <f>'12B (NS)Sem 2'!P17</f>
        <v>76.099999999999994</v>
      </c>
      <c r="G17" s="33">
        <f t="shared" si="0"/>
        <v>73.199999999999989</v>
      </c>
      <c r="H17" s="20">
        <f t="shared" si="1"/>
        <v>23</v>
      </c>
    </row>
    <row r="18" spans="1:8" ht="20.100000000000001" customHeight="1" x14ac:dyDescent="0.25">
      <c r="A18" s="137">
        <v>15</v>
      </c>
      <c r="B18" s="142"/>
      <c r="C18" s="180">
        <v>17</v>
      </c>
      <c r="D18" s="142" t="s">
        <v>23</v>
      </c>
      <c r="E18" s="33">
        <f>'12B Sem 1'!P18</f>
        <v>69.099999999999994</v>
      </c>
      <c r="F18" s="33">
        <f>'12B (NS)Sem 2'!P18</f>
        <v>75.8</v>
      </c>
      <c r="G18" s="33">
        <f t="shared" si="0"/>
        <v>72.449999999999989</v>
      </c>
      <c r="H18" s="20">
        <f t="shared" si="1"/>
        <v>24</v>
      </c>
    </row>
    <row r="19" spans="1:8" ht="20.100000000000001" customHeight="1" x14ac:dyDescent="0.25">
      <c r="A19" s="121">
        <v>16</v>
      </c>
      <c r="B19" s="142"/>
      <c r="C19" s="180">
        <v>17</v>
      </c>
      <c r="D19" s="142" t="s">
        <v>23</v>
      </c>
      <c r="E19" s="33">
        <f>'12B Sem 1'!P19</f>
        <v>78.900000000000006</v>
      </c>
      <c r="F19" s="33">
        <f>'12B (NS)Sem 2'!P19</f>
        <v>84</v>
      </c>
      <c r="G19" s="33">
        <f t="shared" si="0"/>
        <v>81.45</v>
      </c>
      <c r="H19" s="20">
        <f t="shared" si="1"/>
        <v>11</v>
      </c>
    </row>
    <row r="20" spans="1:8" ht="20.100000000000001" customHeight="1" x14ac:dyDescent="0.25">
      <c r="A20" s="121">
        <v>17</v>
      </c>
      <c r="B20" s="142"/>
      <c r="C20" s="180">
        <v>17</v>
      </c>
      <c r="D20" s="142" t="s">
        <v>23</v>
      </c>
      <c r="E20" s="33">
        <f>'12B Sem 1'!P20</f>
        <v>60.3</v>
      </c>
      <c r="F20" s="33">
        <f>'12B (NS)Sem 2'!P20</f>
        <v>74.3</v>
      </c>
      <c r="G20" s="33">
        <f t="shared" si="0"/>
        <v>67.3</v>
      </c>
      <c r="H20" s="20">
        <f t="shared" si="1"/>
        <v>31</v>
      </c>
    </row>
    <row r="21" spans="1:8" ht="20.100000000000001" customHeight="1" x14ac:dyDescent="0.25">
      <c r="A21" s="121">
        <v>18</v>
      </c>
      <c r="B21" s="142"/>
      <c r="C21" s="180">
        <v>17</v>
      </c>
      <c r="D21" s="142" t="s">
        <v>23</v>
      </c>
      <c r="E21" s="33">
        <f>'12B Sem 1'!P21</f>
        <v>67.8</v>
      </c>
      <c r="F21" s="33">
        <f>'12B (NS)Sem 2'!P21</f>
        <v>77.099999999999994</v>
      </c>
      <c r="G21" s="33">
        <f t="shared" si="0"/>
        <v>72.449999999999989</v>
      </c>
      <c r="H21" s="20">
        <f t="shared" si="1"/>
        <v>24</v>
      </c>
    </row>
    <row r="22" spans="1:8" ht="20.100000000000001" customHeight="1" x14ac:dyDescent="0.25">
      <c r="A22" s="137">
        <v>19</v>
      </c>
      <c r="B22" s="142"/>
      <c r="C22" s="180">
        <v>17</v>
      </c>
      <c r="D22" s="142" t="s">
        <v>23</v>
      </c>
      <c r="E22" s="33">
        <f>'12B Sem 1'!P22</f>
        <v>91.7</v>
      </c>
      <c r="F22" s="33">
        <f>'12B (NS)Sem 2'!P22</f>
        <v>96.7</v>
      </c>
      <c r="G22" s="33">
        <f t="shared" si="0"/>
        <v>94.2</v>
      </c>
      <c r="H22" s="20">
        <f t="shared" si="1"/>
        <v>2</v>
      </c>
    </row>
    <row r="23" spans="1:8" ht="20.100000000000001" customHeight="1" x14ac:dyDescent="0.25">
      <c r="A23" s="137">
        <v>20</v>
      </c>
      <c r="B23" s="142"/>
      <c r="C23" s="180">
        <v>17</v>
      </c>
      <c r="D23" s="142" t="s">
        <v>23</v>
      </c>
      <c r="E23" s="33">
        <f>'12B Sem 1'!P23</f>
        <v>60.5</v>
      </c>
      <c r="F23" s="33">
        <f>'12B (NS)Sem 2'!P23</f>
        <v>72.2</v>
      </c>
      <c r="G23" s="33">
        <f t="shared" si="0"/>
        <v>66.349999999999994</v>
      </c>
      <c r="H23" s="20">
        <f t="shared" si="1"/>
        <v>33</v>
      </c>
    </row>
    <row r="24" spans="1:8" ht="20.100000000000001" customHeight="1" x14ac:dyDescent="0.25">
      <c r="A24" s="137">
        <v>21</v>
      </c>
      <c r="B24" s="142"/>
      <c r="C24" s="180">
        <v>18</v>
      </c>
      <c r="D24" s="142" t="s">
        <v>20</v>
      </c>
      <c r="E24" s="33">
        <f>'12B Sem 1'!P24</f>
        <v>73.7</v>
      </c>
      <c r="F24" s="33">
        <f>'12B (NS)Sem 2'!P24</f>
        <v>79</v>
      </c>
      <c r="G24" s="33">
        <f t="shared" si="0"/>
        <v>76.349999999999994</v>
      </c>
      <c r="H24" s="20">
        <f t="shared" si="1"/>
        <v>18</v>
      </c>
    </row>
    <row r="25" spans="1:8" ht="20.100000000000001" customHeight="1" x14ac:dyDescent="0.25">
      <c r="A25" s="121">
        <v>22</v>
      </c>
      <c r="B25" s="142"/>
      <c r="C25" s="180">
        <v>18</v>
      </c>
      <c r="D25" s="142" t="s">
        <v>23</v>
      </c>
      <c r="E25" s="33">
        <f>'12B Sem 1'!P25</f>
        <v>0</v>
      </c>
      <c r="F25" s="33">
        <f>'12B (NS)Sem 2'!P25</f>
        <v>0</v>
      </c>
      <c r="G25" s="33">
        <f t="shared" si="0"/>
        <v>0</v>
      </c>
      <c r="H25" s="20">
        <f t="shared" si="1"/>
        <v>35</v>
      </c>
    </row>
    <row r="26" spans="1:8" ht="20.100000000000001" customHeight="1" x14ac:dyDescent="0.25">
      <c r="A26" s="121">
        <v>23</v>
      </c>
      <c r="B26" s="142"/>
      <c r="C26" s="180">
        <v>17</v>
      </c>
      <c r="D26" s="142" t="s">
        <v>23</v>
      </c>
      <c r="E26" s="33">
        <f>'12B Sem 1'!P26</f>
        <v>70.400000000000006</v>
      </c>
      <c r="F26" s="33">
        <f>'12B (NS)Sem 2'!P26</f>
        <v>76.400000000000006</v>
      </c>
      <c r="G26" s="33">
        <f t="shared" si="0"/>
        <v>73.400000000000006</v>
      </c>
      <c r="H26" s="20">
        <f t="shared" si="1"/>
        <v>22</v>
      </c>
    </row>
    <row r="27" spans="1:8" ht="20.100000000000001" customHeight="1" x14ac:dyDescent="0.25">
      <c r="A27" s="137">
        <v>24</v>
      </c>
      <c r="B27" s="142"/>
      <c r="C27" s="180">
        <v>17</v>
      </c>
      <c r="D27" s="142" t="s">
        <v>23</v>
      </c>
      <c r="E27" s="33">
        <f>'12B Sem 1'!P27</f>
        <v>71.8</v>
      </c>
      <c r="F27" s="33">
        <f>'12B (NS)Sem 2'!P27</f>
        <v>77.400000000000006</v>
      </c>
      <c r="G27" s="33">
        <f t="shared" si="0"/>
        <v>74.599999999999994</v>
      </c>
      <c r="H27" s="20">
        <f t="shared" si="1"/>
        <v>20</v>
      </c>
    </row>
    <row r="28" spans="1:8" ht="20.100000000000001" customHeight="1" x14ac:dyDescent="0.25">
      <c r="A28" s="121">
        <v>25</v>
      </c>
      <c r="B28" s="181"/>
      <c r="C28" s="182">
        <v>17</v>
      </c>
      <c r="D28" s="181" t="s">
        <v>23</v>
      </c>
      <c r="E28" s="33">
        <f>'12B Sem 1'!P28</f>
        <v>62.2</v>
      </c>
      <c r="F28" s="33">
        <f>'12B (NS)Sem 2'!P28</f>
        <v>71.400000000000006</v>
      </c>
      <c r="G28" s="33">
        <f t="shared" si="0"/>
        <v>66.800000000000011</v>
      </c>
      <c r="H28" s="20">
        <f t="shared" si="1"/>
        <v>32</v>
      </c>
    </row>
    <row r="29" spans="1:8" ht="20.100000000000001" customHeight="1" x14ac:dyDescent="0.25">
      <c r="A29" s="137">
        <v>26</v>
      </c>
      <c r="B29" s="142"/>
      <c r="C29" s="180">
        <v>16</v>
      </c>
      <c r="D29" s="142" t="s">
        <v>23</v>
      </c>
      <c r="E29" s="33">
        <f>'12B Sem 1'!P29</f>
        <v>78.3</v>
      </c>
      <c r="F29" s="33">
        <f>'12B (NS)Sem 2'!P29</f>
        <v>81.8</v>
      </c>
      <c r="G29" s="33">
        <f t="shared" si="0"/>
        <v>80.05</v>
      </c>
      <c r="H29" s="20">
        <f t="shared" si="1"/>
        <v>13</v>
      </c>
    </row>
    <row r="30" spans="1:8" ht="20.100000000000001" customHeight="1" x14ac:dyDescent="0.25">
      <c r="A30" s="137">
        <v>27</v>
      </c>
      <c r="B30" s="142"/>
      <c r="C30" s="180">
        <v>16</v>
      </c>
      <c r="D30" s="142" t="s">
        <v>23</v>
      </c>
      <c r="E30" s="33">
        <f>'12B Sem 1'!P30</f>
        <v>70.8</v>
      </c>
      <c r="F30" s="33">
        <f>'12B (NS)Sem 2'!P30</f>
        <v>79.8</v>
      </c>
      <c r="G30" s="33">
        <f t="shared" si="0"/>
        <v>75.3</v>
      </c>
      <c r="H30" s="20">
        <f t="shared" si="1"/>
        <v>19</v>
      </c>
    </row>
    <row r="31" spans="1:8" ht="20.100000000000001" customHeight="1" x14ac:dyDescent="0.25">
      <c r="A31" s="137">
        <v>28</v>
      </c>
      <c r="B31" s="142"/>
      <c r="C31" s="180">
        <v>18</v>
      </c>
      <c r="D31" s="142" t="s">
        <v>23</v>
      </c>
      <c r="E31" s="33">
        <f>'12B Sem 1'!P31</f>
        <v>73.8</v>
      </c>
      <c r="F31" s="33">
        <f>'12B (NS)Sem 2'!P31</f>
        <v>80.3</v>
      </c>
      <c r="G31" s="33">
        <f t="shared" si="0"/>
        <v>77.05</v>
      </c>
      <c r="H31" s="20">
        <f t="shared" si="1"/>
        <v>16</v>
      </c>
    </row>
    <row r="32" spans="1:8" ht="20.100000000000001" customHeight="1" x14ac:dyDescent="0.25">
      <c r="A32" s="137">
        <v>29</v>
      </c>
      <c r="B32" s="142"/>
      <c r="C32" s="180">
        <v>17</v>
      </c>
      <c r="D32" s="142" t="s">
        <v>20</v>
      </c>
      <c r="E32" s="33">
        <f>'12B Sem 1'!P32</f>
        <v>78.5</v>
      </c>
      <c r="F32" s="33">
        <f>'12B (NS)Sem 2'!P32</f>
        <v>84.2</v>
      </c>
      <c r="G32" s="33">
        <f t="shared" si="0"/>
        <v>81.349999999999994</v>
      </c>
      <c r="H32" s="20">
        <f t="shared" si="1"/>
        <v>12</v>
      </c>
    </row>
    <row r="33" spans="1:8" ht="20.100000000000001" customHeight="1" x14ac:dyDescent="0.25">
      <c r="A33" s="137">
        <v>30</v>
      </c>
      <c r="B33" s="142"/>
      <c r="C33" s="180">
        <v>17</v>
      </c>
      <c r="D33" s="142" t="s">
        <v>23</v>
      </c>
      <c r="E33" s="33">
        <f>'12B Sem 1'!P33</f>
        <v>59.5</v>
      </c>
      <c r="F33" s="33">
        <f>'12B (NS)Sem 2'!P33</f>
        <v>71.400000000000006</v>
      </c>
      <c r="G33" s="33">
        <f t="shared" si="0"/>
        <v>65.45</v>
      </c>
      <c r="H33" s="20">
        <f t="shared" si="1"/>
        <v>34</v>
      </c>
    </row>
    <row r="34" spans="1:8" ht="20.100000000000001" customHeight="1" x14ac:dyDescent="0.25">
      <c r="A34" s="137">
        <v>31</v>
      </c>
      <c r="B34" s="142"/>
      <c r="C34" s="180">
        <v>15</v>
      </c>
      <c r="D34" s="142" t="s">
        <v>23</v>
      </c>
      <c r="E34" s="33">
        <f>'12B Sem 1'!P34</f>
        <v>73.8</v>
      </c>
      <c r="F34" s="33">
        <f>'12B (NS)Sem 2'!P34</f>
        <v>80</v>
      </c>
      <c r="G34" s="33">
        <f t="shared" si="0"/>
        <v>76.900000000000006</v>
      </c>
      <c r="H34" s="20">
        <f t="shared" si="1"/>
        <v>17</v>
      </c>
    </row>
    <row r="35" spans="1:8" ht="20.100000000000001" customHeight="1" x14ac:dyDescent="0.25">
      <c r="A35" s="137">
        <v>32</v>
      </c>
      <c r="B35" s="142"/>
      <c r="C35" s="180">
        <v>16</v>
      </c>
      <c r="D35" s="142" t="s">
        <v>23</v>
      </c>
      <c r="E35" s="33">
        <f>'12B Sem 1'!P35</f>
        <v>70.2</v>
      </c>
      <c r="F35" s="33">
        <f>'12B (NS)Sem 2'!P35</f>
        <v>77.400000000000006</v>
      </c>
      <c r="G35" s="33">
        <f t="shared" si="0"/>
        <v>73.800000000000011</v>
      </c>
      <c r="H35" s="20">
        <f t="shared" si="1"/>
        <v>21</v>
      </c>
    </row>
    <row r="36" spans="1:8" ht="20.100000000000001" customHeight="1" x14ac:dyDescent="0.25">
      <c r="A36" s="137">
        <v>33</v>
      </c>
      <c r="B36" s="142"/>
      <c r="C36" s="180">
        <v>16</v>
      </c>
      <c r="D36" s="142" t="s">
        <v>23</v>
      </c>
      <c r="E36" s="33">
        <f>'12B Sem 1'!P36</f>
        <v>86.4</v>
      </c>
      <c r="F36" s="33">
        <f>'12B (NS)Sem 2'!P36</f>
        <v>92.6</v>
      </c>
      <c r="G36" s="33">
        <f t="shared" si="0"/>
        <v>89.5</v>
      </c>
      <c r="H36" s="20">
        <f t="shared" si="1"/>
        <v>6</v>
      </c>
    </row>
    <row r="37" spans="1:8" ht="20.100000000000001" customHeight="1" x14ac:dyDescent="0.25">
      <c r="A37" s="137">
        <v>34</v>
      </c>
      <c r="B37" s="142"/>
      <c r="C37" s="180">
        <v>16</v>
      </c>
      <c r="D37" s="142" t="s">
        <v>23</v>
      </c>
      <c r="E37" s="33">
        <f>'12B Sem 1'!P37</f>
        <v>76.599999999999994</v>
      </c>
      <c r="F37" s="33">
        <f>'12B (NS)Sem 2'!P37</f>
        <v>83.3</v>
      </c>
      <c r="G37" s="33">
        <f t="shared" si="0"/>
        <v>79.949999999999989</v>
      </c>
      <c r="H37" s="20">
        <f t="shared" si="1"/>
        <v>14</v>
      </c>
    </row>
    <row r="38" spans="1:8" ht="20.100000000000001" customHeight="1" x14ac:dyDescent="0.25">
      <c r="A38" s="137">
        <v>35</v>
      </c>
      <c r="B38" s="142"/>
      <c r="C38" s="180">
        <v>18</v>
      </c>
      <c r="D38" s="142" t="s">
        <v>20</v>
      </c>
      <c r="E38" s="33">
        <f>'12B Sem 1'!P38</f>
        <v>79.3</v>
      </c>
      <c r="F38" s="33">
        <f>'12B (NS)Sem 2'!P38</f>
        <v>87.1</v>
      </c>
      <c r="G38" s="33">
        <f t="shared" si="0"/>
        <v>83.199999999999989</v>
      </c>
      <c r="H38" s="20">
        <f t="shared" si="1"/>
        <v>10</v>
      </c>
    </row>
    <row r="39" spans="1:8" ht="20.100000000000001" customHeight="1" x14ac:dyDescent="0.25">
      <c r="A39" s="137">
        <v>36</v>
      </c>
      <c r="B39" s="11"/>
      <c r="C39" s="11"/>
      <c r="D39" s="11"/>
      <c r="E39" s="33">
        <f>'12B Sem 1'!P39</f>
        <v>0</v>
      </c>
      <c r="F39" s="33">
        <f>'12B (NS)Sem 2'!P39</f>
        <v>0</v>
      </c>
      <c r="G39" s="33">
        <f t="shared" si="0"/>
        <v>0</v>
      </c>
      <c r="H39" s="20"/>
    </row>
    <row r="40" spans="1:8" ht="20.100000000000001" customHeight="1" x14ac:dyDescent="0.25">
      <c r="A40" s="137">
        <v>37</v>
      </c>
      <c r="B40" s="11"/>
      <c r="C40" s="11"/>
      <c r="D40" s="11"/>
      <c r="E40" s="33">
        <f>'12B Sem 1'!P40</f>
        <v>0</v>
      </c>
      <c r="F40" s="33">
        <f>'12B (NS)Sem 2'!P40</f>
        <v>0</v>
      </c>
      <c r="G40" s="33">
        <f t="shared" si="0"/>
        <v>0</v>
      </c>
      <c r="H40" s="20"/>
    </row>
    <row r="41" spans="1:8" ht="20.100000000000001" customHeight="1" x14ac:dyDescent="0.25">
      <c r="A41" s="137">
        <v>38</v>
      </c>
      <c r="B41" s="11"/>
      <c r="C41" s="12"/>
      <c r="D41" s="12"/>
      <c r="E41" s="33">
        <f>'12B Sem 1'!P41</f>
        <v>0</v>
      </c>
      <c r="F41" s="33">
        <f>'12B (NS)Sem 2'!P41</f>
        <v>0</v>
      </c>
      <c r="G41" s="33">
        <f t="shared" si="0"/>
        <v>0</v>
      </c>
      <c r="H41" s="20"/>
    </row>
    <row r="42" spans="1:8" ht="20.100000000000001" customHeight="1" x14ac:dyDescent="0.25">
      <c r="A42" s="137">
        <v>39</v>
      </c>
      <c r="B42" s="11"/>
      <c r="C42" s="12"/>
      <c r="D42" s="12"/>
      <c r="E42" s="33">
        <f>'12B Sem 1'!P42</f>
        <v>0</v>
      </c>
      <c r="F42" s="33">
        <f>'12B (NS)Sem 2'!P42</f>
        <v>0</v>
      </c>
      <c r="G42" s="33">
        <f t="shared" si="0"/>
        <v>0</v>
      </c>
      <c r="H42" s="20"/>
    </row>
    <row r="43" spans="1:8" ht="20.100000000000001" customHeight="1" x14ac:dyDescent="0.25">
      <c r="A43" s="137">
        <v>40</v>
      </c>
      <c r="B43" s="11"/>
      <c r="C43" s="11"/>
      <c r="D43" s="11"/>
      <c r="E43" s="33">
        <f>'12B Sem 1'!P43</f>
        <v>0</v>
      </c>
      <c r="F43" s="33">
        <f>'12B (NS)Sem 2'!P43</f>
        <v>0</v>
      </c>
      <c r="G43" s="33">
        <f t="shared" si="0"/>
        <v>0</v>
      </c>
      <c r="H43" s="20"/>
    </row>
    <row r="44" spans="1:8" ht="20.100000000000001" customHeight="1" x14ac:dyDescent="0.25">
      <c r="A44" s="137">
        <v>41</v>
      </c>
      <c r="B44" s="11"/>
      <c r="C44" s="11"/>
      <c r="D44" s="11"/>
      <c r="E44" s="33">
        <f>'12B Sem 1'!P44</f>
        <v>0</v>
      </c>
      <c r="F44" s="33">
        <f>'12B (NS)Sem 2'!P44</f>
        <v>0</v>
      </c>
      <c r="G44" s="33">
        <f t="shared" si="0"/>
        <v>0</v>
      </c>
      <c r="H44" s="20"/>
    </row>
    <row r="45" spans="1:8" ht="20.100000000000001" customHeight="1" x14ac:dyDescent="0.25">
      <c r="A45" s="137">
        <v>42</v>
      </c>
      <c r="B45" s="17"/>
      <c r="C45" s="12"/>
      <c r="D45" s="12"/>
      <c r="E45" s="33">
        <f>'12B Sem 1'!P45</f>
        <v>0</v>
      </c>
      <c r="F45" s="33">
        <f>'12B (NS)Sem 2'!P45</f>
        <v>0</v>
      </c>
      <c r="G45" s="33">
        <f t="shared" si="0"/>
        <v>0</v>
      </c>
      <c r="H45" s="20"/>
    </row>
    <row r="46" spans="1:8" ht="20.100000000000001" customHeight="1" x14ac:dyDescent="0.25">
      <c r="A46" s="137">
        <v>43</v>
      </c>
      <c r="B46" s="11"/>
      <c r="C46" s="12"/>
      <c r="D46" s="12"/>
      <c r="E46" s="33">
        <f>'12B Sem 1'!P46</f>
        <v>0</v>
      </c>
      <c r="F46" s="33">
        <f>'12B (NS)Sem 2'!P46</f>
        <v>0</v>
      </c>
      <c r="G46" s="33">
        <f t="shared" si="0"/>
        <v>0</v>
      </c>
      <c r="H46" s="20"/>
    </row>
    <row r="47" spans="1:8" ht="20.100000000000001" customHeight="1" x14ac:dyDescent="0.25">
      <c r="A47" s="137">
        <v>44</v>
      </c>
      <c r="B47" s="11"/>
      <c r="C47" s="11"/>
      <c r="D47" s="11"/>
      <c r="E47" s="33">
        <f>'12B Sem 1'!P47</f>
        <v>0</v>
      </c>
      <c r="F47" s="33">
        <f>'12B (NS)Sem 2'!P47</f>
        <v>0</v>
      </c>
      <c r="G47" s="33">
        <f t="shared" si="0"/>
        <v>0</v>
      </c>
      <c r="H47" s="20"/>
    </row>
    <row r="48" spans="1:8" ht="20.100000000000001" customHeight="1" x14ac:dyDescent="0.25">
      <c r="A48" s="137">
        <v>45</v>
      </c>
      <c r="B48" s="11"/>
      <c r="C48" s="12"/>
      <c r="D48" s="11"/>
      <c r="E48" s="33">
        <f>'12B Sem 1'!P48</f>
        <v>0</v>
      </c>
      <c r="F48" s="33">
        <f>'12B (NS)Sem 2'!P48</f>
        <v>0</v>
      </c>
      <c r="G48" s="33">
        <f t="shared" si="0"/>
        <v>0</v>
      </c>
      <c r="H48" s="20"/>
    </row>
    <row r="49" spans="1:8" ht="20.100000000000001" customHeight="1" x14ac:dyDescent="0.25">
      <c r="A49" s="137">
        <v>46</v>
      </c>
      <c r="B49" s="11"/>
      <c r="C49" s="11"/>
      <c r="D49" s="11"/>
      <c r="E49" s="33">
        <f>'12B Sem 1'!P49</f>
        <v>0</v>
      </c>
      <c r="F49" s="33">
        <f>'12B (NS)Sem 2'!P49</f>
        <v>0</v>
      </c>
      <c r="G49" s="33">
        <f t="shared" si="0"/>
        <v>0</v>
      </c>
      <c r="H49" s="20"/>
    </row>
    <row r="50" spans="1:8" ht="20.100000000000001" customHeight="1" x14ac:dyDescent="0.25">
      <c r="A50" s="137">
        <v>47</v>
      </c>
      <c r="B50" s="11"/>
      <c r="C50" s="11"/>
      <c r="D50" s="11"/>
      <c r="E50" s="33">
        <f>'12B Sem 1'!P50</f>
        <v>0</v>
      </c>
      <c r="F50" s="33">
        <f>'12B (NS)Sem 2'!P50</f>
        <v>0</v>
      </c>
      <c r="G50" s="33">
        <f t="shared" si="0"/>
        <v>0</v>
      </c>
      <c r="H50" s="20"/>
    </row>
    <row r="51" spans="1:8" ht="20.100000000000001" customHeight="1" x14ac:dyDescent="0.25">
      <c r="A51" s="137">
        <v>48</v>
      </c>
      <c r="B51" s="11"/>
      <c r="C51" s="11"/>
      <c r="D51" s="11"/>
      <c r="E51" s="33">
        <f>'12B Sem 1'!P51</f>
        <v>0</v>
      </c>
      <c r="F51" s="33">
        <f>'12B (NS)Sem 2'!P51</f>
        <v>0</v>
      </c>
      <c r="G51" s="33">
        <f t="shared" si="0"/>
        <v>0</v>
      </c>
      <c r="H51" s="20"/>
    </row>
    <row r="52" spans="1:8" ht="20.100000000000001" customHeight="1" x14ac:dyDescent="0.25">
      <c r="A52" s="137">
        <v>49</v>
      </c>
      <c r="B52" s="11"/>
      <c r="C52" s="12"/>
      <c r="D52" s="12"/>
      <c r="E52" s="33">
        <f>'12B Sem 1'!P52</f>
        <v>0</v>
      </c>
      <c r="F52" s="33">
        <f>'12B (NS)Sem 2'!P52</f>
        <v>0</v>
      </c>
      <c r="G52" s="33">
        <f t="shared" si="0"/>
        <v>0</v>
      </c>
      <c r="H52" s="20"/>
    </row>
    <row r="53" spans="1:8" ht="20.100000000000001" customHeight="1" x14ac:dyDescent="0.25">
      <c r="A53" s="137">
        <v>50</v>
      </c>
      <c r="B53" s="20"/>
      <c r="C53" s="20"/>
      <c r="D53" s="20"/>
      <c r="E53" s="33">
        <f>'12B Sem 1'!P53</f>
        <v>0</v>
      </c>
      <c r="F53" s="33">
        <f>'12B (NS)Sem 2'!P53</f>
        <v>0</v>
      </c>
      <c r="G53" s="33">
        <f t="shared" si="0"/>
        <v>0</v>
      </c>
      <c r="H53" s="20"/>
    </row>
    <row r="54" spans="1:8" ht="20.100000000000001" customHeight="1" x14ac:dyDescent="0.25">
      <c r="A54" s="137">
        <v>51</v>
      </c>
      <c r="B54" s="20"/>
      <c r="C54" s="20"/>
      <c r="D54" s="20"/>
      <c r="E54" s="33">
        <f>'12B Sem 1'!P54</f>
        <v>0</v>
      </c>
      <c r="F54" s="33">
        <f>'12B (NS)Sem 2'!P54</f>
        <v>0</v>
      </c>
      <c r="G54" s="33">
        <f t="shared" si="0"/>
        <v>0</v>
      </c>
      <c r="H54" s="20"/>
    </row>
    <row r="55" spans="1:8" ht="20.100000000000001" customHeight="1" x14ac:dyDescent="0.25">
      <c r="A55" s="137">
        <v>52</v>
      </c>
      <c r="B55" s="20"/>
      <c r="C55" s="20"/>
      <c r="D55" s="20"/>
      <c r="E55" s="33">
        <f>'12B Sem 1'!P55</f>
        <v>0</v>
      </c>
      <c r="F55" s="33">
        <f>'12B (NS)Sem 2'!P55</f>
        <v>0</v>
      </c>
      <c r="G55" s="33">
        <f t="shared" si="0"/>
        <v>0</v>
      </c>
      <c r="H55" s="20"/>
    </row>
    <row r="56" spans="1:8" ht="20.100000000000001" customHeight="1" x14ac:dyDescent="0.25">
      <c r="A56" s="137">
        <v>53</v>
      </c>
      <c r="B56" s="20"/>
      <c r="C56" s="20"/>
      <c r="D56" s="20"/>
      <c r="E56" s="33">
        <f>'12B Sem 1'!P56</f>
        <v>0</v>
      </c>
      <c r="F56" s="33">
        <f>'12B (NS)Sem 2'!P56</f>
        <v>0</v>
      </c>
      <c r="G56" s="33">
        <f t="shared" si="0"/>
        <v>0</v>
      </c>
      <c r="H56" s="20"/>
    </row>
    <row r="57" spans="1:8" ht="20.100000000000001" customHeight="1" x14ac:dyDescent="0.25">
      <c r="A57" s="137">
        <v>54</v>
      </c>
      <c r="B57" s="20"/>
      <c r="C57" s="20"/>
      <c r="D57" s="20"/>
      <c r="E57" s="33">
        <f>'12B Sem 1'!P57</f>
        <v>0</v>
      </c>
      <c r="F57" s="33">
        <f>'12B (NS)Sem 2'!P57</f>
        <v>0</v>
      </c>
      <c r="G57" s="33">
        <f t="shared" si="0"/>
        <v>0</v>
      </c>
      <c r="H57" s="20"/>
    </row>
    <row r="58" spans="1:8" ht="20.100000000000001" customHeight="1" x14ac:dyDescent="0.25">
      <c r="A58" s="137">
        <v>55</v>
      </c>
      <c r="B58" s="20"/>
      <c r="C58" s="20"/>
      <c r="D58" s="20"/>
      <c r="E58" s="33">
        <f>'12B Sem 1'!P58</f>
        <v>0</v>
      </c>
      <c r="F58" s="33">
        <f>'12B (NS)Sem 2'!P58</f>
        <v>0</v>
      </c>
      <c r="G58" s="33">
        <f t="shared" si="0"/>
        <v>0</v>
      </c>
      <c r="H58" s="20"/>
    </row>
  </sheetData>
  <mergeCells count="2">
    <mergeCell ref="A1:G1"/>
    <mergeCell ref="A2:H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36</vt:i4>
      </vt:variant>
      <vt:variant>
        <vt:lpstr>Named Ranges</vt:lpstr>
      </vt:variant>
      <vt:variant>
        <vt:i4>5</vt:i4>
      </vt:variant>
    </vt:vector>
  </HeadingPairs>
  <TitlesOfParts>
    <vt:vector size="41" baseType="lpstr">
      <vt:lpstr>Roster 9A</vt:lpstr>
      <vt:lpstr>9A Sem 1</vt:lpstr>
      <vt:lpstr>9A Sem 2</vt:lpstr>
      <vt:lpstr>9A Sem avr</vt:lpstr>
      <vt:lpstr>Roster 9B</vt:lpstr>
      <vt:lpstr>9B Sem 1</vt:lpstr>
      <vt:lpstr>9B Sem 2</vt:lpstr>
      <vt:lpstr>9B Sem avr</vt:lpstr>
      <vt:lpstr>Roster 10A</vt:lpstr>
      <vt:lpstr>10A Sem 1</vt:lpstr>
      <vt:lpstr>10A Sem 2</vt:lpstr>
      <vt:lpstr>10A Sem avr</vt:lpstr>
      <vt:lpstr>Roster 10B</vt:lpstr>
      <vt:lpstr>10B Sem 1</vt:lpstr>
      <vt:lpstr>10B Sem 2</vt:lpstr>
      <vt:lpstr>10B Sem avr</vt:lpstr>
      <vt:lpstr>Roster 11A (NS)</vt:lpstr>
      <vt:lpstr>11A (N S) Sem1 </vt:lpstr>
      <vt:lpstr>11A (N S) Sem2</vt:lpstr>
      <vt:lpstr>11A (N S) Avr</vt:lpstr>
      <vt:lpstr>Roster 11B (NS)</vt:lpstr>
      <vt:lpstr>11B (N S) Sem1</vt:lpstr>
      <vt:lpstr>11B (N S) Sem2</vt:lpstr>
      <vt:lpstr>11B (N S) Avr</vt:lpstr>
      <vt:lpstr>Roster 11C</vt:lpstr>
      <vt:lpstr>11C (SS)Sem 1</vt:lpstr>
      <vt:lpstr>11C (SS)Sem 2</vt:lpstr>
      <vt:lpstr>11C Sem avr (SS)</vt:lpstr>
      <vt:lpstr>Roster 12A </vt:lpstr>
      <vt:lpstr>12A Sem 1</vt:lpstr>
      <vt:lpstr>12A (NS)Sem 2</vt:lpstr>
      <vt:lpstr>12A Sem avr (NS)</vt:lpstr>
      <vt:lpstr>Roster 12B</vt:lpstr>
      <vt:lpstr>12B Sem 1</vt:lpstr>
      <vt:lpstr>12B (NS)Sem 2</vt:lpstr>
      <vt:lpstr>12B Sem avr (NS) </vt:lpstr>
      <vt:lpstr>'Roster 11A (NS)'!Print_Area</vt:lpstr>
      <vt:lpstr>'Roster 11B (NS)'!Print_Area</vt:lpstr>
      <vt:lpstr>'Roster 11C'!Print_Area</vt:lpstr>
      <vt:lpstr>'Roster 12A '!Print_Area</vt:lpstr>
      <vt:lpstr>'Roster 12B'!Print_Area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Giovani</dc:creator>
  <cp:lastModifiedBy>High school</cp:lastModifiedBy>
  <cp:lastPrinted>2025-12-31T12:59:20Z</cp:lastPrinted>
  <dcterms:created xsi:type="dcterms:W3CDTF">2021-07-18T08:37:05Z</dcterms:created>
  <dcterms:modified xsi:type="dcterms:W3CDTF">2026-01-02T07:24:32Z</dcterms:modified>
</cp:coreProperties>
</file>